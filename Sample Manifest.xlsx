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forster/Documents/Uni/3 - PhD/Admin/PhD Admin/"/>
    </mc:Choice>
  </mc:AlternateContent>
  <xr:revisionPtr revIDLastSave="0" documentId="8_{0D854E43-5273-EF4A-87F1-274612DD1570}" xr6:coauthVersionLast="47" xr6:coauthVersionMax="47" xr10:uidLastSave="{00000000-0000-0000-0000-000000000000}"/>
  <bookViews>
    <workbookView xWindow="20" yWindow="600" windowWidth="28760" windowHeight="15720" firstSheet="3" activeTab="3" xr2:uid="{DC826ED4-B89F-724D-9CDF-44CC790F5DCE}"/>
  </bookViews>
  <sheets>
    <sheet name="MANIFEST" sheetId="1" r:id="rId1"/>
    <sheet name="Lab book NI" sheetId="13" r:id="rId2"/>
    <sheet name="Lab book Raman" sheetId="14" r:id="rId3"/>
    <sheet name="SAXS Master Manifest" sheetId="21" r:id="rId4"/>
    <sheet name="Sheet1" sheetId="22" r:id="rId5"/>
    <sheet name="by TECHNIQUE (done)" sheetId="7" r:id="rId6"/>
    <sheet name="SAXS Done" sheetId="15" r:id="rId7"/>
    <sheet name="by SAMPLE (all)" sheetId="4" r:id="rId8"/>
    <sheet name="Sample Types" sheetId="9" r:id="rId9"/>
    <sheet name="NI AP1 CL" sheetId="16" r:id="rId10"/>
    <sheet name="Measurement Manifest" sheetId="19" r:id="rId11"/>
    <sheet name="SAXS Mar 26" sheetId="23" r:id="rId12"/>
    <sheet name="SAXS May 24" sheetId="10" r:id="rId13"/>
    <sheet name="SAXS July 23" sheetId="11" r:id="rId14"/>
    <sheet name="SAXS Nov 23" sheetId="12" r:id="rId15"/>
    <sheet name="SAXS Feb 25" sheetId="18" r:id="rId16"/>
  </sheets>
  <definedNames>
    <definedName name="_xlnm._FilterDatabase" localSheetId="7" hidden="1">'by SAMPLE (all)'!$A$2:$Q$2</definedName>
    <definedName name="_xlnm._FilterDatabase" localSheetId="5" hidden="1">'by TECHNIQUE (done)'!$A$2:$I$2</definedName>
    <definedName name="_xlnm._FilterDatabase" localSheetId="1" hidden="1">'Lab book NI'!$A$1:$L$1</definedName>
    <definedName name="_xlnm._FilterDatabase" localSheetId="0" hidden="1">MANIFEST!$A$1:$S$361</definedName>
    <definedName name="_xlnm._FilterDatabase" localSheetId="15" hidden="1">'SAXS Feb 25'!$D$1:$J$61</definedName>
    <definedName name="_xlnm._FilterDatabase" localSheetId="13" hidden="1">'SAXS July 23'!$B$1:$I$195</definedName>
    <definedName name="_xlnm._FilterDatabase" localSheetId="3" hidden="1">'SAXS Master Manifest'!$A$1:$R$1</definedName>
    <definedName name="_xlnm._FilterDatabase" localSheetId="12" hidden="1">'SAXS May 24'!$A$1:$D$85</definedName>
    <definedName name="_xlnm._FilterDatabase" localSheetId="14" hidden="1">'SAXS Nov 23'!$A$2:$AB$52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21" l="1"/>
  <c r="S2" i="21"/>
  <c r="T2" i="21"/>
  <c r="U2" i="21"/>
  <c r="Q2" i="21"/>
  <c r="I196" i="21"/>
  <c r="I197" i="21"/>
  <c r="I198" i="21"/>
  <c r="I199" i="21"/>
  <c r="I200" i="21"/>
  <c r="I195" i="21"/>
  <c r="S323" i="14"/>
  <c r="R323" i="14"/>
  <c r="S321" i="14"/>
  <c r="R321" i="14"/>
  <c r="S319" i="14"/>
  <c r="R319" i="14"/>
  <c r="S317" i="14"/>
  <c r="R317" i="14"/>
  <c r="S315" i="14"/>
  <c r="R315" i="14"/>
  <c r="S313" i="14"/>
  <c r="R313" i="14"/>
  <c r="S311" i="14"/>
  <c r="R311" i="14"/>
  <c r="S309" i="14"/>
  <c r="R309" i="14"/>
  <c r="S307" i="14"/>
  <c r="R307" i="14"/>
  <c r="S306" i="14"/>
  <c r="R306" i="14"/>
  <c r="S302" i="14"/>
  <c r="R302" i="14"/>
  <c r="S300" i="14"/>
  <c r="R298" i="14"/>
  <c r="S297" i="14"/>
  <c r="R297" i="14"/>
  <c r="S296" i="14"/>
  <c r="R296" i="14"/>
  <c r="S295" i="14"/>
  <c r="R295" i="14"/>
  <c r="R294" i="14"/>
  <c r="S292" i="14"/>
  <c r="R290" i="14"/>
  <c r="S290" i="14"/>
  <c r="R288" i="14"/>
  <c r="R289" i="14"/>
  <c r="R287" i="14"/>
  <c r="S286" i="14"/>
  <c r="R286" i="14"/>
  <c r="S284" i="14"/>
  <c r="R284" i="14"/>
  <c r="S282" i="14"/>
  <c r="R282" i="14"/>
  <c r="S280" i="14"/>
  <c r="R280" i="14"/>
  <c r="S279" i="14"/>
  <c r="R279" i="14"/>
  <c r="AA124" i="18"/>
  <c r="AA125" i="18"/>
  <c r="AA126" i="18"/>
  <c r="AA127" i="18"/>
  <c r="AA114" i="18"/>
  <c r="AA115" i="18"/>
  <c r="AA116" i="18"/>
  <c r="AA117" i="18"/>
  <c r="AA118" i="18"/>
  <c r="AA119" i="18"/>
  <c r="AA120" i="18"/>
  <c r="AA121" i="18"/>
  <c r="AA122" i="18"/>
  <c r="AA123" i="18"/>
  <c r="AA113" i="18"/>
  <c r="AA104" i="18"/>
  <c r="AA105" i="18"/>
  <c r="AA106" i="18"/>
  <c r="AA107" i="18"/>
  <c r="AA108" i="18"/>
  <c r="AA109" i="18"/>
  <c r="AA110" i="18"/>
  <c r="AA111" i="18"/>
  <c r="AA112" i="18"/>
  <c r="AA103" i="18"/>
  <c r="AA23" i="18"/>
  <c r="X115" i="18"/>
  <c r="Y115" i="18"/>
  <c r="X116" i="18"/>
  <c r="Y116" i="18"/>
  <c r="X117" i="18"/>
  <c r="Y117" i="18"/>
  <c r="X118" i="18"/>
  <c r="Y118" i="18"/>
  <c r="X119" i="18"/>
  <c r="Y119" i="18"/>
  <c r="X120" i="18"/>
  <c r="Y120" i="18"/>
  <c r="X121" i="18"/>
  <c r="Y121" i="18"/>
  <c r="X122" i="18"/>
  <c r="Y122" i="18"/>
  <c r="X123" i="18"/>
  <c r="Y123" i="18"/>
  <c r="S115" i="18"/>
  <c r="T115" i="18"/>
  <c r="U115" i="18"/>
  <c r="S116" i="18"/>
  <c r="T116" i="18"/>
  <c r="U116" i="18"/>
  <c r="S117" i="18"/>
  <c r="T117" i="18"/>
  <c r="U117" i="18"/>
  <c r="S118" i="18"/>
  <c r="T118" i="18"/>
  <c r="U118" i="18"/>
  <c r="S119" i="18"/>
  <c r="T119" i="18"/>
  <c r="U119" i="18"/>
  <c r="S120" i="18"/>
  <c r="T120" i="18"/>
  <c r="U120" i="18"/>
  <c r="S121" i="18"/>
  <c r="T121" i="18"/>
  <c r="U121" i="18"/>
  <c r="S122" i="18"/>
  <c r="T122" i="18"/>
  <c r="U122" i="18"/>
  <c r="S123" i="18"/>
  <c r="T123" i="18"/>
  <c r="U123" i="18"/>
  <c r="P115" i="18"/>
  <c r="P116" i="18"/>
  <c r="P117" i="18"/>
  <c r="P118" i="18"/>
  <c r="P119" i="18"/>
  <c r="P120" i="18"/>
  <c r="P121" i="18"/>
  <c r="P122" i="18"/>
  <c r="P123" i="18"/>
  <c r="I62" i="21"/>
  <c r="I49" i="21"/>
  <c r="I60" i="21"/>
  <c r="I58" i="21"/>
  <c r="I25" i="21"/>
  <c r="I56" i="21"/>
  <c r="I41" i="21"/>
  <c r="I160" i="21"/>
  <c r="I161" i="21"/>
  <c r="I162" i="21"/>
  <c r="I163" i="21"/>
  <c r="I164" i="21"/>
  <c r="I165" i="21"/>
  <c r="I166" i="21"/>
  <c r="I167" i="21"/>
  <c r="I168" i="21"/>
  <c r="I159" i="21"/>
  <c r="I137" i="21"/>
  <c r="I124" i="21"/>
  <c r="I125" i="21"/>
  <c r="I126" i="21"/>
  <c r="I127" i="21"/>
  <c r="I128" i="21"/>
  <c r="I129" i="21"/>
  <c r="I130" i="21"/>
  <c r="I131" i="21"/>
  <c r="I132" i="21"/>
  <c r="I133" i="21"/>
  <c r="I134" i="21"/>
  <c r="I135" i="21"/>
  <c r="I136" i="21"/>
  <c r="I123" i="21"/>
  <c r="I79" i="21"/>
  <c r="I71" i="21"/>
  <c r="I2" i="21"/>
  <c r="I23" i="21"/>
  <c r="I35" i="21"/>
  <c r="I51" i="21"/>
  <c r="I84" i="21"/>
  <c r="AG109" i="14"/>
  <c r="AD109" i="14"/>
  <c r="AG108" i="14"/>
  <c r="AD108" i="14"/>
  <c r="AG99" i="14"/>
  <c r="AG107" i="14"/>
  <c r="AG68" i="14"/>
  <c r="AG69" i="14"/>
  <c r="AG73" i="14"/>
  <c r="AG74" i="14"/>
  <c r="AG75" i="14"/>
  <c r="AG79" i="14"/>
  <c r="AG85" i="14"/>
  <c r="AG91" i="14"/>
  <c r="AG93" i="14"/>
  <c r="AG95" i="14"/>
  <c r="AG96" i="14"/>
  <c r="AG97" i="14"/>
  <c r="AG101" i="14"/>
  <c r="AG103" i="14"/>
  <c r="AG106" i="14"/>
  <c r="AG67" i="14"/>
  <c r="AD68" i="14"/>
  <c r="AD69" i="14"/>
  <c r="AD73" i="14"/>
  <c r="AD74" i="14"/>
  <c r="AD75" i="14"/>
  <c r="AD79" i="14"/>
  <c r="AD85" i="14"/>
  <c r="AD91" i="14"/>
  <c r="AD93" i="14"/>
  <c r="AD95" i="14"/>
  <c r="AD97" i="14"/>
  <c r="AD99" i="14"/>
  <c r="AD101" i="14"/>
  <c r="AD103" i="14"/>
  <c r="AD106" i="14"/>
  <c r="AD107" i="14"/>
  <c r="AD67" i="14"/>
  <c r="T77" i="19"/>
  <c r="T78" i="19"/>
  <c r="T79" i="19"/>
  <c r="T80" i="19"/>
  <c r="AD112" i="18"/>
  <c r="U112" i="18"/>
  <c r="Y112" i="18" s="1"/>
  <c r="T112" i="18"/>
  <c r="X112" i="18" s="1"/>
  <c r="S112" i="18"/>
  <c r="P112" i="18"/>
  <c r="AD111" i="18"/>
  <c r="U111" i="18"/>
  <c r="Y111" i="18" s="1"/>
  <c r="T111" i="18"/>
  <c r="X111" i="18" s="1"/>
  <c r="S111" i="18"/>
  <c r="P111" i="18"/>
  <c r="P114" i="18"/>
  <c r="S114" i="18"/>
  <c r="T114" i="18"/>
  <c r="U114" i="18"/>
  <c r="X114" i="18"/>
  <c r="Y114" i="18"/>
  <c r="AD114" i="18"/>
  <c r="S104" i="18"/>
  <c r="T104" i="18"/>
  <c r="X104" i="18" s="1"/>
  <c r="U104" i="18"/>
  <c r="Y104" i="18" s="1"/>
  <c r="AD104" i="18"/>
  <c r="S105" i="18"/>
  <c r="T105" i="18"/>
  <c r="X105" i="18" s="1"/>
  <c r="U105" i="18"/>
  <c r="Y105" i="18" s="1"/>
  <c r="AD105" i="18"/>
  <c r="S106" i="18"/>
  <c r="T106" i="18"/>
  <c r="X106" i="18" s="1"/>
  <c r="U106" i="18"/>
  <c r="Y106" i="18" s="1"/>
  <c r="AD106" i="18"/>
  <c r="S107" i="18"/>
  <c r="T107" i="18"/>
  <c r="X107" i="18" s="1"/>
  <c r="U107" i="18"/>
  <c r="Y107" i="18" s="1"/>
  <c r="AD107" i="18"/>
  <c r="S108" i="18"/>
  <c r="T108" i="18"/>
  <c r="X108" i="18" s="1"/>
  <c r="U108" i="18"/>
  <c r="Y108" i="18" s="1"/>
  <c r="AD108" i="18"/>
  <c r="S109" i="18"/>
  <c r="T109" i="18"/>
  <c r="X109" i="18" s="1"/>
  <c r="U109" i="18"/>
  <c r="Y109" i="18" s="1"/>
  <c r="AD109" i="18"/>
  <c r="S110" i="18"/>
  <c r="T110" i="18"/>
  <c r="X110" i="18" s="1"/>
  <c r="U110" i="18"/>
  <c r="Y110" i="18" s="1"/>
  <c r="AD110" i="18"/>
  <c r="S113" i="18"/>
  <c r="T113" i="18"/>
  <c r="X113" i="18" s="1"/>
  <c r="U113" i="18"/>
  <c r="Y113" i="18" s="1"/>
  <c r="AD113" i="18"/>
  <c r="AD103" i="18"/>
  <c r="U103" i="18"/>
  <c r="Y103" i="18" s="1"/>
  <c r="T103" i="18"/>
  <c r="X103" i="18" s="1"/>
  <c r="S103" i="18"/>
  <c r="P104" i="18"/>
  <c r="P105" i="18"/>
  <c r="P106" i="18"/>
  <c r="P107" i="18"/>
  <c r="P108" i="18"/>
  <c r="P109" i="18"/>
  <c r="P110" i="18"/>
  <c r="P113" i="18"/>
  <c r="P103" i="18"/>
  <c r="Q99" i="18"/>
  <c r="R99" i="18" s="1"/>
  <c r="AD83" i="18"/>
  <c r="R93" i="18"/>
  <c r="R95" i="18" s="1"/>
  <c r="P101" i="18"/>
  <c r="P99" i="18"/>
  <c r="P97" i="18"/>
  <c r="P95" i="18"/>
  <c r="P93" i="18"/>
  <c r="P91" i="18"/>
  <c r="S101" i="18"/>
  <c r="S99" i="18"/>
  <c r="S97" i="18"/>
  <c r="S95" i="18"/>
  <c r="S93" i="18"/>
  <c r="S91" i="18"/>
  <c r="U101" i="18"/>
  <c r="T101" i="18"/>
  <c r="U99" i="18"/>
  <c r="T99" i="18"/>
  <c r="U97" i="18"/>
  <c r="T97" i="18"/>
  <c r="U95" i="18"/>
  <c r="T95" i="18"/>
  <c r="U93" i="18"/>
  <c r="T93" i="18"/>
  <c r="U91" i="18"/>
  <c r="T91" i="18"/>
  <c r="Y101" i="18"/>
  <c r="X101" i="18"/>
  <c r="Y99" i="18"/>
  <c r="X99" i="18"/>
  <c r="Y97" i="18"/>
  <c r="X97" i="18"/>
  <c r="Y95" i="18"/>
  <c r="X95" i="18"/>
  <c r="Y93" i="18"/>
  <c r="X93" i="18"/>
  <c r="Y91" i="18"/>
  <c r="X91" i="18"/>
  <c r="AD101" i="18"/>
  <c r="AD99" i="18"/>
  <c r="AD97" i="18"/>
  <c r="AD95" i="18"/>
  <c r="AD93" i="18"/>
  <c r="AD91" i="18"/>
  <c r="AD89" i="18"/>
  <c r="AD87" i="18"/>
  <c r="AD85" i="18"/>
  <c r="R87" i="18"/>
  <c r="R89" i="18" s="1"/>
  <c r="R83" i="18"/>
  <c r="AD81" i="18"/>
  <c r="AD79" i="18"/>
  <c r="S79" i="18"/>
  <c r="T79" i="18"/>
  <c r="X79" i="18" s="1"/>
  <c r="U79" i="18"/>
  <c r="Y79" i="18" s="1"/>
  <c r="S81" i="18"/>
  <c r="T81" i="18"/>
  <c r="X81" i="18" s="1"/>
  <c r="U81" i="18"/>
  <c r="Y81" i="18" s="1"/>
  <c r="S83" i="18"/>
  <c r="T83" i="18"/>
  <c r="X83" i="18" s="1"/>
  <c r="U83" i="18"/>
  <c r="Y83" i="18" s="1"/>
  <c r="S85" i="18"/>
  <c r="T85" i="18"/>
  <c r="X85" i="18" s="1"/>
  <c r="U85" i="18"/>
  <c r="Y85" i="18" s="1"/>
  <c r="S87" i="18"/>
  <c r="T87" i="18"/>
  <c r="X87" i="18" s="1"/>
  <c r="U87" i="18"/>
  <c r="Y87" i="18" s="1"/>
  <c r="S89" i="18"/>
  <c r="T89" i="18"/>
  <c r="X89" i="18" s="1"/>
  <c r="U89" i="18"/>
  <c r="Y89" i="18" s="1"/>
  <c r="P79" i="18"/>
  <c r="P81" i="18"/>
  <c r="P83" i="18"/>
  <c r="P85" i="18"/>
  <c r="P87" i="18"/>
  <c r="P89" i="18"/>
  <c r="U78" i="18"/>
  <c r="Y78" i="18" s="1"/>
  <c r="T78" i="18"/>
  <c r="X78" i="18" s="1"/>
  <c r="S78" i="18"/>
  <c r="P78" i="18"/>
  <c r="U77" i="18"/>
  <c r="Y77" i="18" s="1"/>
  <c r="T77" i="18"/>
  <c r="X77" i="18" s="1"/>
  <c r="S77" i="18"/>
  <c r="P77" i="18"/>
  <c r="U76" i="18"/>
  <c r="Y76" i="18" s="1"/>
  <c r="T76" i="18"/>
  <c r="X76" i="18" s="1"/>
  <c r="S76" i="18"/>
  <c r="P76" i="18"/>
  <c r="U75" i="18"/>
  <c r="Y75" i="18" s="1"/>
  <c r="T75" i="18"/>
  <c r="X75" i="18" s="1"/>
  <c r="S75" i="18"/>
  <c r="P75" i="18"/>
  <c r="U74" i="18"/>
  <c r="Y74" i="18" s="1"/>
  <c r="T74" i="18"/>
  <c r="X74" i="18" s="1"/>
  <c r="S74" i="18"/>
  <c r="P74" i="18"/>
  <c r="U68" i="18"/>
  <c r="P51" i="18"/>
  <c r="S51" i="18"/>
  <c r="T51" i="18"/>
  <c r="U51" i="18"/>
  <c r="X51" i="18"/>
  <c r="Y51" i="18"/>
  <c r="AD51" i="18"/>
  <c r="P52" i="18"/>
  <c r="S52" i="18"/>
  <c r="T52" i="18"/>
  <c r="U52" i="18"/>
  <c r="X52" i="18"/>
  <c r="Y52" i="18"/>
  <c r="AD52" i="18"/>
  <c r="P53" i="18"/>
  <c r="S53" i="18"/>
  <c r="T53" i="18"/>
  <c r="U53" i="18"/>
  <c r="X53" i="18"/>
  <c r="Y53" i="18"/>
  <c r="AD53" i="18"/>
  <c r="P54" i="18"/>
  <c r="S54" i="18"/>
  <c r="T54" i="18"/>
  <c r="U54" i="18"/>
  <c r="X54" i="18"/>
  <c r="Y54" i="18"/>
  <c r="AD54" i="18"/>
  <c r="P55" i="18"/>
  <c r="S55" i="18"/>
  <c r="T55" i="18"/>
  <c r="U55" i="18"/>
  <c r="X55" i="18"/>
  <c r="Y55" i="18"/>
  <c r="AD55" i="18"/>
  <c r="S73" i="18"/>
  <c r="T73" i="18"/>
  <c r="X73" i="18" s="1"/>
  <c r="U73" i="18"/>
  <c r="Y73" i="18" s="1"/>
  <c r="P73" i="18"/>
  <c r="U72" i="18"/>
  <c r="Y72" i="18" s="1"/>
  <c r="T72" i="18"/>
  <c r="X72" i="18" s="1"/>
  <c r="S72" i="18"/>
  <c r="P72" i="18"/>
  <c r="S66" i="18"/>
  <c r="T66" i="18"/>
  <c r="U66" i="18"/>
  <c r="X66" i="18"/>
  <c r="Y66" i="18"/>
  <c r="S67" i="18"/>
  <c r="T67" i="18"/>
  <c r="U67" i="18"/>
  <c r="X67" i="18"/>
  <c r="Y67" i="18"/>
  <c r="P68" i="18"/>
  <c r="S68" i="18"/>
  <c r="T68" i="18"/>
  <c r="X68" i="18"/>
  <c r="Y68" i="18"/>
  <c r="P69" i="18"/>
  <c r="S69" i="18"/>
  <c r="T69" i="18"/>
  <c r="U69" i="18"/>
  <c r="X69" i="18"/>
  <c r="Y69" i="18"/>
  <c r="P70" i="18"/>
  <c r="S70" i="18"/>
  <c r="T70" i="18"/>
  <c r="U70" i="18"/>
  <c r="X70" i="18"/>
  <c r="Y70" i="18"/>
  <c r="P71" i="18"/>
  <c r="S71" i="18"/>
  <c r="T71" i="18"/>
  <c r="U71" i="18"/>
  <c r="X71" i="18"/>
  <c r="Y71" i="18"/>
  <c r="T56" i="18"/>
  <c r="U56" i="18"/>
  <c r="T57" i="18"/>
  <c r="X57" i="18" s="1"/>
  <c r="U57" i="18"/>
  <c r="Y57" i="18" s="1"/>
  <c r="T58" i="18"/>
  <c r="X58" i="18" s="1"/>
  <c r="U58" i="18"/>
  <c r="Y58" i="18" s="1"/>
  <c r="T59" i="18"/>
  <c r="X59" i="18" s="1"/>
  <c r="U59" i="18"/>
  <c r="Y59" i="18" s="1"/>
  <c r="T60" i="18"/>
  <c r="X60" i="18" s="1"/>
  <c r="U60" i="18"/>
  <c r="Y60" i="18" s="1"/>
  <c r="T61" i="18"/>
  <c r="X61" i="18" s="1"/>
  <c r="U61" i="18"/>
  <c r="Y61" i="18" s="1"/>
  <c r="T62" i="18"/>
  <c r="X62" i="18" s="1"/>
  <c r="U62" i="18"/>
  <c r="Y62" i="18" s="1"/>
  <c r="T63" i="18"/>
  <c r="X63" i="18" s="1"/>
  <c r="U63" i="18"/>
  <c r="Y63" i="18" s="1"/>
  <c r="T64" i="18"/>
  <c r="X64" i="18" s="1"/>
  <c r="U64" i="18"/>
  <c r="Y64" i="18" s="1"/>
  <c r="T65" i="18"/>
  <c r="X65" i="18" s="1"/>
  <c r="U65" i="18"/>
  <c r="Y65" i="18" s="1"/>
  <c r="S57" i="18"/>
  <c r="S58" i="18"/>
  <c r="S59" i="18"/>
  <c r="S60" i="18"/>
  <c r="S61" i="18"/>
  <c r="S62" i="18"/>
  <c r="S63" i="18"/>
  <c r="S64" i="18"/>
  <c r="S65" i="18"/>
  <c r="P57" i="18"/>
  <c r="P58" i="18"/>
  <c r="P59" i="18"/>
  <c r="P60" i="18"/>
  <c r="P61" i="18"/>
  <c r="P62" i="18"/>
  <c r="P63" i="18"/>
  <c r="P64" i="18"/>
  <c r="AD48" i="18"/>
  <c r="U48" i="18"/>
  <c r="Y48" i="18" s="1"/>
  <c r="T48" i="18"/>
  <c r="X48" i="18" s="1"/>
  <c r="S48" i="18"/>
  <c r="P48" i="18"/>
  <c r="AD47" i="18"/>
  <c r="U47" i="18"/>
  <c r="Y47" i="18" s="1"/>
  <c r="T47" i="18"/>
  <c r="X47" i="18" s="1"/>
  <c r="S47" i="18"/>
  <c r="P47" i="18"/>
  <c r="AD43" i="18"/>
  <c r="U43" i="18"/>
  <c r="Y43" i="18" s="1"/>
  <c r="T43" i="18"/>
  <c r="X43" i="18" s="1"/>
  <c r="S43" i="18"/>
  <c r="P43" i="18"/>
  <c r="U42" i="18"/>
  <c r="T42" i="18"/>
  <c r="S42" i="18"/>
  <c r="P42" i="18"/>
  <c r="AD36" i="18"/>
  <c r="U36" i="18"/>
  <c r="Y36" i="18" s="1"/>
  <c r="T36" i="18"/>
  <c r="X36" i="18" s="1"/>
  <c r="S36" i="18"/>
  <c r="P36" i="18"/>
  <c r="AD37" i="18"/>
  <c r="AB38" i="18" s="1"/>
  <c r="AD38" i="18"/>
  <c r="AD40" i="18"/>
  <c r="AB41" i="18" s="1"/>
  <c r="AD41" i="18"/>
  <c r="AD42" i="18"/>
  <c r="AD44" i="18"/>
  <c r="AD45" i="18"/>
  <c r="AD46" i="18"/>
  <c r="AD49" i="18"/>
  <c r="AD50" i="18"/>
  <c r="AD56" i="18"/>
  <c r="AD35" i="18"/>
  <c r="P30" i="18"/>
  <c r="P31" i="18"/>
  <c r="P32" i="18"/>
  <c r="P33" i="18"/>
  <c r="S30" i="18"/>
  <c r="T30" i="18"/>
  <c r="U30" i="18"/>
  <c r="S31" i="18"/>
  <c r="T31" i="18"/>
  <c r="U31" i="18"/>
  <c r="S32" i="18"/>
  <c r="T32" i="18"/>
  <c r="U32" i="18"/>
  <c r="S33" i="18"/>
  <c r="T33" i="18"/>
  <c r="U33" i="18"/>
  <c r="X30" i="18"/>
  <c r="Y30" i="18"/>
  <c r="X31" i="18"/>
  <c r="Y31" i="18"/>
  <c r="X32" i="18"/>
  <c r="Y32" i="18"/>
  <c r="X33" i="18"/>
  <c r="Y33" i="18"/>
  <c r="AD30" i="18"/>
  <c r="AB31" i="18" s="1"/>
  <c r="AD31" i="18" s="1"/>
  <c r="AB32" i="18" s="1"/>
  <c r="AD32" i="18" s="1"/>
  <c r="AB33" i="18" s="1"/>
  <c r="AD33" i="18" s="1"/>
  <c r="S29" i="18"/>
  <c r="AA24" i="18"/>
  <c r="AA22" i="18"/>
  <c r="AD26" i="18"/>
  <c r="AD27" i="18"/>
  <c r="AD28" i="18"/>
  <c r="AD29" i="18"/>
  <c r="AD34" i="18"/>
  <c r="AD25" i="18"/>
  <c r="S56" i="18"/>
  <c r="T26" i="18"/>
  <c r="X26" i="18" s="1"/>
  <c r="U26" i="18"/>
  <c r="Y26" i="18" s="1"/>
  <c r="T27" i="18"/>
  <c r="X27" i="18" s="1"/>
  <c r="U27" i="18"/>
  <c r="Y27" i="18" s="1"/>
  <c r="T28" i="18"/>
  <c r="X28" i="18" s="1"/>
  <c r="U28" i="18"/>
  <c r="Y28" i="18" s="1"/>
  <c r="T29" i="18"/>
  <c r="X29" i="18" s="1"/>
  <c r="U29" i="18"/>
  <c r="Y29" i="18" s="1"/>
  <c r="T34" i="18"/>
  <c r="X34" i="18" s="1"/>
  <c r="U34" i="18"/>
  <c r="Y34" i="18" s="1"/>
  <c r="T35" i="18"/>
  <c r="X35" i="18" s="1"/>
  <c r="U35" i="18"/>
  <c r="Y35" i="18" s="1"/>
  <c r="T37" i="18"/>
  <c r="X37" i="18" s="1"/>
  <c r="U37" i="18"/>
  <c r="Y37" i="18" s="1"/>
  <c r="T38" i="18"/>
  <c r="X38" i="18" s="1"/>
  <c r="U38" i="18"/>
  <c r="Y38" i="18" s="1"/>
  <c r="T39" i="18"/>
  <c r="X39" i="18" s="1"/>
  <c r="U39" i="18"/>
  <c r="Y39" i="18" s="1"/>
  <c r="T40" i="18"/>
  <c r="X40" i="18" s="1"/>
  <c r="U40" i="18"/>
  <c r="Y40" i="18" s="1"/>
  <c r="T41" i="18"/>
  <c r="X41" i="18" s="1"/>
  <c r="U41" i="18"/>
  <c r="Y41" i="18" s="1"/>
  <c r="X42" i="18"/>
  <c r="Y42" i="18"/>
  <c r="T44" i="18"/>
  <c r="X44" i="18" s="1"/>
  <c r="U44" i="18"/>
  <c r="Y44" i="18" s="1"/>
  <c r="T45" i="18"/>
  <c r="X45" i="18" s="1"/>
  <c r="U45" i="18"/>
  <c r="Y45" i="18" s="1"/>
  <c r="T46" i="18"/>
  <c r="X46" i="18" s="1"/>
  <c r="U46" i="18"/>
  <c r="Y46" i="18" s="1"/>
  <c r="T49" i="18"/>
  <c r="X49" i="18" s="1"/>
  <c r="U49" i="18"/>
  <c r="Y49" i="18" s="1"/>
  <c r="T50" i="18"/>
  <c r="X50" i="18" s="1"/>
  <c r="U50" i="18"/>
  <c r="Y50" i="18" s="1"/>
  <c r="X56" i="18"/>
  <c r="Y56" i="18"/>
  <c r="S46" i="18"/>
  <c r="S26" i="18"/>
  <c r="S27" i="18"/>
  <c r="S28" i="18"/>
  <c r="S34" i="18"/>
  <c r="S35" i="18"/>
  <c r="S37" i="18"/>
  <c r="S38" i="18"/>
  <c r="S39" i="18"/>
  <c r="S40" i="18"/>
  <c r="S41" i="18"/>
  <c r="S44" i="18"/>
  <c r="S45" i="18"/>
  <c r="S49" i="18"/>
  <c r="S50" i="18"/>
  <c r="P26" i="18"/>
  <c r="P27" i="18"/>
  <c r="P28" i="18"/>
  <c r="P29" i="18"/>
  <c r="P34" i="18"/>
  <c r="P35" i="18"/>
  <c r="P37" i="18"/>
  <c r="P38" i="18"/>
  <c r="P39" i="18"/>
  <c r="P40" i="18"/>
  <c r="P41" i="18"/>
  <c r="P44" i="18"/>
  <c r="P45" i="18"/>
  <c r="P46" i="18"/>
  <c r="P49" i="18"/>
  <c r="P50" i="18"/>
  <c r="P56" i="18"/>
  <c r="U22" i="18"/>
  <c r="Y22" i="18" s="1"/>
  <c r="U23" i="18"/>
  <c r="Y23" i="18" s="1"/>
  <c r="U24" i="18"/>
  <c r="Y24" i="18" s="1"/>
  <c r="T22" i="18"/>
  <c r="X22" i="18" s="1"/>
  <c r="T23" i="18"/>
  <c r="X23" i="18" s="1"/>
  <c r="T24" i="18"/>
  <c r="X24" i="18" s="1"/>
  <c r="S23" i="18"/>
  <c r="S24" i="18"/>
  <c r="S25" i="18"/>
  <c r="S22" i="18"/>
  <c r="P23" i="18"/>
  <c r="P24" i="18"/>
  <c r="P25" i="18"/>
  <c r="P22" i="18"/>
  <c r="U25" i="18"/>
  <c r="Y25" i="18" s="1"/>
  <c r="T25" i="18"/>
  <c r="X25" i="18" s="1"/>
  <c r="J34" i="13"/>
  <c r="J33" i="13"/>
  <c r="J32" i="13"/>
  <c r="J30" i="13"/>
  <c r="J31" i="13"/>
  <c r="G9" i="7"/>
  <c r="G8" i="7"/>
  <c r="G7" i="7"/>
  <c r="G6" i="7"/>
  <c r="G5" i="7"/>
  <c r="G4" i="7"/>
  <c r="G3" i="7"/>
  <c r="N74" i="11"/>
  <c r="AC34" i="10"/>
  <c r="AC35" i="10"/>
  <c r="S34" i="10"/>
  <c r="T34" i="10"/>
  <c r="U34" i="10"/>
  <c r="V34" i="10"/>
  <c r="R34" i="10"/>
  <c r="O34" i="10"/>
  <c r="AC47" i="10"/>
  <c r="AC49" i="10"/>
  <c r="AC48" i="10"/>
  <c r="O48" i="10"/>
  <c r="T107" i="10"/>
  <c r="S107" i="10"/>
  <c r="U107" i="10" s="1"/>
  <c r="X107" i="10" s="1"/>
  <c r="T106" i="10"/>
  <c r="S106" i="10"/>
  <c r="U106" i="10" s="1"/>
  <c r="X106" i="10" s="1"/>
  <c r="T105" i="10"/>
  <c r="S105" i="10"/>
  <c r="U105" i="10" s="1"/>
  <c r="X105" i="10" s="1"/>
  <c r="X78" i="10"/>
  <c r="T104" i="10"/>
  <c r="S104" i="10"/>
  <c r="U104" i="10" s="1"/>
  <c r="X104" i="10" s="1"/>
  <c r="S79" i="10"/>
  <c r="U79" i="10" s="1"/>
  <c r="T79" i="10"/>
  <c r="V79" i="10" s="1"/>
  <c r="S80" i="10"/>
  <c r="U80" i="10" s="1"/>
  <c r="T80" i="10"/>
  <c r="V80" i="10" s="1"/>
  <c r="S81" i="10"/>
  <c r="U81" i="10" s="1"/>
  <c r="T81" i="10"/>
  <c r="V81" i="10" s="1"/>
  <c r="S82" i="10"/>
  <c r="U82" i="10" s="1"/>
  <c r="T82" i="10"/>
  <c r="V82" i="10" s="1"/>
  <c r="S83" i="10"/>
  <c r="U83" i="10" s="1"/>
  <c r="T83" i="10"/>
  <c r="V83" i="10" s="1"/>
  <c r="S84" i="10"/>
  <c r="U84" i="10" s="1"/>
  <c r="T84" i="10"/>
  <c r="V84" i="10" s="1"/>
  <c r="S85" i="10"/>
  <c r="U85" i="10" s="1"/>
  <c r="T85" i="10"/>
  <c r="V85" i="10" s="1"/>
  <c r="S86" i="10"/>
  <c r="U86" i="10" s="1"/>
  <c r="T86" i="10"/>
  <c r="V86" i="10" s="1"/>
  <c r="S87" i="10"/>
  <c r="U87" i="10" s="1"/>
  <c r="T87" i="10"/>
  <c r="V87" i="10" s="1"/>
  <c r="S88" i="10"/>
  <c r="U88" i="10" s="1"/>
  <c r="T88" i="10"/>
  <c r="V88" i="10" s="1"/>
  <c r="S89" i="10"/>
  <c r="U89" i="10" s="1"/>
  <c r="T89" i="10"/>
  <c r="V89" i="10" s="1"/>
  <c r="S90" i="10"/>
  <c r="U90" i="10" s="1"/>
  <c r="T90" i="10"/>
  <c r="V90" i="10" s="1"/>
  <c r="S91" i="10"/>
  <c r="U91" i="10" s="1"/>
  <c r="T91" i="10"/>
  <c r="V91" i="10" s="1"/>
  <c r="S92" i="10"/>
  <c r="U92" i="10" s="1"/>
  <c r="T92" i="10"/>
  <c r="V92" i="10" s="1"/>
  <c r="S93" i="10"/>
  <c r="U93" i="10" s="1"/>
  <c r="T93" i="10"/>
  <c r="V93" i="10" s="1"/>
  <c r="S94" i="10"/>
  <c r="U94" i="10" s="1"/>
  <c r="T94" i="10"/>
  <c r="V94" i="10" s="1"/>
  <c r="S95" i="10"/>
  <c r="U95" i="10" s="1"/>
  <c r="T95" i="10"/>
  <c r="V95" i="10" s="1"/>
  <c r="S96" i="10"/>
  <c r="U96" i="10" s="1"/>
  <c r="T96" i="10"/>
  <c r="V96" i="10" s="1"/>
  <c r="S97" i="10"/>
  <c r="U97" i="10" s="1"/>
  <c r="T97" i="10"/>
  <c r="V97" i="10" s="1"/>
  <c r="S98" i="10"/>
  <c r="U98" i="10" s="1"/>
  <c r="T98" i="10"/>
  <c r="V98" i="10" s="1"/>
  <c r="S99" i="10"/>
  <c r="U99" i="10" s="1"/>
  <c r="T99" i="10"/>
  <c r="V99" i="10" s="1"/>
  <c r="S100" i="10"/>
  <c r="U100" i="10" s="1"/>
  <c r="T100" i="10"/>
  <c r="V100" i="10" s="1"/>
  <c r="S101" i="10"/>
  <c r="U101" i="10" s="1"/>
  <c r="T101" i="10"/>
  <c r="V101" i="10" s="1"/>
  <c r="S102" i="10"/>
  <c r="U102" i="10" s="1"/>
  <c r="T102" i="10"/>
  <c r="V102" i="10" s="1"/>
  <c r="T103" i="10"/>
  <c r="S103" i="10"/>
  <c r="U103" i="10" s="1"/>
  <c r="X103" i="10" s="1"/>
  <c r="AC38" i="10"/>
  <c r="AC42" i="10"/>
  <c r="T42" i="10"/>
  <c r="V42" i="10" s="1"/>
  <c r="S42" i="10"/>
  <c r="U42" i="10" s="1"/>
  <c r="X42" i="10" s="1"/>
  <c r="R42" i="10"/>
  <c r="O42" i="10"/>
  <c r="AC43" i="10"/>
  <c r="AC41" i="10"/>
  <c r="R41" i="10"/>
  <c r="S41" i="10"/>
  <c r="T41" i="10"/>
  <c r="U41" i="10"/>
  <c r="V41" i="10"/>
  <c r="X41" i="10"/>
  <c r="O41" i="10"/>
  <c r="AC37" i="10"/>
  <c r="AC36" i="10"/>
  <c r="R36" i="10"/>
  <c r="S36" i="10"/>
  <c r="T36" i="10"/>
  <c r="U36" i="10"/>
  <c r="V36" i="10"/>
  <c r="O36" i="10"/>
  <c r="AC77" i="10"/>
  <c r="T77" i="10"/>
  <c r="V77" i="10" s="1"/>
  <c r="S77" i="10"/>
  <c r="U77" i="10" s="1"/>
  <c r="X77" i="10" s="1"/>
  <c r="R77" i="10"/>
  <c r="O77" i="10"/>
  <c r="AC76" i="10"/>
  <c r="T76" i="10"/>
  <c r="V76" i="10" s="1"/>
  <c r="S76" i="10"/>
  <c r="U76" i="10" s="1"/>
  <c r="X76" i="10" s="1"/>
  <c r="R76" i="10"/>
  <c r="O76" i="10"/>
  <c r="AC75" i="10"/>
  <c r="T75" i="10"/>
  <c r="V75" i="10" s="1"/>
  <c r="S75" i="10"/>
  <c r="U75" i="10" s="1"/>
  <c r="X75" i="10" s="1"/>
  <c r="R75" i="10"/>
  <c r="O75" i="10"/>
  <c r="T74" i="10"/>
  <c r="V74" i="10" s="1"/>
  <c r="S74" i="10"/>
  <c r="U74" i="10" s="1"/>
  <c r="X74" i="10" s="1"/>
  <c r="R74" i="10"/>
  <c r="O74" i="10"/>
  <c r="T73" i="10"/>
  <c r="V73" i="10" s="1"/>
  <c r="S73" i="10"/>
  <c r="U73" i="10" s="1"/>
  <c r="X73" i="10" s="1"/>
  <c r="R73" i="10"/>
  <c r="O73" i="10"/>
  <c r="T72" i="10"/>
  <c r="V72" i="10" s="1"/>
  <c r="S72" i="10"/>
  <c r="U72" i="10" s="1"/>
  <c r="X72" i="10" s="1"/>
  <c r="R72" i="10"/>
  <c r="O72" i="10"/>
  <c r="T71" i="10"/>
  <c r="V71" i="10" s="1"/>
  <c r="S71" i="10"/>
  <c r="U71" i="10" s="1"/>
  <c r="X71" i="10" s="1"/>
  <c r="R71" i="10"/>
  <c r="O71" i="10"/>
  <c r="T70" i="10"/>
  <c r="V70" i="10" s="1"/>
  <c r="S70" i="10"/>
  <c r="U70" i="10" s="1"/>
  <c r="X70" i="10" s="1"/>
  <c r="R70" i="10"/>
  <c r="O70" i="10"/>
  <c r="T69" i="10"/>
  <c r="V69" i="10" s="1"/>
  <c r="S69" i="10"/>
  <c r="U69" i="10" s="1"/>
  <c r="X69" i="10" s="1"/>
  <c r="R69" i="10"/>
  <c r="O69" i="10"/>
  <c r="T68" i="10"/>
  <c r="V68" i="10" s="1"/>
  <c r="S68" i="10"/>
  <c r="U68" i="10" s="1"/>
  <c r="X68" i="10" s="1"/>
  <c r="R68" i="10"/>
  <c r="O68" i="10"/>
  <c r="T67" i="10"/>
  <c r="V67" i="10" s="1"/>
  <c r="S67" i="10"/>
  <c r="U67" i="10" s="1"/>
  <c r="X67" i="10" s="1"/>
  <c r="R67" i="10"/>
  <c r="O67" i="10"/>
  <c r="T66" i="10"/>
  <c r="V66" i="10" s="1"/>
  <c r="S66" i="10"/>
  <c r="U66" i="10" s="1"/>
  <c r="X66" i="10" s="1"/>
  <c r="R66" i="10"/>
  <c r="O66" i="10"/>
  <c r="T65" i="10"/>
  <c r="V65" i="10" s="1"/>
  <c r="S65" i="10"/>
  <c r="U65" i="10" s="1"/>
  <c r="X65" i="10" s="1"/>
  <c r="R65" i="10"/>
  <c r="O65" i="10"/>
  <c r="T64" i="10"/>
  <c r="V64" i="10" s="1"/>
  <c r="S64" i="10"/>
  <c r="U64" i="10" s="1"/>
  <c r="X64" i="10" s="1"/>
  <c r="R64" i="10"/>
  <c r="O64" i="10"/>
  <c r="T63" i="10"/>
  <c r="V63" i="10" s="1"/>
  <c r="S63" i="10"/>
  <c r="U63" i="10" s="1"/>
  <c r="X63" i="10" s="1"/>
  <c r="R63" i="10"/>
  <c r="O63" i="10"/>
  <c r="T62" i="10"/>
  <c r="V62" i="10" s="1"/>
  <c r="S62" i="10"/>
  <c r="U62" i="10" s="1"/>
  <c r="X62" i="10" s="1"/>
  <c r="R62" i="10"/>
  <c r="O62" i="10"/>
  <c r="T61" i="10"/>
  <c r="V61" i="10" s="1"/>
  <c r="S61" i="10"/>
  <c r="U61" i="10" s="1"/>
  <c r="X61" i="10" s="1"/>
  <c r="R61" i="10"/>
  <c r="O61" i="10"/>
  <c r="T60" i="10"/>
  <c r="V60" i="10" s="1"/>
  <c r="S60" i="10"/>
  <c r="U60" i="10" s="1"/>
  <c r="X60" i="10" s="1"/>
  <c r="R60" i="10"/>
  <c r="O60" i="10"/>
  <c r="T59" i="10"/>
  <c r="V59" i="10" s="1"/>
  <c r="S59" i="10"/>
  <c r="U59" i="10" s="1"/>
  <c r="X59" i="10" s="1"/>
  <c r="R59" i="10"/>
  <c r="O59" i="10"/>
  <c r="T58" i="10"/>
  <c r="V58" i="10" s="1"/>
  <c r="S58" i="10"/>
  <c r="U58" i="10" s="1"/>
  <c r="X58" i="10" s="1"/>
  <c r="R58" i="10"/>
  <c r="O58" i="10"/>
  <c r="T57" i="10"/>
  <c r="V57" i="10" s="1"/>
  <c r="S57" i="10"/>
  <c r="U57" i="10" s="1"/>
  <c r="X57" i="10" s="1"/>
  <c r="R57" i="10"/>
  <c r="O57" i="10"/>
  <c r="T56" i="10"/>
  <c r="S56" i="10"/>
  <c r="R56" i="10"/>
  <c r="T55" i="10"/>
  <c r="V55" i="10" s="1"/>
  <c r="S55" i="10"/>
  <c r="U55" i="10" s="1"/>
  <c r="X55" i="10" s="1"/>
  <c r="R55" i="10"/>
  <c r="O55" i="10"/>
  <c r="T54" i="10"/>
  <c r="V54" i="10" s="1"/>
  <c r="S54" i="10"/>
  <c r="U54" i="10" s="1"/>
  <c r="X54" i="10" s="1"/>
  <c r="R54" i="10"/>
  <c r="O54" i="10"/>
  <c r="T53" i="10"/>
  <c r="V53" i="10" s="1"/>
  <c r="S53" i="10"/>
  <c r="U53" i="10" s="1"/>
  <c r="X53" i="10" s="1"/>
  <c r="R53" i="10"/>
  <c r="O53" i="10"/>
  <c r="T52" i="10"/>
  <c r="V52" i="10" s="1"/>
  <c r="S52" i="10"/>
  <c r="U52" i="10" s="1"/>
  <c r="X52" i="10" s="1"/>
  <c r="R52" i="10"/>
  <c r="O52" i="10"/>
  <c r="T51" i="10"/>
  <c r="V51" i="10" s="1"/>
  <c r="S51" i="10"/>
  <c r="U51" i="10" s="1"/>
  <c r="X51" i="10" s="1"/>
  <c r="R51" i="10"/>
  <c r="O51" i="10"/>
  <c r="T50" i="10"/>
  <c r="V50" i="10" s="1"/>
  <c r="S50" i="10"/>
  <c r="U50" i="10" s="1"/>
  <c r="X50" i="10" s="1"/>
  <c r="R50" i="10"/>
  <c r="O50" i="10"/>
  <c r="T49" i="10"/>
  <c r="V49" i="10" s="1"/>
  <c r="S49" i="10"/>
  <c r="U49" i="10" s="1"/>
  <c r="X49" i="10" s="1"/>
  <c r="R49" i="10"/>
  <c r="O49" i="10"/>
  <c r="T48" i="10"/>
  <c r="V48" i="10" s="1"/>
  <c r="S48" i="10"/>
  <c r="U48" i="10" s="1"/>
  <c r="X48" i="10" s="1"/>
  <c r="R48" i="10"/>
  <c r="T47" i="10"/>
  <c r="V47" i="10" s="1"/>
  <c r="S47" i="10"/>
  <c r="U47" i="10" s="1"/>
  <c r="X47" i="10" s="1"/>
  <c r="R47" i="10"/>
  <c r="O47" i="10"/>
  <c r="T46" i="10"/>
  <c r="S46" i="10"/>
  <c r="R46" i="10"/>
  <c r="T45" i="10"/>
  <c r="S45" i="10"/>
  <c r="R45" i="10"/>
  <c r="T44" i="10"/>
  <c r="V44" i="10" s="1"/>
  <c r="S44" i="10"/>
  <c r="U44" i="10" s="1"/>
  <c r="X44" i="10" s="1"/>
  <c r="R44" i="10"/>
  <c r="O44" i="10"/>
  <c r="T43" i="10"/>
  <c r="V43" i="10" s="1"/>
  <c r="S43" i="10"/>
  <c r="U43" i="10" s="1"/>
  <c r="X43" i="10" s="1"/>
  <c r="R43" i="10"/>
  <c r="O43" i="10"/>
  <c r="T40" i="10"/>
  <c r="V40" i="10" s="1"/>
  <c r="S40" i="10"/>
  <c r="U40" i="10" s="1"/>
  <c r="X40" i="10" s="1"/>
  <c r="R40" i="10"/>
  <c r="O40" i="10"/>
  <c r="T39" i="10"/>
  <c r="V39" i="10" s="1"/>
  <c r="S39" i="10"/>
  <c r="U39" i="10" s="1"/>
  <c r="X39" i="10" s="1"/>
  <c r="R39" i="10"/>
  <c r="O39" i="10"/>
  <c r="T38" i="10"/>
  <c r="V38" i="10" s="1"/>
  <c r="S38" i="10"/>
  <c r="U38" i="10" s="1"/>
  <c r="X38" i="10" s="1"/>
  <c r="R38" i="10"/>
  <c r="O38" i="10"/>
  <c r="T37" i="10"/>
  <c r="V37" i="10" s="1"/>
  <c r="S37" i="10"/>
  <c r="U37" i="10" s="1"/>
  <c r="X37" i="10" s="1"/>
  <c r="R37" i="10"/>
  <c r="O37" i="10"/>
  <c r="T35" i="10"/>
  <c r="V35" i="10" s="1"/>
  <c r="S35" i="10"/>
  <c r="U35" i="10" s="1"/>
  <c r="X35" i="10" s="1"/>
  <c r="R35" i="10"/>
  <c r="O35" i="10"/>
  <c r="AC33" i="10"/>
  <c r="T33" i="10"/>
  <c r="V33" i="10" s="1"/>
  <c r="S33" i="10"/>
  <c r="U33" i="10" s="1"/>
  <c r="X33" i="10" s="1"/>
  <c r="R33" i="10"/>
  <c r="O33" i="10"/>
  <c r="AC32" i="10"/>
  <c r="T32" i="10"/>
  <c r="V32" i="10" s="1"/>
  <c r="S32" i="10"/>
  <c r="U32" i="10" s="1"/>
  <c r="X32" i="10" s="1"/>
  <c r="R32" i="10"/>
  <c r="O32" i="10"/>
  <c r="AC31" i="10"/>
  <c r="T31" i="10"/>
  <c r="V31" i="10" s="1"/>
  <c r="S31" i="10"/>
  <c r="U31" i="10" s="1"/>
  <c r="X31" i="10" s="1"/>
  <c r="R31" i="10"/>
  <c r="O31" i="10"/>
  <c r="T30" i="10"/>
  <c r="V30" i="10" s="1"/>
  <c r="S30" i="10"/>
  <c r="U30" i="10" s="1"/>
  <c r="X30" i="10" s="1"/>
  <c r="R30" i="10"/>
  <c r="O30" i="10"/>
  <c r="AC29" i="10"/>
  <c r="T29" i="10"/>
  <c r="S29" i="10"/>
  <c r="R29" i="10"/>
  <c r="AC28" i="10"/>
  <c r="T28" i="10"/>
  <c r="V28" i="10" s="1"/>
  <c r="S28" i="10"/>
  <c r="U28" i="10" s="1"/>
  <c r="X28" i="10" s="1"/>
  <c r="R28" i="10"/>
  <c r="O28" i="10"/>
  <c r="AC27" i="10"/>
  <c r="T27" i="10"/>
  <c r="V27" i="10" s="1"/>
  <c r="S27" i="10"/>
  <c r="U27" i="10" s="1"/>
  <c r="X27" i="10" s="1"/>
  <c r="R27" i="10"/>
  <c r="O27" i="10"/>
  <c r="AC26" i="10"/>
  <c r="T26" i="10"/>
  <c r="S26" i="10"/>
  <c r="R26" i="10"/>
  <c r="AC25" i="10"/>
  <c r="T25" i="10"/>
  <c r="V25" i="10" s="1"/>
  <c r="S25" i="10"/>
  <c r="U25" i="10" s="1"/>
  <c r="X25" i="10" s="1"/>
  <c r="R25" i="10"/>
  <c r="O25" i="10"/>
  <c r="AC24" i="10"/>
  <c r="T24" i="10"/>
  <c r="V24" i="10" s="1"/>
  <c r="S24" i="10"/>
  <c r="U24" i="10" s="1"/>
  <c r="X24" i="10" s="1"/>
  <c r="R24" i="10"/>
  <c r="O24" i="10"/>
  <c r="T23" i="10"/>
  <c r="S23" i="10"/>
  <c r="R23" i="10"/>
  <c r="AC22" i="10"/>
  <c r="T22" i="10"/>
  <c r="V22" i="10" s="1"/>
  <c r="S22" i="10"/>
  <c r="U22" i="10" s="1"/>
  <c r="X22" i="10" s="1"/>
  <c r="R22" i="10"/>
  <c r="O22" i="10"/>
  <c r="T21" i="10"/>
  <c r="V21" i="10" s="1"/>
  <c r="S21" i="10"/>
  <c r="U21" i="10" s="1"/>
  <c r="X21" i="10" s="1"/>
  <c r="R21" i="10"/>
  <c r="O21" i="10"/>
  <c r="AC20" i="10"/>
  <c r="T20" i="10"/>
  <c r="V20" i="10" s="1"/>
  <c r="S20" i="10"/>
  <c r="U20" i="10" s="1"/>
  <c r="X20" i="10" s="1"/>
  <c r="R20" i="10"/>
  <c r="O20" i="10"/>
  <c r="AC19" i="10"/>
  <c r="T19" i="10"/>
  <c r="V19" i="10" s="1"/>
  <c r="S19" i="10"/>
  <c r="U19" i="10" s="1"/>
  <c r="X19" i="10" s="1"/>
  <c r="R19" i="10"/>
  <c r="O19" i="10"/>
  <c r="AC18" i="10"/>
  <c r="T18" i="10"/>
  <c r="V18" i="10" s="1"/>
  <c r="S18" i="10"/>
  <c r="U18" i="10" s="1"/>
  <c r="X18" i="10" s="1"/>
  <c r="R18" i="10"/>
  <c r="O18" i="10"/>
  <c r="AC17" i="10"/>
  <c r="T17" i="10"/>
  <c r="V17" i="10" s="1"/>
  <c r="S17" i="10"/>
  <c r="U17" i="10" s="1"/>
  <c r="X17" i="10" s="1"/>
  <c r="R17" i="10"/>
  <c r="O17" i="10"/>
  <c r="AC16" i="10"/>
  <c r="T16" i="10"/>
  <c r="V16" i="10" s="1"/>
  <c r="S16" i="10"/>
  <c r="U16" i="10" s="1"/>
  <c r="X16" i="10" s="1"/>
  <c r="R16" i="10"/>
  <c r="O16" i="10"/>
  <c r="AC15" i="10"/>
  <c r="T15" i="10"/>
  <c r="V15" i="10" s="1"/>
  <c r="S15" i="10"/>
  <c r="U15" i="10" s="1"/>
  <c r="X15" i="10" s="1"/>
  <c r="R15" i="10"/>
  <c r="O15" i="10"/>
  <c r="AC14" i="10"/>
  <c r="T14" i="10"/>
  <c r="V14" i="10" s="1"/>
  <c r="S14" i="10"/>
  <c r="U14" i="10" s="1"/>
  <c r="X14" i="10" s="1"/>
  <c r="R14" i="10"/>
  <c r="O14" i="10"/>
  <c r="AC13" i="10"/>
  <c r="T13" i="10"/>
  <c r="V13" i="10" s="1"/>
  <c r="S13" i="10"/>
  <c r="U13" i="10" s="1"/>
  <c r="X13" i="10" s="1"/>
  <c r="R13" i="10"/>
  <c r="O13" i="10"/>
  <c r="AC12" i="10"/>
  <c r="T12" i="10"/>
  <c r="V12" i="10" s="1"/>
  <c r="S12" i="10"/>
  <c r="U12" i="10" s="1"/>
  <c r="X12" i="10" s="1"/>
  <c r="R12" i="10"/>
  <c r="O12" i="10"/>
  <c r="AC11" i="10"/>
  <c r="T11" i="10"/>
  <c r="V11" i="10" s="1"/>
  <c r="S11" i="10"/>
  <c r="U11" i="10" s="1"/>
  <c r="X11" i="10" s="1"/>
  <c r="R11" i="10"/>
  <c r="O11" i="10"/>
  <c r="AC10" i="10"/>
  <c r="T10" i="10"/>
  <c r="V10" i="10" s="1"/>
  <c r="S10" i="10"/>
  <c r="U10" i="10" s="1"/>
  <c r="X10" i="10" s="1"/>
  <c r="R10" i="10"/>
  <c r="O10" i="10"/>
  <c r="AC9" i="10"/>
  <c r="T9" i="10"/>
  <c r="V9" i="10" s="1"/>
  <c r="S9" i="10"/>
  <c r="U9" i="10" s="1"/>
  <c r="X9" i="10" s="1"/>
  <c r="R9" i="10"/>
  <c r="O9" i="10"/>
  <c r="T8" i="10"/>
  <c r="S8" i="10"/>
  <c r="R8" i="10"/>
  <c r="T7" i="10"/>
  <c r="S7" i="10"/>
  <c r="R7" i="10"/>
  <c r="T6" i="10"/>
  <c r="S6" i="10"/>
  <c r="R6" i="10"/>
  <c r="AC5" i="10"/>
  <c r="T5" i="10"/>
  <c r="V5" i="10" s="1"/>
  <c r="S5" i="10"/>
  <c r="U5" i="10" s="1"/>
  <c r="X5" i="10" s="1"/>
  <c r="R5" i="10"/>
  <c r="O5" i="10"/>
  <c r="AC4" i="10"/>
  <c r="T4" i="10"/>
  <c r="V4" i="10" s="1"/>
  <c r="S4" i="10"/>
  <c r="U4" i="10" s="1"/>
  <c r="X4" i="10" s="1"/>
  <c r="R4" i="10"/>
  <c r="O4" i="10"/>
  <c r="AC3" i="10"/>
  <c r="T3" i="10"/>
  <c r="V3" i="10" s="1"/>
  <c r="S3" i="10"/>
  <c r="U3" i="10" s="1"/>
  <c r="X3" i="10" s="1"/>
  <c r="R3" i="10"/>
  <c r="O3" i="10"/>
  <c r="T2" i="10"/>
  <c r="V2" i="10" s="1"/>
  <c r="S2" i="10"/>
  <c r="U2" i="10" s="1"/>
  <c r="X2" i="10" s="1"/>
  <c r="R2" i="10"/>
  <c r="O2" i="10"/>
  <c r="J29" i="12"/>
  <c r="Y2" i="12"/>
  <c r="Y37" i="12"/>
  <c r="Y30" i="12"/>
  <c r="AB52" i="12"/>
  <c r="Y52" i="12"/>
  <c r="S52" i="12"/>
  <c r="U52" i="12" s="1"/>
  <c r="R52" i="12"/>
  <c r="T52" i="12" s="1"/>
  <c r="W52" i="12" s="1"/>
  <c r="AB51" i="12"/>
  <c r="Y51" i="12"/>
  <c r="S51" i="12"/>
  <c r="U51" i="12" s="1"/>
  <c r="R51" i="12"/>
  <c r="T51" i="12" s="1"/>
  <c r="W51" i="12" s="1"/>
  <c r="AB50" i="12"/>
  <c r="Y50" i="12"/>
  <c r="S50" i="12"/>
  <c r="U50" i="12" s="1"/>
  <c r="R50" i="12"/>
  <c r="T50" i="12" s="1"/>
  <c r="W50" i="12" s="1"/>
  <c r="AB49" i="12"/>
  <c r="Y49" i="12"/>
  <c r="S49" i="12"/>
  <c r="U49" i="12" s="1"/>
  <c r="R49" i="12"/>
  <c r="T49" i="12" s="1"/>
  <c r="W49" i="12" s="1"/>
  <c r="AB48" i="12"/>
  <c r="Y48" i="12"/>
  <c r="S48" i="12"/>
  <c r="U48" i="12" s="1"/>
  <c r="R48" i="12"/>
  <c r="T48" i="12" s="1"/>
  <c r="W48" i="12" s="1"/>
  <c r="AB47" i="12"/>
  <c r="Y47" i="12"/>
  <c r="S47" i="12"/>
  <c r="U47" i="12" s="1"/>
  <c r="R47" i="12"/>
  <c r="T47" i="12" s="1"/>
  <c r="W47" i="12" s="1"/>
  <c r="AB46" i="12"/>
  <c r="Y46" i="12"/>
  <c r="S46" i="12"/>
  <c r="U46" i="12" s="1"/>
  <c r="R46" i="12"/>
  <c r="T46" i="12" s="1"/>
  <c r="W46" i="12" s="1"/>
  <c r="AB45" i="12"/>
  <c r="Y45" i="12"/>
  <c r="S45" i="12"/>
  <c r="U45" i="12" s="1"/>
  <c r="R45" i="12"/>
  <c r="T45" i="12" s="1"/>
  <c r="W45" i="12" s="1"/>
  <c r="AB44" i="12"/>
  <c r="Y44" i="12"/>
  <c r="S44" i="12"/>
  <c r="U44" i="12" s="1"/>
  <c r="R44" i="12"/>
  <c r="T44" i="12" s="1"/>
  <c r="W44" i="12" s="1"/>
  <c r="AB43" i="12"/>
  <c r="Y43" i="12"/>
  <c r="S43" i="12"/>
  <c r="U43" i="12" s="1"/>
  <c r="R43" i="12"/>
  <c r="T43" i="12" s="1"/>
  <c r="W43" i="12" s="1"/>
  <c r="AB42" i="12"/>
  <c r="Y42" i="12"/>
  <c r="S42" i="12"/>
  <c r="U42" i="12" s="1"/>
  <c r="R42" i="12"/>
  <c r="T42" i="12" s="1"/>
  <c r="W42" i="12" s="1"/>
  <c r="AB41" i="12"/>
  <c r="Y41" i="12"/>
  <c r="S41" i="12"/>
  <c r="U41" i="12" s="1"/>
  <c r="R41" i="12"/>
  <c r="T41" i="12" s="1"/>
  <c r="W41" i="12" s="1"/>
  <c r="AB40" i="12"/>
  <c r="Y40" i="12"/>
  <c r="S40" i="12"/>
  <c r="U40" i="12" s="1"/>
  <c r="R40" i="12"/>
  <c r="T40" i="12" s="1"/>
  <c r="W40" i="12" s="1"/>
  <c r="AB39" i="12"/>
  <c r="Y39" i="12"/>
  <c r="S39" i="12"/>
  <c r="U39" i="12" s="1"/>
  <c r="R39" i="12"/>
  <c r="T39" i="12" s="1"/>
  <c r="W39" i="12" s="1"/>
  <c r="AB38" i="12"/>
  <c r="Y38" i="12"/>
  <c r="S38" i="12"/>
  <c r="U38" i="12" s="1"/>
  <c r="R38" i="12"/>
  <c r="T38" i="12" s="1"/>
  <c r="W38" i="12" s="1"/>
  <c r="AB37" i="12"/>
  <c r="S37" i="12"/>
  <c r="U37" i="12" s="1"/>
  <c r="R37" i="12"/>
  <c r="T37" i="12" s="1"/>
  <c r="W37" i="12" s="1"/>
  <c r="AB36" i="12"/>
  <c r="Y36" i="12"/>
  <c r="S36" i="12"/>
  <c r="U36" i="12" s="1"/>
  <c r="R36" i="12"/>
  <c r="T36" i="12" s="1"/>
  <c r="W36" i="12" s="1"/>
  <c r="AB35" i="12"/>
  <c r="Y35" i="12"/>
  <c r="S35" i="12"/>
  <c r="U35" i="12" s="1"/>
  <c r="R35" i="12"/>
  <c r="T35" i="12" s="1"/>
  <c r="W35" i="12" s="1"/>
  <c r="AB33" i="12"/>
  <c r="Y33" i="12"/>
  <c r="S33" i="12"/>
  <c r="U33" i="12" s="1"/>
  <c r="R33" i="12"/>
  <c r="T33" i="12" s="1"/>
  <c r="W33" i="12" s="1"/>
  <c r="AB32" i="12"/>
  <c r="Y32" i="12"/>
  <c r="S32" i="12"/>
  <c r="U32" i="12" s="1"/>
  <c r="R32" i="12"/>
  <c r="T32" i="12" s="1"/>
  <c r="W32" i="12" s="1"/>
  <c r="AB31" i="12"/>
  <c r="Y31" i="12"/>
  <c r="S31" i="12"/>
  <c r="U31" i="12" s="1"/>
  <c r="R31" i="12"/>
  <c r="T31" i="12" s="1"/>
  <c r="W31" i="12" s="1"/>
  <c r="AB30" i="12"/>
  <c r="S30" i="12"/>
  <c r="U30" i="12" s="1"/>
  <c r="R30" i="12"/>
  <c r="T30" i="12" s="1"/>
  <c r="W30" i="12" s="1"/>
  <c r="AB29" i="12"/>
  <c r="Y29" i="12"/>
  <c r="S29" i="12"/>
  <c r="U29" i="12" s="1"/>
  <c r="R29" i="12"/>
  <c r="T29" i="12" s="1"/>
  <c r="W29" i="12" s="1"/>
  <c r="AB28" i="12"/>
  <c r="Y28" i="12"/>
  <c r="S28" i="12"/>
  <c r="U28" i="12" s="1"/>
  <c r="R28" i="12"/>
  <c r="T28" i="12" s="1"/>
  <c r="W28" i="12" s="1"/>
  <c r="AB27" i="12"/>
  <c r="Y27" i="12"/>
  <c r="S27" i="12"/>
  <c r="U27" i="12" s="1"/>
  <c r="R27" i="12"/>
  <c r="T27" i="12" s="1"/>
  <c r="W27" i="12" s="1"/>
  <c r="AB26" i="12"/>
  <c r="Y26" i="12"/>
  <c r="S26" i="12"/>
  <c r="U26" i="12" s="1"/>
  <c r="R26" i="12"/>
  <c r="T26" i="12" s="1"/>
  <c r="W26" i="12" s="1"/>
  <c r="AB25" i="12"/>
  <c r="Y25" i="12"/>
  <c r="S25" i="12"/>
  <c r="U25" i="12" s="1"/>
  <c r="R25" i="12"/>
  <c r="T25" i="12" s="1"/>
  <c r="W25" i="12" s="1"/>
  <c r="AB24" i="12"/>
  <c r="Y24" i="12"/>
  <c r="S24" i="12"/>
  <c r="U24" i="12" s="1"/>
  <c r="R24" i="12"/>
  <c r="T24" i="12" s="1"/>
  <c r="W24" i="12" s="1"/>
  <c r="AB23" i="12"/>
  <c r="Y23" i="12"/>
  <c r="S23" i="12"/>
  <c r="U23" i="12" s="1"/>
  <c r="R23" i="12"/>
  <c r="T23" i="12" s="1"/>
  <c r="W23" i="12" s="1"/>
  <c r="AB22" i="12"/>
  <c r="Y22" i="12"/>
  <c r="S22" i="12"/>
  <c r="U22" i="12" s="1"/>
  <c r="R22" i="12"/>
  <c r="T22" i="12" s="1"/>
  <c r="W22" i="12" s="1"/>
  <c r="AB21" i="12"/>
  <c r="Y21" i="12"/>
  <c r="S21" i="12"/>
  <c r="U21" i="12" s="1"/>
  <c r="R21" i="12"/>
  <c r="T21" i="12" s="1"/>
  <c r="W21" i="12" s="1"/>
  <c r="AB20" i="12"/>
  <c r="Y20" i="12"/>
  <c r="S20" i="12"/>
  <c r="U20" i="12" s="1"/>
  <c r="R20" i="12"/>
  <c r="T20" i="12" s="1"/>
  <c r="W20" i="12" s="1"/>
  <c r="AB19" i="12"/>
  <c r="Y19" i="12"/>
  <c r="S19" i="12"/>
  <c r="U19" i="12" s="1"/>
  <c r="R19" i="12"/>
  <c r="T19" i="12" s="1"/>
  <c r="W19" i="12" s="1"/>
  <c r="AB18" i="12"/>
  <c r="Y18" i="12"/>
  <c r="S18" i="12"/>
  <c r="U18" i="12" s="1"/>
  <c r="R18" i="12"/>
  <c r="T18" i="12" s="1"/>
  <c r="W18" i="12" s="1"/>
  <c r="AB17" i="12"/>
  <c r="Y17" i="12"/>
  <c r="S17" i="12"/>
  <c r="U17" i="12" s="1"/>
  <c r="R17" i="12"/>
  <c r="T17" i="12" s="1"/>
  <c r="W17" i="12" s="1"/>
  <c r="AB16" i="12"/>
  <c r="Y16" i="12"/>
  <c r="S16" i="12"/>
  <c r="U16" i="12" s="1"/>
  <c r="R16" i="12"/>
  <c r="T16" i="12" s="1"/>
  <c r="W16" i="12" s="1"/>
  <c r="AB15" i="12"/>
  <c r="Y15" i="12"/>
  <c r="S15" i="12"/>
  <c r="U15" i="12" s="1"/>
  <c r="R15" i="12"/>
  <c r="T15" i="12" s="1"/>
  <c r="W15" i="12" s="1"/>
  <c r="AB14" i="12"/>
  <c r="Y14" i="12"/>
  <c r="S14" i="12"/>
  <c r="U14" i="12" s="1"/>
  <c r="R14" i="12"/>
  <c r="T14" i="12" s="1"/>
  <c r="W14" i="12" s="1"/>
  <c r="AB13" i="12"/>
  <c r="Y13" i="12"/>
  <c r="S13" i="12"/>
  <c r="U13" i="12" s="1"/>
  <c r="R13" i="12"/>
  <c r="T13" i="12" s="1"/>
  <c r="W13" i="12" s="1"/>
  <c r="AB12" i="12"/>
  <c r="Y12" i="12"/>
  <c r="W12" i="12"/>
  <c r="S12" i="12"/>
  <c r="AB11" i="12"/>
  <c r="Y11" i="12"/>
  <c r="R11" i="12"/>
  <c r="T11" i="12" s="1"/>
  <c r="P11" i="12"/>
  <c r="S11" i="12" s="1"/>
  <c r="U11" i="12" s="1"/>
  <c r="AB10" i="12"/>
  <c r="Y10" i="12"/>
  <c r="S10" i="12"/>
  <c r="U10" i="12" s="1"/>
  <c r="R10" i="12"/>
  <c r="T10" i="12" s="1"/>
  <c r="W10" i="12" s="1"/>
  <c r="AB9" i="12"/>
  <c r="Y9" i="12"/>
  <c r="S9" i="12"/>
  <c r="U9" i="12" s="1"/>
  <c r="R9" i="12"/>
  <c r="T9" i="12" s="1"/>
  <c r="W9" i="12" s="1"/>
  <c r="AB8" i="12"/>
  <c r="Y8" i="12"/>
  <c r="S8" i="12"/>
  <c r="U8" i="12" s="1"/>
  <c r="R8" i="12"/>
  <c r="T8" i="12" s="1"/>
  <c r="W8" i="12" s="1"/>
  <c r="AB7" i="12"/>
  <c r="Y7" i="12"/>
  <c r="S7" i="12"/>
  <c r="U7" i="12" s="1"/>
  <c r="R7" i="12"/>
  <c r="T7" i="12" s="1"/>
  <c r="W7" i="12" s="1"/>
  <c r="AB6" i="12"/>
  <c r="Y6" i="12"/>
  <c r="S6" i="12"/>
  <c r="U6" i="12" s="1"/>
  <c r="R6" i="12"/>
  <c r="T6" i="12" s="1"/>
  <c r="W6" i="12" s="1"/>
  <c r="AB5" i="12"/>
  <c r="Y5" i="12"/>
  <c r="S5" i="12"/>
  <c r="U5" i="12" s="1"/>
  <c r="R5" i="12"/>
  <c r="T5" i="12" s="1"/>
  <c r="W5" i="12" s="1"/>
  <c r="AB4" i="12"/>
  <c r="Y4" i="12"/>
  <c r="S4" i="12"/>
  <c r="U4" i="12" s="1"/>
  <c r="R4" i="12"/>
  <c r="T4" i="12" s="1"/>
  <c r="W4" i="12" s="1"/>
  <c r="AB3" i="12"/>
  <c r="Y3" i="12"/>
  <c r="S3" i="12"/>
  <c r="U3" i="12" s="1"/>
  <c r="R3" i="12"/>
  <c r="T3" i="12" s="1"/>
  <c r="W3" i="12" s="1"/>
  <c r="AB2" i="12"/>
  <c r="S2" i="12"/>
  <c r="U2" i="12" s="1"/>
  <c r="R2" i="12"/>
  <c r="B3" i="4" a="1"/>
  <c r="B3" i="4"/>
  <c r="S3" i="4" a="1"/>
  <c r="S3" i="4" s="1"/>
  <c r="R3" i="4" a="1"/>
  <c r="R3" i="4" s="1"/>
  <c r="AL3" i="4" a="1"/>
  <c r="AL3" i="4" s="1"/>
  <c r="AK3" i="4" a="1"/>
  <c r="AK3" i="4" s="1"/>
  <c r="AJ3" i="4" a="1"/>
  <c r="AJ3" i="4" s="1"/>
  <c r="AI3" i="4" a="1"/>
  <c r="AI3" i="4" s="1"/>
  <c r="AH3" i="4" a="1"/>
  <c r="AH3" i="4" s="1"/>
  <c r="AG3" i="4" a="1"/>
  <c r="AG3" i="4" s="1"/>
  <c r="AF3" i="4" a="1"/>
  <c r="AF3" i="4" s="1"/>
  <c r="AE3" i="4" a="1"/>
  <c r="AE3" i="4" s="1"/>
  <c r="AD3" i="4" a="1"/>
  <c r="AD3" i="4" s="1"/>
  <c r="AC3" i="4" a="1"/>
  <c r="AC3" i="4" s="1"/>
  <c r="AB3" i="4" a="1"/>
  <c r="AB3" i="4" s="1"/>
  <c r="AA3" i="4" a="1"/>
  <c r="AA3" i="4" s="1"/>
  <c r="Z3" i="4" a="1"/>
  <c r="Z3" i="4" s="1"/>
  <c r="Y3" i="4" a="1"/>
  <c r="Y3" i="4" s="1"/>
  <c r="X3" i="4" a="1"/>
  <c r="X3" i="4" s="1"/>
  <c r="W3" i="4" a="1"/>
  <c r="W3" i="4" s="1"/>
  <c r="V3" i="4" a="1"/>
  <c r="V3" i="4" s="1"/>
  <c r="U3" i="4" a="1"/>
  <c r="U3" i="4" s="1"/>
  <c r="Q3" i="4" a="1"/>
  <c r="Q3" i="4" s="1"/>
  <c r="P3" i="4" a="1"/>
  <c r="P3" i="4" s="1"/>
  <c r="O3" i="4" a="1"/>
  <c r="O3" i="4" s="1"/>
  <c r="N3" i="4" a="1"/>
  <c r="N3" i="4" s="1"/>
  <c r="E3" i="4" a="1"/>
  <c r="E3" i="4" s="1"/>
  <c r="D3" i="4" a="1"/>
  <c r="D3" i="4" s="1"/>
  <c r="M3" i="4" a="1"/>
  <c r="M3" i="4" s="1"/>
  <c r="L3" i="4" a="1"/>
  <c r="L3" i="4" s="1"/>
  <c r="K3" i="4" a="1"/>
  <c r="K3" i="4" s="1"/>
  <c r="J3" i="4" a="1"/>
  <c r="J3" i="4" s="1"/>
  <c r="I3" i="4" a="1"/>
  <c r="I3" i="4" s="1"/>
  <c r="H3" i="4" a="1"/>
  <c r="H3" i="4" s="1"/>
  <c r="G3" i="4" a="1"/>
  <c r="G3" i="4" s="1"/>
  <c r="F3" i="4" a="1"/>
  <c r="F3" i="4" s="1"/>
  <c r="C3" i="4" a="1"/>
  <c r="C3" i="4" s="1"/>
  <c r="P2" i="21" l="1"/>
  <c r="R3" i="21"/>
  <c r="R4" i="21"/>
  <c r="R5" i="21"/>
  <c r="R6" i="21"/>
  <c r="R7" i="21"/>
  <c r="R8" i="21"/>
  <c r="R9" i="21"/>
  <c r="R10" i="21"/>
  <c r="R11" i="21"/>
  <c r="R12" i="21"/>
  <c r="R13" i="21"/>
  <c r="R14" i="21"/>
  <c r="R15" i="21"/>
  <c r="R16" i="21"/>
  <c r="R17" i="21"/>
  <c r="R18" i="21"/>
  <c r="R19" i="21"/>
  <c r="R20" i="21"/>
  <c r="R21" i="21"/>
  <c r="R22" i="21"/>
  <c r="R23" i="21"/>
  <c r="R24" i="21"/>
  <c r="R25" i="21"/>
  <c r="R26" i="21"/>
  <c r="R27" i="21"/>
  <c r="R28" i="21"/>
  <c r="R29" i="21"/>
  <c r="R30" i="21"/>
  <c r="R31" i="21"/>
  <c r="R32" i="21"/>
  <c r="R33" i="21"/>
  <c r="R34" i="21"/>
  <c r="R35" i="21"/>
  <c r="R36" i="21"/>
  <c r="R37" i="21"/>
  <c r="R38" i="21"/>
  <c r="R39" i="21"/>
  <c r="R40" i="21"/>
  <c r="R41" i="21"/>
  <c r="R42" i="21"/>
  <c r="R43" i="21"/>
  <c r="R44" i="21"/>
  <c r="R45" i="21"/>
  <c r="R46" i="21"/>
  <c r="R47" i="21"/>
  <c r="R48" i="21"/>
  <c r="R49" i="21"/>
  <c r="R50" i="21"/>
  <c r="R51" i="21"/>
  <c r="R52" i="21"/>
  <c r="R53" i="21"/>
  <c r="R54" i="21"/>
  <c r="R55" i="21"/>
  <c r="R56" i="21"/>
  <c r="R57" i="21"/>
  <c r="R58" i="21"/>
  <c r="R59" i="21"/>
  <c r="R60" i="21"/>
  <c r="R61" i="21"/>
  <c r="R62" i="21"/>
  <c r="R63" i="21"/>
  <c r="R64" i="21"/>
  <c r="R65" i="21"/>
  <c r="R66" i="21"/>
  <c r="R67" i="21"/>
  <c r="R68" i="21"/>
  <c r="R69" i="21"/>
  <c r="R70" i="21"/>
  <c r="R71" i="21"/>
  <c r="R72" i="21"/>
  <c r="R73" i="21"/>
  <c r="R74" i="21"/>
  <c r="R75" i="21"/>
  <c r="R76" i="21"/>
  <c r="R77" i="21"/>
  <c r="R78" i="21"/>
  <c r="R79" i="21"/>
  <c r="R80" i="21"/>
  <c r="R81" i="21"/>
  <c r="R82" i="21"/>
  <c r="R83" i="21"/>
  <c r="R84" i="21"/>
  <c r="R85" i="21"/>
  <c r="R86" i="21"/>
  <c r="R87" i="21"/>
  <c r="R88" i="21"/>
  <c r="R89" i="21"/>
  <c r="R90" i="21"/>
  <c r="R91" i="21"/>
  <c r="R92" i="21"/>
  <c r="R93" i="21"/>
  <c r="R94" i="21"/>
  <c r="R95" i="21"/>
  <c r="R96" i="21"/>
  <c r="R97" i="21"/>
  <c r="R98" i="21"/>
  <c r="R99" i="21"/>
  <c r="R100" i="21"/>
  <c r="R101" i="21"/>
  <c r="R102" i="21"/>
  <c r="R103" i="21"/>
  <c r="R104" i="21"/>
  <c r="R105" i="21"/>
  <c r="R106" i="21"/>
  <c r="R107" i="21"/>
  <c r="R108" i="21"/>
  <c r="R109" i="21"/>
  <c r="R110" i="21"/>
  <c r="R111" i="21"/>
  <c r="R112" i="21"/>
  <c r="R113" i="21"/>
  <c r="R114" i="21"/>
  <c r="R115" i="21"/>
  <c r="R116" i="21"/>
  <c r="R117" i="21"/>
  <c r="R118" i="21"/>
  <c r="R119" i="21"/>
  <c r="R120" i="21"/>
  <c r="R121" i="21"/>
  <c r="R122" i="21"/>
  <c r="R123" i="21"/>
  <c r="R124" i="21"/>
  <c r="R125" i="21"/>
  <c r="R126" i="21"/>
  <c r="R127" i="21"/>
  <c r="R128" i="21"/>
  <c r="R129" i="21"/>
  <c r="R130" i="21"/>
  <c r="R131" i="21"/>
  <c r="R132" i="21"/>
  <c r="R133" i="21"/>
  <c r="R134" i="21"/>
  <c r="R135" i="21"/>
  <c r="R136" i="21"/>
  <c r="R137" i="21"/>
  <c r="R138" i="21"/>
  <c r="R139" i="21"/>
  <c r="R140" i="21"/>
  <c r="R141" i="21"/>
  <c r="R142" i="21"/>
  <c r="R143" i="21"/>
  <c r="R144" i="21"/>
  <c r="R145" i="21"/>
  <c r="R146" i="21"/>
  <c r="R147" i="21"/>
  <c r="R148" i="21"/>
  <c r="R149" i="21"/>
  <c r="R150" i="21"/>
  <c r="R151" i="21"/>
  <c r="R152" i="21"/>
  <c r="R153" i="21"/>
  <c r="R154" i="21"/>
  <c r="R155" i="21"/>
  <c r="R156" i="21"/>
  <c r="R157" i="21"/>
  <c r="R158" i="21"/>
  <c r="R159" i="21"/>
  <c r="R160" i="21"/>
  <c r="R161" i="21"/>
  <c r="R162" i="21"/>
  <c r="R163" i="21"/>
  <c r="R164" i="21"/>
  <c r="R165" i="21"/>
  <c r="R166" i="21"/>
  <c r="R167" i="21"/>
  <c r="R168" i="21"/>
  <c r="R169" i="21"/>
  <c r="R170" i="21"/>
  <c r="R171" i="21"/>
  <c r="R172" i="21"/>
  <c r="R173" i="21"/>
  <c r="R174" i="21"/>
  <c r="R175" i="21"/>
  <c r="R176" i="21"/>
  <c r="R177" i="21"/>
  <c r="R178" i="21"/>
  <c r="R179" i="21"/>
  <c r="R180" i="21"/>
  <c r="R181" i="21"/>
  <c r="R182" i="21"/>
  <c r="R183" i="21"/>
  <c r="R184" i="21"/>
  <c r="R185" i="21"/>
  <c r="R186" i="21"/>
  <c r="R187" i="21"/>
  <c r="R188" i="21"/>
  <c r="R189" i="21"/>
  <c r="R190" i="21"/>
  <c r="R191" i="21"/>
  <c r="R192" i="21"/>
  <c r="R193" i="21"/>
  <c r="R194" i="21"/>
  <c r="R195" i="21"/>
  <c r="R196" i="21"/>
  <c r="R197" i="21"/>
  <c r="R198" i="21"/>
  <c r="R199" i="21"/>
  <c r="R200" i="21"/>
  <c r="R2" i="21"/>
  <c r="Q3" i="21"/>
  <c r="Q4" i="21"/>
  <c r="Q5" i="21"/>
  <c r="Q6" i="2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6" i="21"/>
  <c r="Q27" i="21"/>
  <c r="Q28" i="21"/>
  <c r="Q29" i="21"/>
  <c r="Q30" i="21"/>
  <c r="Q31" i="21"/>
  <c r="Q32" i="21"/>
  <c r="Q33" i="21"/>
  <c r="Q34" i="21"/>
  <c r="Q35" i="21"/>
  <c r="Q36" i="21"/>
  <c r="Q37" i="21"/>
  <c r="Q38" i="21"/>
  <c r="Q39" i="21"/>
  <c r="Q40" i="21"/>
  <c r="Q41" i="21"/>
  <c r="Q42" i="21"/>
  <c r="Q43" i="21"/>
  <c r="Q44" i="21"/>
  <c r="Q45" i="21"/>
  <c r="Q46" i="21"/>
  <c r="Q47" i="21"/>
  <c r="Q48" i="21"/>
  <c r="Q49" i="21"/>
  <c r="Q50" i="21"/>
  <c r="Q51" i="21"/>
  <c r="Q52" i="21"/>
  <c r="Q53" i="21"/>
  <c r="Q54" i="21"/>
  <c r="Q55" i="21"/>
  <c r="Q56" i="21"/>
  <c r="Q57" i="21"/>
  <c r="Q58" i="21"/>
  <c r="Q59" i="21"/>
  <c r="Q60" i="21"/>
  <c r="Q61" i="21"/>
  <c r="Q62" i="21"/>
  <c r="Q63" i="21"/>
  <c r="Q64" i="21"/>
  <c r="Q65" i="21"/>
  <c r="Q66" i="21"/>
  <c r="Q67" i="21"/>
  <c r="Q68" i="21"/>
  <c r="Q69" i="21"/>
  <c r="Q70" i="21"/>
  <c r="Q71" i="21"/>
  <c r="Q72" i="21"/>
  <c r="Q73" i="21"/>
  <c r="Q74" i="21"/>
  <c r="Q75" i="21"/>
  <c r="Q76" i="21"/>
  <c r="Q77" i="21"/>
  <c r="Q78" i="21"/>
  <c r="Q79" i="21"/>
  <c r="Q80" i="21"/>
  <c r="Q81" i="21"/>
  <c r="Q82" i="21"/>
  <c r="Q83" i="21"/>
  <c r="Q84" i="21"/>
  <c r="Q85" i="21"/>
  <c r="Q86" i="21"/>
  <c r="Q87" i="21"/>
  <c r="Q88" i="21"/>
  <c r="Q89" i="21"/>
  <c r="Q90" i="21"/>
  <c r="Q91" i="21"/>
  <c r="Q92" i="21"/>
  <c r="Q93" i="21"/>
  <c r="Q94" i="21"/>
  <c r="Q95" i="21"/>
  <c r="Q96" i="21"/>
  <c r="Q97" i="21"/>
  <c r="Q98" i="21"/>
  <c r="Q99" i="21"/>
  <c r="Q100" i="21"/>
  <c r="Q101" i="21"/>
  <c r="Q102" i="21"/>
  <c r="Q103" i="21"/>
  <c r="Q104" i="21"/>
  <c r="Q105" i="21"/>
  <c r="Q106" i="21"/>
  <c r="Q107" i="21"/>
  <c r="Q108" i="21"/>
  <c r="Q109" i="21"/>
  <c r="Q110" i="21"/>
  <c r="Q111" i="21"/>
  <c r="Q112" i="21"/>
  <c r="Q113" i="21"/>
  <c r="Q114" i="21"/>
  <c r="Q115" i="21"/>
  <c r="Q116" i="21"/>
  <c r="Q117" i="21"/>
  <c r="Q118" i="21"/>
  <c r="Q119" i="21"/>
  <c r="Q120" i="21"/>
  <c r="Q121" i="21"/>
  <c r="Q122" i="21"/>
  <c r="Q123" i="21"/>
  <c r="Q124" i="21"/>
  <c r="Q125" i="21"/>
  <c r="Q126" i="21"/>
  <c r="Q127" i="21"/>
  <c r="Q128" i="21"/>
  <c r="Q129" i="21"/>
  <c r="Q130" i="21"/>
  <c r="Q131" i="21"/>
  <c r="Q132" i="21"/>
  <c r="Q133" i="21"/>
  <c r="Q134" i="21"/>
  <c r="Q135" i="21"/>
  <c r="Q136" i="21"/>
  <c r="Q137" i="21"/>
  <c r="Q138" i="21"/>
  <c r="Q139" i="21"/>
  <c r="Q140" i="21"/>
  <c r="Q141" i="21"/>
  <c r="Q142" i="21"/>
  <c r="Q143" i="21"/>
  <c r="Q144" i="21"/>
  <c r="Q145" i="21"/>
  <c r="Q146" i="21"/>
  <c r="Q147" i="21"/>
  <c r="Q148" i="21"/>
  <c r="Q149" i="21"/>
  <c r="Q150" i="21"/>
  <c r="Q151" i="21"/>
  <c r="Q152" i="21"/>
  <c r="Q153" i="21"/>
  <c r="Q154" i="21"/>
  <c r="Q155" i="21"/>
  <c r="Q156" i="21"/>
  <c r="Q157" i="21"/>
  <c r="Q158" i="21"/>
  <c r="Q159" i="21"/>
  <c r="Q160" i="21"/>
  <c r="Q161" i="21"/>
  <c r="Q162" i="21"/>
  <c r="Q163" i="21"/>
  <c r="Q164" i="21"/>
  <c r="Q165" i="21"/>
  <c r="Q166" i="21"/>
  <c r="Q167" i="21"/>
  <c r="Q168" i="21"/>
  <c r="Q169" i="21"/>
  <c r="Q170" i="21"/>
  <c r="Q171" i="21"/>
  <c r="Q172" i="21"/>
  <c r="Q173" i="21"/>
  <c r="Q174" i="21"/>
  <c r="Q175" i="21"/>
  <c r="Q176" i="21"/>
  <c r="Q177" i="21"/>
  <c r="Q178" i="21"/>
  <c r="Q179" i="21"/>
  <c r="Q180" i="21"/>
  <c r="Q181" i="21"/>
  <c r="Q182" i="21"/>
  <c r="Q183" i="21"/>
  <c r="Q184" i="21"/>
  <c r="Q185" i="21"/>
  <c r="Q186" i="21"/>
  <c r="Q187" i="21"/>
  <c r="Q188" i="21"/>
  <c r="Q189" i="21"/>
  <c r="Q190" i="21"/>
  <c r="Q191" i="21"/>
  <c r="Q192" i="21"/>
  <c r="Q193" i="21"/>
  <c r="Q194" i="21"/>
  <c r="Q195" i="21"/>
  <c r="Q196" i="21"/>
  <c r="Q197" i="21"/>
  <c r="Q198" i="21"/>
  <c r="Q199" i="21"/>
  <c r="Q200" i="21"/>
  <c r="P3" i="21"/>
  <c r="P4" i="21"/>
  <c r="P5" i="21"/>
  <c r="P6" i="21"/>
  <c r="P7" i="21"/>
  <c r="P8" i="21"/>
  <c r="P9" i="21"/>
  <c r="P10" i="21"/>
  <c r="P11" i="21"/>
  <c r="P12" i="21"/>
  <c r="P13" i="21"/>
  <c r="P14" i="21"/>
  <c r="P15" i="21"/>
  <c r="P16" i="21"/>
  <c r="P17" i="21"/>
  <c r="P18" i="21"/>
  <c r="P19" i="21"/>
  <c r="P20" i="21"/>
  <c r="P21" i="21"/>
  <c r="P22" i="21"/>
  <c r="P23" i="21"/>
  <c r="P24" i="21"/>
  <c r="P25" i="21"/>
  <c r="P26" i="21"/>
  <c r="P27" i="21"/>
  <c r="P28" i="21"/>
  <c r="P29" i="21"/>
  <c r="P30" i="21"/>
  <c r="P31" i="21"/>
  <c r="P32" i="21"/>
  <c r="P33" i="21"/>
  <c r="P34" i="21"/>
  <c r="P35" i="21"/>
  <c r="P36" i="21"/>
  <c r="P37" i="21"/>
  <c r="P38" i="21"/>
  <c r="P39" i="21"/>
  <c r="P40" i="21"/>
  <c r="P41" i="21"/>
  <c r="P42" i="21"/>
  <c r="P43" i="21"/>
  <c r="P44" i="21"/>
  <c r="P45" i="21"/>
  <c r="P46" i="21"/>
  <c r="P47" i="21"/>
  <c r="P48" i="21"/>
  <c r="P49" i="21"/>
  <c r="P50" i="21"/>
  <c r="P51" i="21"/>
  <c r="P52" i="21"/>
  <c r="P53" i="21"/>
  <c r="P54" i="21"/>
  <c r="P55" i="21"/>
  <c r="P56" i="21"/>
  <c r="P57" i="21"/>
  <c r="P58" i="21"/>
  <c r="P59" i="21"/>
  <c r="P60" i="21"/>
  <c r="P61" i="21"/>
  <c r="P62" i="21"/>
  <c r="P63" i="21"/>
  <c r="P64" i="21"/>
  <c r="P65" i="21"/>
  <c r="P66" i="21"/>
  <c r="P67" i="21"/>
  <c r="P68" i="21"/>
  <c r="P69" i="21"/>
  <c r="P70" i="21"/>
  <c r="P71" i="21"/>
  <c r="P72" i="21"/>
  <c r="P73" i="21"/>
  <c r="P74" i="21"/>
  <c r="P75" i="21"/>
  <c r="P76" i="21"/>
  <c r="P77" i="21"/>
  <c r="P78" i="21"/>
  <c r="P79" i="21"/>
  <c r="P80" i="21"/>
  <c r="P81" i="21"/>
  <c r="P82" i="21"/>
  <c r="P83" i="21"/>
  <c r="P84" i="21"/>
  <c r="P85" i="21"/>
  <c r="P86" i="21"/>
  <c r="P87" i="21"/>
  <c r="P88" i="21"/>
  <c r="P89" i="21"/>
  <c r="P90" i="21"/>
  <c r="P91" i="21"/>
  <c r="P92" i="21"/>
  <c r="P93" i="21"/>
  <c r="P94" i="21"/>
  <c r="P95" i="21"/>
  <c r="P96" i="21"/>
  <c r="P97" i="21"/>
  <c r="P98" i="21"/>
  <c r="P99" i="21"/>
  <c r="P100" i="21"/>
  <c r="P101" i="21"/>
  <c r="P102" i="21"/>
  <c r="P103" i="21"/>
  <c r="P104" i="21"/>
  <c r="P105" i="21"/>
  <c r="P106" i="21"/>
  <c r="P107" i="21"/>
  <c r="P108" i="21"/>
  <c r="P109" i="21"/>
  <c r="P110" i="21"/>
  <c r="P111" i="21"/>
  <c r="P112" i="21"/>
  <c r="P113" i="21"/>
  <c r="P114" i="21"/>
  <c r="P115" i="21"/>
  <c r="P116" i="21"/>
  <c r="P117" i="21"/>
  <c r="P118" i="21"/>
  <c r="P119" i="21"/>
  <c r="P120" i="21"/>
  <c r="P121" i="21"/>
  <c r="P122" i="21"/>
  <c r="P123" i="21"/>
  <c r="P124" i="21"/>
  <c r="P125" i="21"/>
  <c r="P126" i="21"/>
  <c r="P127" i="21"/>
  <c r="P128" i="21"/>
  <c r="P129" i="21"/>
  <c r="P130" i="21"/>
  <c r="P131" i="21"/>
  <c r="P132" i="21"/>
  <c r="P133" i="21"/>
  <c r="P134" i="21"/>
  <c r="P135" i="21"/>
  <c r="P136" i="21"/>
  <c r="P137" i="21"/>
  <c r="P138" i="21"/>
  <c r="P139" i="21"/>
  <c r="P140" i="21"/>
  <c r="P141" i="21"/>
  <c r="P142" i="21"/>
  <c r="P143" i="21"/>
  <c r="P144" i="21"/>
  <c r="P145" i="21"/>
  <c r="P146" i="21"/>
  <c r="P147" i="21"/>
  <c r="P148" i="21"/>
  <c r="P149" i="21"/>
  <c r="P150" i="21"/>
  <c r="P151" i="21"/>
  <c r="P152" i="21"/>
  <c r="P153" i="21"/>
  <c r="P154" i="21"/>
  <c r="P155" i="21"/>
  <c r="P156" i="21"/>
  <c r="P157" i="21"/>
  <c r="P158" i="21"/>
  <c r="P159" i="21"/>
  <c r="P160" i="21"/>
  <c r="P161" i="21"/>
  <c r="P162" i="21"/>
  <c r="P163" i="21"/>
  <c r="P164" i="21"/>
  <c r="P165" i="21"/>
  <c r="P166" i="21"/>
  <c r="P167" i="21"/>
  <c r="P168" i="21"/>
  <c r="P169" i="21"/>
  <c r="P170" i="21"/>
  <c r="P171" i="21"/>
  <c r="P172" i="21"/>
  <c r="P173" i="21"/>
  <c r="P174" i="21"/>
  <c r="P175" i="21"/>
  <c r="P176" i="21"/>
  <c r="P177" i="21"/>
  <c r="P178" i="21"/>
  <c r="P179" i="21"/>
  <c r="P180" i="21"/>
  <c r="P181" i="21"/>
  <c r="P182" i="21"/>
  <c r="P183" i="21"/>
  <c r="P184" i="21"/>
  <c r="P185" i="21"/>
  <c r="P186" i="21"/>
  <c r="P187" i="21"/>
  <c r="P188" i="21"/>
  <c r="P189" i="21"/>
  <c r="P190" i="21"/>
  <c r="P191" i="21"/>
  <c r="P192" i="21"/>
  <c r="P193" i="21"/>
  <c r="P194" i="21"/>
  <c r="P195" i="21"/>
  <c r="P196" i="21"/>
  <c r="P197" i="21"/>
  <c r="P198" i="21"/>
  <c r="P199" i="21"/>
  <c r="P200" i="21"/>
  <c r="X34" i="10"/>
  <c r="X102" i="10"/>
  <c r="X101" i="10"/>
  <c r="X100" i="10"/>
  <c r="X99" i="10"/>
  <c r="X98" i="10"/>
  <c r="X97" i="10"/>
  <c r="X96" i="10"/>
  <c r="X95" i="10"/>
  <c r="X94" i="10"/>
  <c r="X93" i="10"/>
  <c r="X92" i="10"/>
  <c r="X91" i="10"/>
  <c r="X90" i="10"/>
  <c r="X89" i="10"/>
  <c r="X88" i="10"/>
  <c r="X87" i="10"/>
  <c r="X86" i="10"/>
  <c r="X85" i="10"/>
  <c r="X84" i="10"/>
  <c r="X83" i="10"/>
  <c r="X82" i="10"/>
  <c r="X81" i="10"/>
  <c r="X80" i="10"/>
  <c r="X79" i="10"/>
  <c r="X36" i="10"/>
  <c r="T2" i="12"/>
  <c r="W2" i="12" s="1"/>
  <c r="W11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<sst xmlns="http://schemas.openxmlformats.org/spreadsheetml/2006/main" count="16135" uniqueCount="2220">
  <si>
    <t>Sample Label</t>
  </si>
  <si>
    <t>Description</t>
  </si>
  <si>
    <t>Thickness</t>
  </si>
  <si>
    <t>Slide or Tube</t>
  </si>
  <si>
    <t>Group</t>
  </si>
  <si>
    <t>GFP</t>
  </si>
  <si>
    <t>Type</t>
  </si>
  <si>
    <t>Animal</t>
  </si>
  <si>
    <t>Location</t>
  </si>
  <si>
    <t>Used</t>
  </si>
  <si>
    <t>Details</t>
  </si>
  <si>
    <t>Notes</t>
  </si>
  <si>
    <t>NI</t>
  </si>
  <si>
    <t>Raman</t>
  </si>
  <si>
    <t>SHG</t>
  </si>
  <si>
    <t>SAXS</t>
  </si>
  <si>
    <t>labSAXS</t>
  </si>
  <si>
    <t>Microscopy</t>
  </si>
  <si>
    <t>demo/practice</t>
  </si>
  <si>
    <t>1 Paper</t>
  </si>
  <si>
    <t>60um block 1 Female adult back skin 1 10 weeks 10um, 30um 60um</t>
  </si>
  <si>
    <t>Slide</t>
  </si>
  <si>
    <t>Plain</t>
  </si>
  <si>
    <t>Mouse</t>
  </si>
  <si>
    <t>RAMAN BOX</t>
  </si>
  <si>
    <t>Yes</t>
  </si>
  <si>
    <t>cover slip</t>
  </si>
  <si>
    <t>For paper</t>
  </si>
  <si>
    <t>done</t>
  </si>
  <si>
    <t>2 Paper</t>
  </si>
  <si>
    <t>60um block 1 Female adult back skin 1 10 weeks 10um, 30um 60um</t>
  </si>
  <si>
    <t>SHG BOX</t>
  </si>
  <si>
    <t>fixed</t>
  </si>
  <si>
    <t xml:space="preserve">to do </t>
  </si>
  <si>
    <t>3 Paper</t>
  </si>
  <si>
    <t>DONE BOX</t>
  </si>
  <si>
    <t>4 Paper</t>
  </si>
  <si>
    <t>to do</t>
  </si>
  <si>
    <t>5 Paper</t>
  </si>
  <si>
    <t>6 Paper</t>
  </si>
  <si>
    <t>7 Paper</t>
  </si>
  <si>
    <t>30um block 1 Female adult back skin 1 10 weeks 10um, 30um 60um</t>
  </si>
  <si>
    <t>PAPER BOX</t>
  </si>
  <si>
    <t>8 Paper</t>
  </si>
  <si>
    <t>9 Paper</t>
  </si>
  <si>
    <t>10 Paper</t>
  </si>
  <si>
    <t>11 Paper</t>
  </si>
  <si>
    <t>10um block 1 Female adult back skin 1 10 weeks 10um, 30um 60um</t>
  </si>
  <si>
    <t>used</t>
  </si>
  <si>
    <t>12 Paper</t>
  </si>
  <si>
    <t>13 Paper</t>
  </si>
  <si>
    <t>14 Paper</t>
  </si>
  <si>
    <t>15 Paper</t>
  </si>
  <si>
    <t xml:space="preserve">60um block 2 GFP adult female back skin 2 NF WT </t>
  </si>
  <si>
    <t>16 Paper</t>
  </si>
  <si>
    <t>17 Paper</t>
  </si>
  <si>
    <t>18 Paper</t>
  </si>
  <si>
    <t>19 Paper</t>
  </si>
  <si>
    <t>BIN</t>
  </si>
  <si>
    <t>20 Paper</t>
  </si>
  <si>
    <t>21 Paper</t>
  </si>
  <si>
    <t xml:space="preserve">30um block 2 GFP adult female back skin 2 NF WT </t>
  </si>
  <si>
    <t>22 Paper</t>
  </si>
  <si>
    <t>23 Paper</t>
  </si>
  <si>
    <t>24 Paper</t>
  </si>
  <si>
    <t>25 Paper</t>
  </si>
  <si>
    <t xml:space="preserve">12um block 2 GFP adult female back skin 2 NF WT </t>
  </si>
  <si>
    <t>26 Paper</t>
  </si>
  <si>
    <t>27 Paper</t>
  </si>
  <si>
    <t>12um block 2 GFP adult female back skin 2 NF WT </t>
  </si>
  <si>
    <t>28 Paper</t>
  </si>
  <si>
    <t>29 Paper</t>
  </si>
  <si>
    <t xml:space="preserve">60um block 3 W day 10 (no wound) female 07/10/22 </t>
  </si>
  <si>
    <t>30 Paper</t>
  </si>
  <si>
    <t>cover sip</t>
  </si>
  <si>
    <t>31 Paper</t>
  </si>
  <si>
    <t>32 Paper</t>
  </si>
  <si>
    <t>33 Paper</t>
  </si>
  <si>
    <t>34 Paper</t>
  </si>
  <si>
    <t>35 Paper</t>
  </si>
  <si>
    <t xml:space="preserve">30um block 3 W day 10 (no wound) female 07/10/22 </t>
  </si>
  <si>
    <t>36 Paper</t>
  </si>
  <si>
    <t>37 Paper</t>
  </si>
  <si>
    <t>38 Paper</t>
  </si>
  <si>
    <t>39 Paper</t>
  </si>
  <si>
    <t xml:space="preserve">12um block 3 W day 10 (no wound) female 07/10/22 </t>
  </si>
  <si>
    <t>40 Paper</t>
  </si>
  <si>
    <t>41 Paper</t>
  </si>
  <si>
    <t>42 Paper</t>
  </si>
  <si>
    <t>43 Paper</t>
  </si>
  <si>
    <t xml:space="preserve">60um block 4 WT back skin wound day 2 (no wound) WT3 female </t>
  </si>
  <si>
    <t>44 Paper</t>
  </si>
  <si>
    <t>45 Paper</t>
  </si>
  <si>
    <t>46 Paper</t>
  </si>
  <si>
    <t>47 Paper</t>
  </si>
  <si>
    <t>48 Paper</t>
  </si>
  <si>
    <t>49 Paper</t>
  </si>
  <si>
    <t xml:space="preserve">30um block 4 WT back skin wound day 2 (no wound) WT3 female </t>
  </si>
  <si>
    <t>50 Paper</t>
  </si>
  <si>
    <t>51 Paper</t>
  </si>
  <si>
    <t>Done</t>
  </si>
  <si>
    <t>52 Paper</t>
  </si>
  <si>
    <t>53 Paper</t>
  </si>
  <si>
    <t xml:space="preserve">12um block 4 WT back skin wound day 2 (no wound) WT3 female </t>
  </si>
  <si>
    <t>54 Paper</t>
  </si>
  <si>
    <t>55 Paper</t>
  </si>
  <si>
    <t>56 Paper</t>
  </si>
  <si>
    <t xml:space="preserve">12um block 4 WT back skin wound day 2 (no wound) WT3 female </t>
  </si>
  <si>
    <t>16  F PW 7  </t>
  </si>
  <si>
    <t>Post Wounding day 7 Adult WT, wound wf 4 </t>
  </si>
  <si>
    <t>Wounding</t>
  </si>
  <si>
    <t>Day 7</t>
  </si>
  <si>
    <t>lost due to freezer</t>
  </si>
  <si>
    <t>17  F PW 7  </t>
  </si>
  <si>
    <t>Post Wounding day 7 Adult WT </t>
  </si>
  <si>
    <t>18  F PW 7  </t>
  </si>
  <si>
    <t>S1  SAXS 1 </t>
  </si>
  <si>
    <t>Post Wounding day 7 100um </t>
  </si>
  <si>
    <t>S2  SAXS 2 </t>
  </si>
  <si>
    <t>S3  SAXS 3 </t>
  </si>
  <si>
    <t>S4  SAXS 4 </t>
  </si>
  <si>
    <t>Unwounded mouse 60um</t>
  </si>
  <si>
    <t>Unwounded</t>
  </si>
  <si>
    <t>S5  SAXS 5 </t>
  </si>
  <si>
    <t>Unwounded mouse 100um</t>
  </si>
  <si>
    <t>S6  SAXS 6 </t>
  </si>
  <si>
    <t>Unwounded mouse (0.5-1mm) </t>
  </si>
  <si>
    <t>S7  SAXS 7 </t>
  </si>
  <si>
    <t>S8  SAXS 8 </t>
  </si>
  <si>
    <t>19  G </t>
  </si>
  <si>
    <t>Adult unwounded (w4) </t>
  </si>
  <si>
    <t>20  G </t>
  </si>
  <si>
    <t>21  G  </t>
  </si>
  <si>
    <t>22  H </t>
  </si>
  <si>
    <t>Unwounded Adult WT pw day 7 (w1) </t>
  </si>
  <si>
    <t>23  H </t>
  </si>
  <si>
    <t>24  H </t>
  </si>
  <si>
    <t>25  I </t>
  </si>
  <si>
    <t>Wound bed Adult WT pw day 7 (w1) (same Block as H) </t>
  </si>
  <si>
    <t>26  I </t>
  </si>
  <si>
    <t>Wound bed Adult WT pw day 7 (w1)  </t>
  </si>
  <si>
    <t>27  I </t>
  </si>
  <si>
    <t>28  J </t>
  </si>
  <si>
    <t>Unwounded Adult WT pw day 7 (w2) </t>
  </si>
  <si>
    <t>29  J </t>
  </si>
  <si>
    <t>30  J </t>
  </si>
  <si>
    <t>31  K </t>
  </si>
  <si>
    <t>Wound bed Adult WT pw day 7 (w2) (same Block as J) </t>
  </si>
  <si>
    <t>32  K </t>
  </si>
  <si>
    <t>Wound bed Adult WT pw day 7 (w2) </t>
  </si>
  <si>
    <t>33  K </t>
  </si>
  <si>
    <t>34  L </t>
  </si>
  <si>
    <t>Unwounded Adult WT pw day 7 (w3) </t>
  </si>
  <si>
    <t>35  L </t>
  </si>
  <si>
    <t>36  L </t>
  </si>
  <si>
    <t>37  M </t>
  </si>
  <si>
    <t>Wound bed Adult WT pw day 7 (w3) (same Block as L) </t>
  </si>
  <si>
    <t>38  M </t>
  </si>
  <si>
    <t>Wound bed Adult WT pw day 7 (w3) </t>
  </si>
  <si>
    <t>39  M </t>
  </si>
  <si>
    <t>40  N </t>
  </si>
  <si>
    <t>Embryonic day 16.5 (inc membrane) </t>
  </si>
  <si>
    <t>Aging</t>
  </si>
  <si>
    <t>E16.5</t>
  </si>
  <si>
    <t>41  N </t>
  </si>
  <si>
    <t>42  N </t>
  </si>
  <si>
    <t>cover lip</t>
  </si>
  <si>
    <t>43  O </t>
  </si>
  <si>
    <t>44  O </t>
  </si>
  <si>
    <t>45  O </t>
  </si>
  <si>
    <t>46  P </t>
  </si>
  <si>
    <t>2w (apex S) bleomycin treated </t>
  </si>
  <si>
    <t>Bleomycin</t>
  </si>
  <si>
    <t>2W</t>
  </si>
  <si>
    <t>47  P </t>
  </si>
  <si>
    <t>2w (apex S)  </t>
  </si>
  <si>
    <t>48  P </t>
  </si>
  <si>
    <t>2w (apex S) </t>
  </si>
  <si>
    <t>49  Q </t>
  </si>
  <si>
    <t>theres a49p in unused box</t>
  </si>
  <si>
    <t>50  Q </t>
  </si>
  <si>
    <t>51  R </t>
  </si>
  <si>
    <t>2w (apex S) small pieces </t>
  </si>
  <si>
    <t>52  R </t>
  </si>
  <si>
    <t>53  R </t>
  </si>
  <si>
    <t>UNUSED BOX</t>
  </si>
  <si>
    <t>54  S </t>
  </si>
  <si>
    <t>4w (apex L) bleomycin treated </t>
  </si>
  <si>
    <t>4W</t>
  </si>
  <si>
    <t>55  S </t>
  </si>
  <si>
    <t>4w (apex L) </t>
  </si>
  <si>
    <t>56  S </t>
  </si>
  <si>
    <t>57  T </t>
  </si>
  <si>
    <t>58  T </t>
  </si>
  <si>
    <t>59  T </t>
  </si>
  <si>
    <t>60  U </t>
  </si>
  <si>
    <t>PBS bleo control  </t>
  </si>
  <si>
    <t>PBS</t>
  </si>
  <si>
    <t>61  U </t>
  </si>
  <si>
    <t>PBS bleo control </t>
  </si>
  <si>
    <t>62  U </t>
  </si>
  <si>
    <t>63  V </t>
  </si>
  <si>
    <t>also a 63V in unused box</t>
  </si>
  <si>
    <t>64  V </t>
  </si>
  <si>
    <t>65  V </t>
  </si>
  <si>
    <t>66  W </t>
  </si>
  <si>
    <t>Embryonic day 16.5 (inc membrane) GED 1 </t>
  </si>
  <si>
    <t>67  W </t>
  </si>
  <si>
    <t>68  W </t>
  </si>
  <si>
    <t>69  X </t>
  </si>
  <si>
    <t>Post-natal day 10  </t>
  </si>
  <si>
    <t>PN10</t>
  </si>
  <si>
    <t>70  X </t>
  </si>
  <si>
    <t>Post-natal day 10 </t>
  </si>
  <si>
    <t>71  X </t>
  </si>
  <si>
    <t>72  Y </t>
  </si>
  <si>
    <t>73  Y </t>
  </si>
  <si>
    <t>74  Y </t>
  </si>
  <si>
    <t>75  Z </t>
  </si>
  <si>
    <t>4w Bleo 3re 1 </t>
  </si>
  <si>
    <t>76  Z </t>
  </si>
  <si>
    <t>77  Z </t>
  </si>
  <si>
    <t>78  Z </t>
  </si>
  <si>
    <t>79  AA </t>
  </si>
  <si>
    <t>4w 2 Bleo 3re 1 </t>
  </si>
  <si>
    <t>80  AA </t>
  </si>
  <si>
    <t>81  AA </t>
  </si>
  <si>
    <t>82  AA </t>
  </si>
  <si>
    <t>83  AB </t>
  </si>
  <si>
    <t>PBS Bleo 3re  </t>
  </si>
  <si>
    <t>84  AB </t>
  </si>
  <si>
    <t>PBS Bleo 3re </t>
  </si>
  <si>
    <t>85  AB </t>
  </si>
  <si>
    <t>86  AB </t>
  </si>
  <si>
    <t>87  AC </t>
  </si>
  <si>
    <t>PBS 2 Bleo 3re </t>
  </si>
  <si>
    <t>88  AC </t>
  </si>
  <si>
    <t>89  AC </t>
  </si>
  <si>
    <t>90  AD </t>
  </si>
  <si>
    <t>91   AE </t>
  </si>
  <si>
    <t>92  AE </t>
  </si>
  <si>
    <t>93  AE </t>
  </si>
  <si>
    <t>151  AF </t>
  </si>
  <si>
    <t>Wound NF (3) adult GFP PW7 female 15.07.2022 </t>
  </si>
  <si>
    <t>slide box 1</t>
  </si>
  <si>
    <t>152  AF </t>
  </si>
  <si>
    <t>153  AF </t>
  </si>
  <si>
    <t>shg box</t>
  </si>
  <si>
    <t>154  AF </t>
  </si>
  <si>
    <t>155  AG </t>
  </si>
  <si>
    <t>Wound NF (1) adult GFP PW14 male 22.07.2022 </t>
  </si>
  <si>
    <t>Day 14</t>
  </si>
  <si>
    <t>156  AG </t>
  </si>
  <si>
    <t>157  AG </t>
  </si>
  <si>
    <t>wb used box</t>
  </si>
  <si>
    <t>158  AG </t>
  </si>
  <si>
    <t>159  AH </t>
  </si>
  <si>
    <t>Wound NF (3) adult GFP PW14 male 22.07.2022 </t>
  </si>
  <si>
    <t>160  AH </t>
  </si>
  <si>
    <t>no wound bed</t>
  </si>
  <si>
    <t>161  AH </t>
  </si>
  <si>
    <t>162  AH </t>
  </si>
  <si>
    <t>163  AH </t>
  </si>
  <si>
    <t>164  AI </t>
  </si>
  <si>
    <t>Wound NF (2) adult GF7 PW14 male 22.07.2022 </t>
  </si>
  <si>
    <t>165  AI </t>
  </si>
  <si>
    <t>166  AI </t>
  </si>
  <si>
    <t>167  AI </t>
  </si>
  <si>
    <t>1 A - Undigested  </t>
  </si>
  <si>
    <t>14 days post PB DED </t>
  </si>
  <si>
    <t>Digestion</t>
  </si>
  <si>
    <t>14 days digested</t>
  </si>
  <si>
    <t>Human</t>
  </si>
  <si>
    <t>HUMAN BOX</t>
  </si>
  <si>
    <t>2 A - Undigested  </t>
  </si>
  <si>
    <t>3 A - Undigested  </t>
  </si>
  <si>
    <t>4 B - Undigested </t>
  </si>
  <si>
    <t>21 days post PB DED </t>
  </si>
  <si>
    <t>21 days digested</t>
  </si>
  <si>
    <t>5 B - Undigested </t>
  </si>
  <si>
    <t>6 B - Undigested </t>
  </si>
  <si>
    <t>7 C - Digested </t>
  </si>
  <si>
    <t>24hr post digestion DED </t>
  </si>
  <si>
    <t>24hr digested</t>
  </si>
  <si>
    <t>8 C - Digested </t>
  </si>
  <si>
    <t>9 C - Digested </t>
  </si>
  <si>
    <t>10 D - Digested </t>
  </si>
  <si>
    <t>48hr post digestion DED </t>
  </si>
  <si>
    <t>48hr digested</t>
  </si>
  <si>
    <t>11 D - Digested </t>
  </si>
  <si>
    <t>12 D - Digested </t>
  </si>
  <si>
    <t>13 E - Digested </t>
  </si>
  <si>
    <t>14 E - Digested </t>
  </si>
  <si>
    <t>15 E - Digested </t>
  </si>
  <si>
    <t>16 F ap1</t>
  </si>
  <si>
    <t xml:space="preserve">T5224 sample  F2-1 Female 2 Wound 1 10days PW 18/8/23 </t>
  </si>
  <si>
    <t>AP1</t>
  </si>
  <si>
    <t>T5224 Day 10</t>
  </si>
  <si>
    <t>17 F ap1</t>
  </si>
  <si>
    <t xml:space="preserve">T5224 sample  F2-2 Female 2 Wound 2 10days PW 18/8/23 </t>
  </si>
  <si>
    <t>18 G ap1</t>
  </si>
  <si>
    <t>T5224 sample  F3-1 Female 3 Wound 1 10days PW 18/8/23 </t>
  </si>
  <si>
    <t>19 G ap1</t>
  </si>
  <si>
    <t>T5224 sample  F3-2 Female 3 Wound 2 10days PW 18/8/23</t>
  </si>
  <si>
    <t>20 H ap1</t>
  </si>
  <si>
    <t>Vehicle control F1-1 Female 1 Wound 1 10days PW 18/8/2</t>
  </si>
  <si>
    <t>Vehicle Day 10</t>
  </si>
  <si>
    <t>21 H ap1</t>
  </si>
  <si>
    <t>Vehicle control F1-2 Female 1 Wound 2 10days PW 18/8/23</t>
  </si>
  <si>
    <t>22 H ap1</t>
  </si>
  <si>
    <t>Vehicle control Female 2 Wound 1 10days PW 18/8/23</t>
  </si>
  <si>
    <t>23 H ap1</t>
  </si>
  <si>
    <t>Vehicle control Female 2 Wound 2 10days PW 18/8/23</t>
  </si>
  <si>
    <t>yes</t>
  </si>
  <si>
    <t>P2 1</t>
  </si>
  <si>
    <t>Post Natal Day 2</t>
  </si>
  <si>
    <t>PN2</t>
  </si>
  <si>
    <t>Aging Box</t>
  </si>
  <si>
    <t>E18.5</t>
  </si>
  <si>
    <t>Embryonic Day 18.5</t>
  </si>
  <si>
    <t>1 SAXS</t>
  </si>
  <si>
    <t>B1 - Post Natal Day 2 </t>
  </si>
  <si>
    <t>Tube</t>
  </si>
  <si>
    <t>BAG</t>
  </si>
  <si>
    <t>Mounted</t>
  </si>
  <si>
    <t>SAXS scanned</t>
  </si>
  <si>
    <t>2 SAXS</t>
  </si>
  <si>
    <t>3 SAXS</t>
  </si>
  <si>
    <t>4 SAXS</t>
  </si>
  <si>
    <t>B2 - Post Natal Day 2 </t>
  </si>
  <si>
    <t>Green Box</t>
  </si>
  <si>
    <t>Small and Friable</t>
  </si>
  <si>
    <t>dead</t>
  </si>
  <si>
    <t>5 SAXS</t>
  </si>
  <si>
    <t>6 SAXS</t>
  </si>
  <si>
    <t>7 SAXS</t>
  </si>
  <si>
    <t>B3 - Post Natal Day 2 </t>
  </si>
  <si>
    <t>fine</t>
  </si>
  <si>
    <t>8 SAXS</t>
  </si>
  <si>
    <t>9 SAXS</t>
  </si>
  <si>
    <t>10 SAXS</t>
  </si>
  <si>
    <t>B1 – Embryonic Day 16.5 </t>
  </si>
  <si>
    <t>11 SAXS</t>
  </si>
  <si>
    <t>12 SAXS</t>
  </si>
  <si>
    <t>13 SAXS</t>
  </si>
  <si>
    <t>B2 – Embryonic Day 16.5 </t>
  </si>
  <si>
    <t>14 SAXS</t>
  </si>
  <si>
    <t>15 SAXS</t>
  </si>
  <si>
    <t>16 SAXS</t>
  </si>
  <si>
    <t>17 SAXS</t>
  </si>
  <si>
    <t>18 SAXS</t>
  </si>
  <si>
    <t>B3 – Embryonic Day 16.5 </t>
  </si>
  <si>
    <t>19 SAXS</t>
  </si>
  <si>
    <t>20 SAXS</t>
  </si>
  <si>
    <t>21 SAXS</t>
  </si>
  <si>
    <t>B1 - Post Natal Day 10 </t>
  </si>
  <si>
    <t>22 SAXS</t>
  </si>
  <si>
    <t>23 SAXS</t>
  </si>
  <si>
    <t>24 SAXS</t>
  </si>
  <si>
    <t>B2 - Post Natal Day 10 </t>
  </si>
  <si>
    <t>25 SAXS</t>
  </si>
  <si>
    <t>26 SAXS</t>
  </si>
  <si>
    <t>27 SAXS</t>
  </si>
  <si>
    <t>B3 - Post Natal Day 10 </t>
  </si>
  <si>
    <t>28 SAXS</t>
  </si>
  <si>
    <t>29 SAXS</t>
  </si>
  <si>
    <t>30 SAXS</t>
  </si>
  <si>
    <t>B1 – Embryonic Day 18.5 </t>
  </si>
  <si>
    <t>31 SAXS</t>
  </si>
  <si>
    <t>32 SAXS</t>
  </si>
  <si>
    <t>33 SAXS</t>
  </si>
  <si>
    <t>B2 – Embryonic Day 18.5 </t>
  </si>
  <si>
    <t>34 SAXS</t>
  </si>
  <si>
    <t>35 SAXS</t>
  </si>
  <si>
    <t>36 SAXS</t>
  </si>
  <si>
    <t>B3 – Embryonic Day 18.5 </t>
  </si>
  <si>
    <t>37 SAXS</t>
  </si>
  <si>
    <t>38 SAXS</t>
  </si>
  <si>
    <t>39 SAXS</t>
  </si>
  <si>
    <t>40 SAXS</t>
  </si>
  <si>
    <t>41 SAXS</t>
  </si>
  <si>
    <t>42 SAXS</t>
  </si>
  <si>
    <t>43 SAXS</t>
  </si>
  <si>
    <t>44 SAXS</t>
  </si>
  <si>
    <t>45 SAXS</t>
  </si>
  <si>
    <t>46 SAXS</t>
  </si>
  <si>
    <t>47 SAXS</t>
  </si>
  <si>
    <t>60 SAXS</t>
  </si>
  <si>
    <t>B1 - Wound day 4 </t>
  </si>
  <si>
    <t>Day 4</t>
  </si>
  <si>
    <t>61 SAXS</t>
  </si>
  <si>
    <t>62 SAXS</t>
  </si>
  <si>
    <t>63 SAXS</t>
  </si>
  <si>
    <t>B1 – outside wound bed </t>
  </si>
  <si>
    <t>64 SAXS</t>
  </si>
  <si>
    <t>65 SAXS</t>
  </si>
  <si>
    <t>66 SAXS</t>
  </si>
  <si>
    <t>B2 - Wound day 4 </t>
  </si>
  <si>
    <t>67 SAXS</t>
  </si>
  <si>
    <t>68 SAXS</t>
  </si>
  <si>
    <t>69 SAXS</t>
  </si>
  <si>
    <t>B2 – outside wound bed </t>
  </si>
  <si>
    <t>70 SAXS</t>
  </si>
  <si>
    <t>71 SAXS</t>
  </si>
  <si>
    <t>72 SAXS</t>
  </si>
  <si>
    <t>73 SAXS</t>
  </si>
  <si>
    <t>74 SAXS</t>
  </si>
  <si>
    <t>B3 - Wound day 4 </t>
  </si>
  <si>
    <t>75 SAXS</t>
  </si>
  <si>
    <t>76 SAXS</t>
  </si>
  <si>
    <t>77 SAXS</t>
  </si>
  <si>
    <t>B3 – outside wound bed </t>
  </si>
  <si>
    <t>78 SAXS</t>
  </si>
  <si>
    <t>79 SAXS</t>
  </si>
  <si>
    <t>80 SAXS</t>
  </si>
  <si>
    <t>B1 - Wound day 7 </t>
  </si>
  <si>
    <t>81 SAXS</t>
  </si>
  <si>
    <t>82 SAXS</t>
  </si>
  <si>
    <t>83 SAXS</t>
  </si>
  <si>
    <t>B2 - Wound day 7 </t>
  </si>
  <si>
    <t>84 SAXS</t>
  </si>
  <si>
    <t>85 SAXS</t>
  </si>
  <si>
    <t>86 SAXS</t>
  </si>
  <si>
    <t>B3 - Wound day 7 </t>
  </si>
  <si>
    <t>87 SAXS</t>
  </si>
  <si>
    <t>88 SAXS</t>
  </si>
  <si>
    <t>89 SAXS</t>
  </si>
  <si>
    <t>B4 - Wound day 7 </t>
  </si>
  <si>
    <t>90 SAXS</t>
  </si>
  <si>
    <t>91 SAXS</t>
  </si>
  <si>
    <t>92 SAXS</t>
  </si>
  <si>
    <t>B1 - Wound day 14 </t>
  </si>
  <si>
    <t>93 SAXS</t>
  </si>
  <si>
    <t>94 SAXS</t>
  </si>
  <si>
    <t>95 SAXS</t>
  </si>
  <si>
    <t>96 SAXS</t>
  </si>
  <si>
    <t>B2 - Wound day 14 </t>
  </si>
  <si>
    <t>97 SAXS</t>
  </si>
  <si>
    <t>98 SAXS</t>
  </si>
  <si>
    <t>99 SAXS</t>
  </si>
  <si>
    <t>B3 - Wound day 14 </t>
  </si>
  <si>
    <t>100 SAXS</t>
  </si>
  <si>
    <t>101 SAXS</t>
  </si>
  <si>
    <t>102 SAXS</t>
  </si>
  <si>
    <t>103 SAXS</t>
  </si>
  <si>
    <t>B1 - Wound day 10 </t>
  </si>
  <si>
    <t>Day 10</t>
  </si>
  <si>
    <t>104 SAXS</t>
  </si>
  <si>
    <t>105 SAXS</t>
  </si>
  <si>
    <t>106 SAXS</t>
  </si>
  <si>
    <t>107 SAXS</t>
  </si>
  <si>
    <t>B2 - Wound day 10 </t>
  </si>
  <si>
    <t>108 SAXS</t>
  </si>
  <si>
    <t>109 SAXS</t>
  </si>
  <si>
    <t>110 SAXS</t>
  </si>
  <si>
    <t>B1- Post Natal day 4 </t>
  </si>
  <si>
    <t>PN4</t>
  </si>
  <si>
    <t>111 SAXS</t>
  </si>
  <si>
    <t>112 SAXS</t>
  </si>
  <si>
    <t>113 SAXS</t>
  </si>
  <si>
    <t>B2- Post Natal day 4 </t>
  </si>
  <si>
    <t>114 SAXS</t>
  </si>
  <si>
    <t>115 SAXS</t>
  </si>
  <si>
    <t>116 SAXS</t>
  </si>
  <si>
    <t>B3- Post Natal day 4 </t>
  </si>
  <si>
    <t>117 SAXS</t>
  </si>
  <si>
    <t>118 SAXS</t>
  </si>
  <si>
    <t>119 SAXS</t>
  </si>
  <si>
    <t>B1 - Bleo 3R - PBS </t>
  </si>
  <si>
    <t>120 SAXS</t>
  </si>
  <si>
    <t>B1 - Bleo 3R - 4w </t>
  </si>
  <si>
    <t>bin</t>
  </si>
  <si>
    <t>121 SAXS</t>
  </si>
  <si>
    <t>122 SAXS</t>
  </si>
  <si>
    <t>123 SAXS</t>
  </si>
  <si>
    <t>B1 - Bleo 3R - 2w </t>
  </si>
  <si>
    <t>124 SAXS</t>
  </si>
  <si>
    <t>125 SAXS</t>
  </si>
  <si>
    <t>126 SAXS</t>
  </si>
  <si>
    <t>B2 – Bleo 4R - PBSMET (4) </t>
  </si>
  <si>
    <t>PBSMET</t>
  </si>
  <si>
    <t>127 SAXS</t>
  </si>
  <si>
    <t>128 SAXS</t>
  </si>
  <si>
    <t>129 SAXS</t>
  </si>
  <si>
    <t>B3 - Bleo 4 - PBSMET (R24 07) </t>
  </si>
  <si>
    <t>130 SAXS</t>
  </si>
  <si>
    <t>131 SAXS</t>
  </si>
  <si>
    <t>132 SAXS</t>
  </si>
  <si>
    <t>B1 – Bleo 4R - BM5 </t>
  </si>
  <si>
    <t>BM</t>
  </si>
  <si>
    <t>133 SAXS</t>
  </si>
  <si>
    <t>134 SAXS</t>
  </si>
  <si>
    <t>135 SAXS</t>
  </si>
  <si>
    <t>B2 – Bleo 4R - BM3 </t>
  </si>
  <si>
    <t>138 SAXS</t>
  </si>
  <si>
    <t>B2 – Bleo 3R - 2w (3) </t>
  </si>
  <si>
    <t>139 SAXS</t>
  </si>
  <si>
    <t>140 SAXS</t>
  </si>
  <si>
    <t>141 SAXS</t>
  </si>
  <si>
    <t>B2 – Bleo 3R - 4w (4) </t>
  </si>
  <si>
    <t>142 SAXS</t>
  </si>
  <si>
    <t>143 SAXS</t>
  </si>
  <si>
    <t>144 SAXS</t>
  </si>
  <si>
    <t>B3 – Bleo 3R - 4w (5) </t>
  </si>
  <si>
    <t>145 SAXS</t>
  </si>
  <si>
    <t>146 SAXS</t>
  </si>
  <si>
    <t>147 SAXS</t>
  </si>
  <si>
    <t>B4 – Bleo 4 - PBS MET </t>
  </si>
  <si>
    <t>148 SAXS</t>
  </si>
  <si>
    <t>B4 – Bleo 4 PBS MET </t>
  </si>
  <si>
    <t>149 SAXS</t>
  </si>
  <si>
    <t>B4 – Bleo 4 PBSMET </t>
  </si>
  <si>
    <t>150 SAXS</t>
  </si>
  <si>
    <t>B3 – Bleo 3R - 2w (apex 5S) </t>
  </si>
  <si>
    <t>151 SAXS</t>
  </si>
  <si>
    <t>152 SAXS</t>
  </si>
  <si>
    <t>153 SAXS</t>
  </si>
  <si>
    <t>B3 – Bleo 4 - BM </t>
  </si>
  <si>
    <t>154 SAXS</t>
  </si>
  <si>
    <t>155 SAXS</t>
  </si>
  <si>
    <t>156 SAXS</t>
  </si>
  <si>
    <t>B4 – Bleo 3 - 2w </t>
  </si>
  <si>
    <t>157 SAXS</t>
  </si>
  <si>
    <t>B5 – Bleo 3 - 2w </t>
  </si>
  <si>
    <t>158 SAXS</t>
  </si>
  <si>
    <t>159 SAXS</t>
  </si>
  <si>
    <t>160 SAXS</t>
  </si>
  <si>
    <t>B6 – Bleo 3 - 2w </t>
  </si>
  <si>
    <t>161 SAXS</t>
  </si>
  <si>
    <t>162 SAXS</t>
  </si>
  <si>
    <t>170 SAXS</t>
  </si>
  <si>
    <t>B2– Bleo 2 – PBS (2) </t>
  </si>
  <si>
    <t>171 SAXS</t>
  </si>
  <si>
    <t>172 SAXS</t>
  </si>
  <si>
    <t>yed</t>
  </si>
  <si>
    <t>173 SAXS</t>
  </si>
  <si>
    <t>B3– Bleo 2 – PBS Female </t>
  </si>
  <si>
    <t>174 SAXS</t>
  </si>
  <si>
    <t>175 SAXS</t>
  </si>
  <si>
    <t xml:space="preserve">151(1) SAXS-2 </t>
  </si>
  <si>
    <t>B1 - Day 7 wound NF (1) 15.07.22  female </t>
  </si>
  <si>
    <t>152(2) SAXS-2</t>
  </si>
  <si>
    <t>B1 - Day 7 wound NF (1) 15.07.22 </t>
  </si>
  <si>
    <t>153(3) SAXS-2</t>
  </si>
  <si>
    <t>B1 - Day 7 wound NF (1) 15.07.22 (noWB?) </t>
  </si>
  <si>
    <t>154(4) SAXS-2</t>
  </si>
  <si>
    <t>B2 - Day 7 wound NF (3) 15.07.22 female </t>
  </si>
  <si>
    <t>155(5) SAXS-2</t>
  </si>
  <si>
    <t>Fixed</t>
  </si>
  <si>
    <t>156(6) SAXS-2</t>
  </si>
  <si>
    <t>157(7) SAXS-2</t>
  </si>
  <si>
    <t>B1 - Day 14 wound NF (7) 22.07.22 male </t>
  </si>
  <si>
    <t>158(8) SAXS-2</t>
  </si>
  <si>
    <t>159(9) SAXS-2</t>
  </si>
  <si>
    <t>160(10) SAXS-2</t>
  </si>
  <si>
    <t>B2 - Day 14 wound NF (3) 22.07.22 male </t>
  </si>
  <si>
    <t>161(11) SAXS-2</t>
  </si>
  <si>
    <t>162(12) SAXS-2</t>
  </si>
  <si>
    <t>163(13) SAXS-2</t>
  </si>
  <si>
    <t>B1 - Day 21 wound NF (2.1) 07.10.22 female </t>
  </si>
  <si>
    <t>Day 21</t>
  </si>
  <si>
    <t>164(14) SAXS-2</t>
  </si>
  <si>
    <t>165(15) SAXS-2</t>
  </si>
  <si>
    <t>B2 - Day 21 wound NF (2.2) 07.10.22 female </t>
  </si>
  <si>
    <t>166(16) SAXS-2</t>
  </si>
  <si>
    <t>167(17) SAXS-2</t>
  </si>
  <si>
    <t>B3- Day 21 wound NF (1.1) 07.10.22 female </t>
  </si>
  <si>
    <t>168(18) SAXS-2</t>
  </si>
  <si>
    <t>169(19) SAXS-2</t>
  </si>
  <si>
    <t>B4- Day 21 wound NF (1.1) 07.10.22 male </t>
  </si>
  <si>
    <t>170(20) SAXS-2</t>
  </si>
  <si>
    <t>171(21) SAXS-2</t>
  </si>
  <si>
    <t>B5- Day 21 wound NF (2.2) 07.10.22 female </t>
  </si>
  <si>
    <t>172(22) SAXS-2</t>
  </si>
  <si>
    <t>Green box</t>
  </si>
  <si>
    <t>T5224 sample  F3-2 Female 3 Wound 2 10days PW 18/08/23 (?)</t>
  </si>
  <si>
    <t>T5224 sample  F2-2 Female 2 Wound 2 10days PW 18/08/23</t>
  </si>
  <si>
    <t>Vehicle control sample  F2-1 Female 2 Wound 1 10days PW 18/08/23</t>
  </si>
  <si>
    <t>T5224 sample  F2-1 Female 2 Wound 1 10days PW 18/08/23 Good?</t>
  </si>
  <si>
    <t>T5224 sample  F1-1 Female 2 Wound 1 10days PW 18/08/23 [not quite 500?]</t>
  </si>
  <si>
    <t>T5224 sample  IP 10days PW 10/3/23</t>
  </si>
  <si>
    <t>Vehicle control samples IP pw day10 10/03/2023 (2)</t>
  </si>
  <si>
    <t>Vehicle control samples sub cutaneous pw day10 10/03/2023 Good?</t>
  </si>
  <si>
    <t>Vehicle control samples IP pw day10 10/03/2023</t>
  </si>
  <si>
    <t>Vehicle control samples pw day10 10/03/2023</t>
  </si>
  <si>
    <t>Post wounding day4 GFP NF female 20/09/22 (IV)</t>
  </si>
  <si>
    <t>Post natal day 2 GFP NF 23/08/17 (3)</t>
  </si>
  <si>
    <t>E16.5 GFP(-) (1) NF</t>
  </si>
  <si>
    <t>E16.5 GFP(-) (1) NF same as 314</t>
  </si>
  <si>
    <t>PN10 GFP(+) real! (1) back skin NF</t>
  </si>
  <si>
    <t>E18.5 M1 11/11/20 NF</t>
  </si>
  <si>
    <t>E18.5 M1 11/11/20 NF same as 317</t>
  </si>
  <si>
    <t>Day 7 F1-1 20/2/24 (may be beginning)</t>
  </si>
  <si>
    <t>Day 7 F1-1 20/2/24 same as 319 good?</t>
  </si>
  <si>
    <t>PW14 (4) 27/02/2024</t>
  </si>
  <si>
    <t>Pink Box</t>
  </si>
  <si>
    <t>PW14 (4) 27/02/2024 same as 321</t>
  </si>
  <si>
    <t>T5224 sample  F2-2 Female 2 Wound 2 10days PW 18/08/23 (same as 302)</t>
  </si>
  <si>
    <t>WB used box</t>
  </si>
  <si>
    <t>Vehicle control sample  F2-1 Female 2 Wound 1 10days PW 18/08/23 (same as 303)</t>
  </si>
  <si>
    <t xml:space="preserve">Slide </t>
  </si>
  <si>
    <t>T5224 sample  F2-1 Female 2 Wound 1 10days PW 18/08/23 (same as 304)</t>
  </si>
  <si>
    <t>T5224 sample  IP 10days PW 10/3/23 (same as 306)</t>
  </si>
  <si>
    <t>Vehicle control samples pw day10 10/03/2023 (same as 310)</t>
  </si>
  <si>
    <t>(2) NF GFP PW10 female 07.10.22</t>
  </si>
  <si>
    <t xml:space="preserve">raman box </t>
  </si>
  <si>
    <t>(3) NF GFP PW10 Female 07.10.22</t>
  </si>
  <si>
    <t>(4) NF GFP PW10 Female 07.10.22</t>
  </si>
  <si>
    <t>PW21 07.10.22 NF 2.2 Female</t>
  </si>
  <si>
    <t>2.1 Female 07.10.22 NF PW21</t>
  </si>
  <si>
    <t>1.1 PW21 07.10.22 Female NF</t>
  </si>
  <si>
    <t>really good!</t>
  </si>
  <si>
    <t>1.1 Male Pw21 07.10.22 NF</t>
  </si>
  <si>
    <t>2.2 male pw21 07.10.22 NF</t>
  </si>
  <si>
    <t>pw7 20.2.24 f1-1</t>
  </si>
  <si>
    <t>maybe no WB?</t>
  </si>
  <si>
    <t>F2-1 20.2.24 pw7</t>
  </si>
  <si>
    <t>new block</t>
  </si>
  <si>
    <t xml:space="preserve">Day 7 </t>
  </si>
  <si>
    <t>Slide Box 1</t>
  </si>
  <si>
    <t>F1-2 20.2.24 pw7</t>
  </si>
  <si>
    <t>F2-2 pw7 20.2.24</t>
  </si>
  <si>
    <t>pw14 (4) 18.1.23 GFP 2mm</t>
  </si>
  <si>
    <t>no vis wb</t>
  </si>
  <si>
    <t>broken</t>
  </si>
  <si>
    <t>(1) pw14 27.7.24</t>
  </si>
  <si>
    <t>pw14 (2) 27.2.24</t>
  </si>
  <si>
    <t>pn2 (1) NF GFP+ PDGFR</t>
  </si>
  <si>
    <t>(1) GFP- PDGFR pn2</t>
  </si>
  <si>
    <t>pn2 (2) GFP- PDGFR NF</t>
  </si>
  <si>
    <t>E18.5 M1 red</t>
  </si>
  <si>
    <t>(A) laser sample upper incision (7)</t>
  </si>
  <si>
    <t>Laser</t>
  </si>
  <si>
    <t>Incision</t>
  </si>
  <si>
    <t>Helen Laser Box</t>
  </si>
  <si>
    <t>beginning of block</t>
  </si>
  <si>
    <t>second slice</t>
  </si>
  <si>
    <t>third slice</t>
  </si>
  <si>
    <t>End of block</t>
  </si>
  <si>
    <t>(B) laser sample lower incision (8)</t>
  </si>
  <si>
    <t>used for saxs dumped</t>
  </si>
  <si>
    <t>fourth slice</t>
  </si>
  <si>
    <t>1H</t>
  </si>
  <si>
    <t>For test purposes</t>
  </si>
  <si>
    <t>To do</t>
  </si>
  <si>
    <t>2H</t>
  </si>
  <si>
    <t>3H</t>
  </si>
  <si>
    <t>4H</t>
  </si>
  <si>
    <t>5H</t>
  </si>
  <si>
    <t>6H</t>
  </si>
  <si>
    <t>7H</t>
  </si>
  <si>
    <t>8H</t>
  </si>
  <si>
    <t xml:space="preserve">9H </t>
  </si>
  <si>
    <t>10H</t>
  </si>
  <si>
    <t>2a</t>
  </si>
  <si>
    <t>Full sample 2a</t>
  </si>
  <si>
    <t>FT</t>
  </si>
  <si>
    <t>Petri Dish</t>
  </si>
  <si>
    <t>2b</t>
  </si>
  <si>
    <t>Full sample 2b</t>
  </si>
  <si>
    <t>2c</t>
  </si>
  <si>
    <t>Full sample 2c</t>
  </si>
  <si>
    <t>Post Natal Day 2 (1)</t>
  </si>
  <si>
    <t>Laura Box</t>
  </si>
  <si>
    <t>P0 2</t>
  </si>
  <si>
    <t>Post Natal Day 0 (2)</t>
  </si>
  <si>
    <t>PN0</t>
  </si>
  <si>
    <t>E18.5 3</t>
  </si>
  <si>
    <t>Embryonic Day 18.5 (3)</t>
  </si>
  <si>
    <t>E18.5 4</t>
  </si>
  <si>
    <t>Embryonic Day 18.5 (4)</t>
  </si>
  <si>
    <t>269A</t>
  </si>
  <si>
    <t>T5224 F1-1 18/8/23</t>
  </si>
  <si>
    <t>cloest to label for ni</t>
  </si>
  <si>
    <t>270A</t>
  </si>
  <si>
    <t>Vehicle ap1 1P 10/03/23 (1)</t>
  </si>
  <si>
    <t>furthers to label for ni</t>
  </si>
  <si>
    <t>271A</t>
  </si>
  <si>
    <t>T5224 F2-1 18/8/23</t>
  </si>
  <si>
    <t>wb got damage in centre(maybe?)</t>
  </si>
  <si>
    <t>272A</t>
  </si>
  <si>
    <t>T5224 F3-2 18/8/23</t>
  </si>
  <si>
    <t>273A</t>
  </si>
  <si>
    <t>T5224 F3-1 18/8/23</t>
  </si>
  <si>
    <t>middle piece/label edge</t>
  </si>
  <si>
    <t>274A</t>
  </si>
  <si>
    <t>T5224 F2-2 18/8/23</t>
  </si>
  <si>
    <t>275A</t>
  </si>
  <si>
    <t>Vehicle ap1 F1-1 18/8/23</t>
  </si>
  <si>
    <t>wb hard to see</t>
  </si>
  <si>
    <t>276A</t>
  </si>
  <si>
    <t>T5224 F1-2 18/8/23</t>
  </si>
  <si>
    <t>277A</t>
  </si>
  <si>
    <t>Vehicle ap1 F2-1 18/8/23</t>
  </si>
  <si>
    <t>278A</t>
  </si>
  <si>
    <t>pw21 F1-1 16/7/24 (7) CL</t>
  </si>
  <si>
    <t>CL Day 21</t>
  </si>
  <si>
    <t>279A</t>
  </si>
  <si>
    <t>pw21 F1-2 16/7/24 (2) CL ace</t>
  </si>
  <si>
    <t>Acetone Day 21</t>
  </si>
  <si>
    <t>non label edge</t>
  </si>
  <si>
    <t>280A</t>
  </si>
  <si>
    <t>pw21 M2-2 16/7/24 (3) CL acetone</t>
  </si>
  <si>
    <t>label edge</t>
  </si>
  <si>
    <t>281A</t>
  </si>
  <si>
    <t>pw21 F2-2 16/7/24 (3) CL</t>
  </si>
  <si>
    <t>label edge side</t>
  </si>
  <si>
    <t>282A</t>
  </si>
  <si>
    <t>pw21 F1-2 16/7/24 CL (2)</t>
  </si>
  <si>
    <t xml:space="preserve">not sure where wb is </t>
  </si>
  <si>
    <t>N/A</t>
  </si>
  <si>
    <t>283A</t>
  </si>
  <si>
    <t>pw21 M1-2 16/7/24 (3) CL ace</t>
  </si>
  <si>
    <t>not got info for</t>
  </si>
  <si>
    <t>284A</t>
  </si>
  <si>
    <t>pw21 M1-2 16/7/24 CL</t>
  </si>
  <si>
    <t>285A</t>
  </si>
  <si>
    <t>pw21 M2-1 16/7/24 (5) CL</t>
  </si>
  <si>
    <t>286A</t>
  </si>
  <si>
    <t>pw21 M2-1 16/7/24 (6) CL ace</t>
  </si>
  <si>
    <t>too thin/no visible wound bed</t>
  </si>
  <si>
    <t>287A</t>
  </si>
  <si>
    <t>pw21 M1-1 16/7/24 (6) CL</t>
  </si>
  <si>
    <t>thin? not got info for</t>
  </si>
  <si>
    <t>288A</t>
  </si>
  <si>
    <t>pw21 M1-1 16/7/24 (S) CL ace</t>
  </si>
  <si>
    <t>thin?</t>
  </si>
  <si>
    <t>289A</t>
  </si>
  <si>
    <t>pw21 F1-1 16/7/24 (6) CL ace</t>
  </si>
  <si>
    <t>290A</t>
  </si>
  <si>
    <t>Normal Skin</t>
  </si>
  <si>
    <t>Keloid</t>
  </si>
  <si>
    <t>KL Control</t>
  </si>
  <si>
    <t>291A</t>
  </si>
  <si>
    <t>Keloid LE 19/9</t>
  </si>
  <si>
    <t>KL</t>
  </si>
  <si>
    <t>292A</t>
  </si>
  <si>
    <t>Middle keloid claire</t>
  </si>
  <si>
    <t>293A</t>
  </si>
  <si>
    <t>chest keloid 14/10 17 5</t>
  </si>
  <si>
    <t>294A</t>
  </si>
  <si>
    <t>Pw21 CL F1-2 16/7 5</t>
  </si>
  <si>
    <t>USED</t>
  </si>
  <si>
    <t>295A</t>
  </si>
  <si>
    <t>Pw21 CL M1-2 16/7 5</t>
  </si>
  <si>
    <t>296A</t>
  </si>
  <si>
    <t>PW21 CL M2-1 16/7 8</t>
  </si>
  <si>
    <t>297A</t>
  </si>
  <si>
    <t xml:space="preserve">PW21 Ace M1-2 16/7/24 </t>
  </si>
  <si>
    <t>298A</t>
  </si>
  <si>
    <t>Pw21 Ace M1-1 16/7/24 3</t>
  </si>
  <si>
    <t>299A</t>
  </si>
  <si>
    <t>PW21 Ace F1-1 16/7/24 4</t>
  </si>
  <si>
    <t>hair running thru WB?</t>
  </si>
  <si>
    <t>300A</t>
  </si>
  <si>
    <t>P10 5 2 3/10/24 T5224</t>
  </si>
  <si>
    <t>301A</t>
  </si>
  <si>
    <t>PW10 T M1-1 3/10/24 T5224</t>
  </si>
  <si>
    <t>302A</t>
  </si>
  <si>
    <t>Vehicle AP1 M 42FB</t>
  </si>
  <si>
    <t>303A</t>
  </si>
  <si>
    <t xml:space="preserve">Vehicle AP1 M </t>
  </si>
  <si>
    <t>304A</t>
  </si>
  <si>
    <t>bleo 3rf 4w 2.11 (2) female</t>
  </si>
  <si>
    <t>label and middle</t>
  </si>
  <si>
    <t>305A</t>
  </si>
  <si>
    <t>bleo 3rf pbs 1.1 female</t>
  </si>
  <si>
    <t>306A</t>
  </si>
  <si>
    <t>bleo 3rf 2w 1.1 female</t>
  </si>
  <si>
    <t xml:space="preserve">middle </t>
  </si>
  <si>
    <t>307A</t>
  </si>
  <si>
    <t>bleo 3r 4w 1 female</t>
  </si>
  <si>
    <t>middle</t>
  </si>
  <si>
    <t>308A</t>
  </si>
  <si>
    <t>bleo 3r pbs 1 female</t>
  </si>
  <si>
    <t>309A</t>
  </si>
  <si>
    <t>bleo 5r pbs 2.1</t>
  </si>
  <si>
    <t>310A</t>
  </si>
  <si>
    <t>bleo 5r pbs 4.1</t>
  </si>
  <si>
    <t>311A</t>
  </si>
  <si>
    <t>bleo 3rf 2w 4.2</t>
  </si>
  <si>
    <t>312A</t>
  </si>
  <si>
    <t>bleo3rf 2.2 2W</t>
  </si>
  <si>
    <t>313A</t>
  </si>
  <si>
    <t>bleo3rf 4wk 1.1</t>
  </si>
  <si>
    <t>314A</t>
  </si>
  <si>
    <t>bleo54 4wk+okn 5.1</t>
  </si>
  <si>
    <t>4W + OKN-007</t>
  </si>
  <si>
    <t>315A</t>
  </si>
  <si>
    <t>Bleo 5rf 4wk+okn 2.1</t>
  </si>
  <si>
    <t>316A</t>
  </si>
  <si>
    <t>bleo 5rf 4k+okn 3.1</t>
  </si>
  <si>
    <t>317A</t>
  </si>
  <si>
    <t>bleo54 4wk+okn 4.1</t>
  </si>
  <si>
    <t>318A</t>
  </si>
  <si>
    <t>bleo54 4wk+okn 1.1</t>
  </si>
  <si>
    <t>middle edge</t>
  </si>
  <si>
    <t>319A</t>
  </si>
  <si>
    <t>bleo 5r pbsokn 5.2</t>
  </si>
  <si>
    <t>320a</t>
  </si>
  <si>
    <t>bleo5r 4wk 2.1 f3</t>
  </si>
  <si>
    <t>321a</t>
  </si>
  <si>
    <t>bleo5r 4wk 1.1 f</t>
  </si>
  <si>
    <t>322a</t>
  </si>
  <si>
    <t>bleo5r 4wk 4.2 f</t>
  </si>
  <si>
    <t>323a</t>
  </si>
  <si>
    <t>bleo 5r 4wk 5.1 f</t>
  </si>
  <si>
    <t>324a</t>
  </si>
  <si>
    <t>bleo 3rs 2w 1 f</t>
  </si>
  <si>
    <t>325a</t>
  </si>
  <si>
    <t>bleo 4r 4w 8 51.6</t>
  </si>
  <si>
    <t>326a</t>
  </si>
  <si>
    <t>bleo 3rs 2w 2 f</t>
  </si>
  <si>
    <t>327a</t>
  </si>
  <si>
    <t>bleo 4r 4w 9</t>
  </si>
  <si>
    <t>328a</t>
  </si>
  <si>
    <t>bleo 4r 4w 10</t>
  </si>
  <si>
    <t>329a</t>
  </si>
  <si>
    <t>bm12 m</t>
  </si>
  <si>
    <t>330A</t>
  </si>
  <si>
    <t>BM 14 M</t>
  </si>
  <si>
    <t>331a</t>
  </si>
  <si>
    <t>bm 11</t>
  </si>
  <si>
    <t>bleo 5r 4wk 3.2 f</t>
  </si>
  <si>
    <t>333a</t>
  </si>
  <si>
    <t>bleo bm 13.1 m</t>
  </si>
  <si>
    <t>334a</t>
  </si>
  <si>
    <t>bleo 4r bm10</t>
  </si>
  <si>
    <t>335a</t>
  </si>
  <si>
    <t>bleo4r 4wk4 m</t>
  </si>
  <si>
    <t>336a</t>
  </si>
  <si>
    <t>bleo4r pbs+m10</t>
  </si>
  <si>
    <t>top piece</t>
  </si>
  <si>
    <t>337a</t>
  </si>
  <si>
    <t>bleo4r pbs+m11</t>
  </si>
  <si>
    <t>338a</t>
  </si>
  <si>
    <t>bleo4r pbs+m12</t>
  </si>
  <si>
    <t>339a</t>
  </si>
  <si>
    <t xml:space="preserve"> bleo 4r pbs okn 2.1</t>
  </si>
  <si>
    <t>PBSOKN</t>
  </si>
  <si>
    <t>middle piece</t>
  </si>
  <si>
    <t>340a</t>
  </si>
  <si>
    <t>bleo 5r pbs okn 3.1</t>
  </si>
  <si>
    <t>341a</t>
  </si>
  <si>
    <t>bleo 5r pbs 3.1</t>
  </si>
  <si>
    <t>342a</t>
  </si>
  <si>
    <t>bleo 3rs pbs 1 female 2</t>
  </si>
  <si>
    <t>343a</t>
  </si>
  <si>
    <t>344a</t>
  </si>
  <si>
    <t>345a</t>
  </si>
  <si>
    <t>346a</t>
  </si>
  <si>
    <t>347a</t>
  </si>
  <si>
    <t>348a</t>
  </si>
  <si>
    <t>d14 adult wound GFP M 22/07/2022</t>
  </si>
  <si>
    <t xml:space="preserve">d14 wounding </t>
  </si>
  <si>
    <t>pw7 tw1 laura</t>
  </si>
  <si>
    <t>pwd7 tw2 60um parterra exp 4</t>
  </si>
  <si>
    <t>pw7 tw3 pbs 60um</t>
  </si>
  <si>
    <t xml:space="preserve">laura test 30um </t>
  </si>
  <si>
    <t>laura test 30um</t>
  </si>
  <si>
    <t>ra test 20um</t>
  </si>
  <si>
    <t>laura test 20um</t>
  </si>
  <si>
    <t>375B</t>
  </si>
  <si>
    <t>B1 WT back skin 09/12/2024</t>
  </si>
  <si>
    <t>JEB</t>
  </si>
  <si>
    <t>B2 KO1 back skin 22/11/2024</t>
  </si>
  <si>
    <t>B3 WT back skin 22/11/2024</t>
  </si>
  <si>
    <t>B4 KO2 back skin 22/11/2024</t>
  </si>
  <si>
    <t>B5 KO3 back skin 22/11/2024</t>
  </si>
  <si>
    <t>B6 KO4 back skin 22/11/2024</t>
  </si>
  <si>
    <t>B7 KO neck skin 18/12/2024</t>
  </si>
  <si>
    <t>B8 KO6 back skin 22/11/2024</t>
  </si>
  <si>
    <t>mounted but curled up</t>
  </si>
  <si>
    <t>B9 KO5 back skin 25/11/2024</t>
  </si>
  <si>
    <t>B3 KO2 back skin 22/11/2024</t>
  </si>
  <si>
    <t>middle keloid 1</t>
  </si>
  <si>
    <t>peri keloid 1</t>
  </si>
  <si>
    <t xml:space="preserve"> normal keloid 2</t>
  </si>
  <si>
    <t>normal keloid 2</t>
  </si>
  <si>
    <t>CL Fixed &amp; stained slides (chp probe &amp; CD45 &amp; Mounting media)</t>
  </si>
  <si>
    <t>CL</t>
  </si>
  <si>
    <t>AC Fixed &amp; stained slides (chp probe &amp; CD45 &amp; Mounting media)</t>
  </si>
  <si>
    <t>AC</t>
  </si>
  <si>
    <t xml:space="preserve">bovine tendon </t>
  </si>
  <si>
    <t>WHOLE</t>
  </si>
  <si>
    <t>Tendon</t>
  </si>
  <si>
    <t>Bovine</t>
  </si>
  <si>
    <t>bovine tendon</t>
  </si>
  <si>
    <t>hydrated</t>
  </si>
  <si>
    <t>dry</t>
  </si>
  <si>
    <t>R18-03 Control 11 5mm Fixed &amp; stained slides</t>
  </si>
  <si>
    <t>Scleroderma</t>
  </si>
  <si>
    <t>Scl Control</t>
  </si>
  <si>
    <t>R17-05 Control 12 5mm Fixed &amp; stained slides</t>
  </si>
  <si>
    <t>R17-06 Control 11 5mm Fixed &amp; stained slides</t>
  </si>
  <si>
    <t>R16-01 A 5 5mm Fixed &amp; stained slides</t>
  </si>
  <si>
    <t>Scl</t>
  </si>
  <si>
    <t>R16-02 B 10 5mm Fixed &amp; stained slides</t>
  </si>
  <si>
    <t>R16-03 B 1 5mm Fixed &amp; stained slides</t>
  </si>
  <si>
    <t>R16-04 B 1 5mm Fixed &amp; stained slides</t>
  </si>
  <si>
    <t>R16-09 A 7 Fixed &amp; stained slides</t>
  </si>
  <si>
    <t xml:space="preserve">KO PW 14a male w1b </t>
  </si>
  <si>
    <t>JEB Wound</t>
  </si>
  <si>
    <t>KO Day14</t>
  </si>
  <si>
    <t>JEB box 2</t>
  </si>
  <si>
    <t>WT2 BE PW10 male w1</t>
  </si>
  <si>
    <t>WT Day10</t>
  </si>
  <si>
    <t>JEB box 1</t>
  </si>
  <si>
    <t>WT2 BE PW10 male e1</t>
  </si>
  <si>
    <t>Wound female ? Day10 Be female</t>
  </si>
  <si>
    <t>KO2 PW10 male w2 23.03</t>
  </si>
  <si>
    <t>KO Day10</t>
  </si>
  <si>
    <t>KO1 w10 male w2 23/03</t>
  </si>
  <si>
    <t>wound O1 female KO PWd10</t>
  </si>
  <si>
    <t>WT PW10 female w2</t>
  </si>
  <si>
    <t>KO PW10 male W2 23/01</t>
  </si>
  <si>
    <t>w1 ko female BE pwd4</t>
  </si>
  <si>
    <t>KO Day4</t>
  </si>
  <si>
    <t>WT pw4 male</t>
  </si>
  <si>
    <t>WT Day4</t>
  </si>
  <si>
    <t>wound 1 KO pwd 4</t>
  </si>
  <si>
    <t>wt L1 Pw4</t>
  </si>
  <si>
    <t>WT gfp male pwd 4</t>
  </si>
  <si>
    <t>KO1 pw4 3.4 gfp</t>
  </si>
  <si>
    <t>wt1 pw4 male 3.4 gfp</t>
  </si>
  <si>
    <t>KO GFP male Pwd 4</t>
  </si>
  <si>
    <t>wound 1 KO PWD 19</t>
  </si>
  <si>
    <t>KO Day19</t>
  </si>
  <si>
    <t>WT PW 18 female W2</t>
  </si>
  <si>
    <t>WT Day19</t>
  </si>
  <si>
    <t>KO3 PW 19 male W1</t>
  </si>
  <si>
    <t>KO PW19 male w2</t>
  </si>
  <si>
    <t>wound 1 KO ? pwd 19</t>
  </si>
  <si>
    <t>WT pw19 female w1</t>
  </si>
  <si>
    <t>wound 2 KO pwd 19</t>
  </si>
  <si>
    <t>WT PW19 w2 male</t>
  </si>
  <si>
    <t>wound 2 gfp ko male pwd7</t>
  </si>
  <si>
    <t>KO Day7</t>
  </si>
  <si>
    <t>w1 male ko gfp pwd 7</t>
  </si>
  <si>
    <t>WT GFP male w2 pw7</t>
  </si>
  <si>
    <t>WT Day7</t>
  </si>
  <si>
    <t>wound 2 WT PWD7 male</t>
  </si>
  <si>
    <t>WT gfp male pw7</t>
  </si>
  <si>
    <t>wound 1 male ko pw7</t>
  </si>
  <si>
    <t>KO w2 female Pw7</t>
  </si>
  <si>
    <t>ko w2 female pw7</t>
  </si>
  <si>
    <t>wound 1 male ko pwd7</t>
  </si>
  <si>
    <t>WT veh week 306</t>
  </si>
  <si>
    <t>WT VEH</t>
  </si>
  <si>
    <t>JEB box 3</t>
  </si>
  <si>
    <t>WT 264 RAD 282 1R Ub</t>
  </si>
  <si>
    <t>WT RAD</t>
  </si>
  <si>
    <t>WT veh 305 uB</t>
  </si>
  <si>
    <t>KO 264 RAD 278 UB</t>
  </si>
  <si>
    <t>KO RAD</t>
  </si>
  <si>
    <t>KO veh 292 reek</t>
  </si>
  <si>
    <t>KO VEH</t>
  </si>
  <si>
    <t>KO 264 rad 275 veh</t>
  </si>
  <si>
    <t>ko veh 292 ub</t>
  </si>
  <si>
    <t>ko 264 rad 282 l1 ub neck</t>
  </si>
  <si>
    <t>KO 264 rad 282 l1 ub</t>
  </si>
  <si>
    <t>KO RAD NECK</t>
  </si>
  <si>
    <t>wt veh 305 neck</t>
  </si>
  <si>
    <t>WT VEH NECK</t>
  </si>
  <si>
    <t>wt veh 3os neck</t>
  </si>
  <si>
    <t>wt 264 rad 282 1r neck</t>
  </si>
  <si>
    <t>WT RAD NECK</t>
  </si>
  <si>
    <t>264 rad wt 307 neck</t>
  </si>
  <si>
    <t>WT veh ub 306</t>
  </si>
  <si>
    <t>264 rad wt ub 307</t>
  </si>
  <si>
    <t>ko 302 ub 2</t>
  </si>
  <si>
    <t>KO</t>
  </si>
  <si>
    <t>KO 264 rad 302 wound 6</t>
  </si>
  <si>
    <t>ko veh 262 ub</t>
  </si>
  <si>
    <t>wt 264 rad 303 ub</t>
  </si>
  <si>
    <t>ko 264 rad 304 caley ub</t>
  </si>
  <si>
    <t>wt rad 303 neck 2</t>
  </si>
  <si>
    <t>ko neck 264 rad 302</t>
  </si>
  <si>
    <t>ko veh 262 neck</t>
  </si>
  <si>
    <t>KO VEH NECK</t>
  </si>
  <si>
    <t>ko 264 rad 302 neck ub</t>
  </si>
  <si>
    <t>ko 264 rad 302 neck</t>
  </si>
  <si>
    <t>wt 264 rad 303 neck</t>
  </si>
  <si>
    <t>blue long box right side</t>
  </si>
  <si>
    <t>wt pw14d male w10</t>
  </si>
  <si>
    <t>WT Day14</t>
  </si>
  <si>
    <t>JEB box 4</t>
  </si>
  <si>
    <t>wound 1 ko pwd 14</t>
  </si>
  <si>
    <t>wt pw14d female w1a</t>
  </si>
  <si>
    <t>wt pw141 male w14</t>
  </si>
  <si>
    <t>wound 1 ko pwd14</t>
  </si>
  <si>
    <t>wtpw14d female w2u</t>
  </si>
  <si>
    <t>wound 2 ko pwd14</t>
  </si>
  <si>
    <t>ko pw14d female w1a</t>
  </si>
  <si>
    <t xml:space="preserve">ko 264 rad 304 caley ub </t>
  </si>
  <si>
    <t xml:space="preserve">Sample </t>
  </si>
  <si>
    <t>Sample Name</t>
  </si>
  <si>
    <t>Date</t>
  </si>
  <si>
    <t>Time</t>
  </si>
  <si>
    <t>thickness</t>
  </si>
  <si>
    <t>depth</t>
  </si>
  <si>
    <t>speed</t>
  </si>
  <si>
    <t>hold</t>
  </si>
  <si>
    <t>Res</t>
  </si>
  <si>
    <t>Region</t>
  </si>
  <si>
    <t>Scan</t>
  </si>
  <si>
    <t>File name</t>
  </si>
  <si>
    <t>Image name</t>
  </si>
  <si>
    <t>VEH</t>
  </si>
  <si>
    <t>13/08/24</t>
  </si>
  <si>
    <t>TS</t>
  </si>
  <si>
    <t>274 (mislab 271)</t>
  </si>
  <si>
    <t>was at one point mislabelled 271A</t>
  </si>
  <si>
    <t>23/08/24</t>
  </si>
  <si>
    <t>ACE</t>
  </si>
  <si>
    <t>16F (f21 ts)</t>
  </si>
  <si>
    <t>14/03/24</t>
  </si>
  <si>
    <t>19g (f32 ts)</t>
  </si>
  <si>
    <t>23H (veh f22)</t>
  </si>
  <si>
    <t>21/03/24</t>
  </si>
  <si>
    <t>20H (veh t11)</t>
  </si>
  <si>
    <t>Plain 60</t>
  </si>
  <si>
    <t>PLAIN</t>
  </si>
  <si>
    <t>22/11/23</t>
  </si>
  <si>
    <t>16/02/24</t>
  </si>
  <si>
    <t>29/01/24</t>
  </si>
  <si>
    <t>23/01/24</t>
  </si>
  <si>
    <t>22/01/24</t>
  </si>
  <si>
    <t>17/01/24</t>
  </si>
  <si>
    <t>Plain 30</t>
  </si>
  <si>
    <t>Plain 12</t>
  </si>
  <si>
    <t>16/01/24</t>
  </si>
  <si>
    <t>D14</t>
  </si>
  <si>
    <t>WOUNDING</t>
  </si>
  <si>
    <t>13/02/24</t>
  </si>
  <si>
    <t>29/05/24</t>
  </si>
  <si>
    <t>too deep for sample</t>
  </si>
  <si>
    <t>D10</t>
  </si>
  <si>
    <t>20/06/24</t>
  </si>
  <si>
    <t>25/06/24</t>
  </si>
  <si>
    <t>D7</t>
  </si>
  <si>
    <t>25I</t>
  </si>
  <si>
    <t>29/08/23</t>
  </si>
  <si>
    <t>26I</t>
  </si>
  <si>
    <t>21/08/23</t>
  </si>
  <si>
    <t>23H</t>
  </si>
  <si>
    <t>14/08/23</t>
  </si>
  <si>
    <t>35L</t>
  </si>
  <si>
    <t>23/08/23</t>
  </si>
  <si>
    <t>42N</t>
  </si>
  <si>
    <t>AGING</t>
  </si>
  <si>
    <t>45O</t>
  </si>
  <si>
    <t>p2-1</t>
  </si>
  <si>
    <t>P2</t>
  </si>
  <si>
    <t>20/02/24</t>
  </si>
  <si>
    <t>69x</t>
  </si>
  <si>
    <t>P10</t>
  </si>
  <si>
    <t>16/08/23</t>
  </si>
  <si>
    <t>72Y</t>
  </si>
  <si>
    <t>21/07/23</t>
  </si>
  <si>
    <t>48P</t>
  </si>
  <si>
    <t>BLEOMYCIN</t>
  </si>
  <si>
    <t>19/07/23</t>
  </si>
  <si>
    <t>50Q</t>
  </si>
  <si>
    <t>54S</t>
  </si>
  <si>
    <t>31/07/23</t>
  </si>
  <si>
    <t>55S</t>
  </si>
  <si>
    <t>57T</t>
  </si>
  <si>
    <t>75Z</t>
  </si>
  <si>
    <t>63V</t>
  </si>
  <si>
    <t>83AB</t>
  </si>
  <si>
    <t>16/10/24</t>
  </si>
  <si>
    <t>morning</t>
  </si>
  <si>
    <t>sample is label edge</t>
  </si>
  <si>
    <t>10D</t>
  </si>
  <si>
    <t>48DED</t>
  </si>
  <si>
    <t>HUMAN</t>
  </si>
  <si>
    <t>19/02/24</t>
  </si>
  <si>
    <t>15E</t>
  </si>
  <si>
    <t>6B</t>
  </si>
  <si>
    <t>21D Hu</t>
  </si>
  <si>
    <t>Gels1</t>
  </si>
  <si>
    <t>Gel</t>
  </si>
  <si>
    <t>GEL</t>
  </si>
  <si>
    <t>HydroGels</t>
  </si>
  <si>
    <t>x</t>
  </si>
  <si>
    <t>23/10/24</t>
  </si>
  <si>
    <t>281a</t>
  </si>
  <si>
    <t>286a</t>
  </si>
  <si>
    <t>29/10/24</t>
  </si>
  <si>
    <t>Couldn't scan</t>
  </si>
  <si>
    <t>282a</t>
  </si>
  <si>
    <t>271a</t>
  </si>
  <si>
    <t>273a</t>
  </si>
  <si>
    <t>central piece / label edge side</t>
  </si>
  <si>
    <t>28/11/2024</t>
  </si>
  <si>
    <t>bleo 3rf 4w 2.11 (2)</t>
  </si>
  <si>
    <t>upper dermis</t>
  </si>
  <si>
    <t>5x5 grid</t>
  </si>
  <si>
    <t>label edge piece&gt;upper dermis 1</t>
  </si>
  <si>
    <t>304a upper dermis 1 labelp</t>
  </si>
  <si>
    <t xml:space="preserve">test grid </t>
  </si>
  <si>
    <t xml:space="preserve">upper dermis_2 </t>
  </si>
  <si>
    <t>label edge piece&gt; upper dermis 2&gt;matrix scan 01</t>
  </si>
  <si>
    <t>ended early - ignore</t>
  </si>
  <si>
    <t>label edge piece&gt; upper dermis 2&gt;matrix scan 02</t>
  </si>
  <si>
    <t>304a upper dermis 2 labelp</t>
  </si>
  <si>
    <t>lower dermis</t>
  </si>
  <si>
    <t>label edge piece&gt; lower dermis &gt;</t>
  </si>
  <si>
    <t>304a lower dermis 1 labelp</t>
  </si>
  <si>
    <t>middle piece&gt;upper dermis_1</t>
  </si>
  <si>
    <t>304a upper dermis 1 midp</t>
  </si>
  <si>
    <t xml:space="preserve">lower dermis </t>
  </si>
  <si>
    <t>middle piece&gt;lower dermis_1</t>
  </si>
  <si>
    <t>304a lower dermis 1 midp</t>
  </si>
  <si>
    <t>bleo 3rf pbs 1.1</t>
  </si>
  <si>
    <t>label edge piece&gt;upper dermis_1</t>
  </si>
  <si>
    <t>305a upper dremis 1 labelp</t>
  </si>
  <si>
    <t>label edge piece&gt;lower dermis_1</t>
  </si>
  <si>
    <t>305a lower dermis 1 labelp</t>
  </si>
  <si>
    <t>bleo 3rf 2w 1.1</t>
  </si>
  <si>
    <t>lower dermis_1</t>
  </si>
  <si>
    <t>306a lower dermis_1</t>
  </si>
  <si>
    <t>upper dermis_1</t>
  </si>
  <si>
    <t>306a upper dermis_1</t>
  </si>
  <si>
    <t>307a upper dermis_1</t>
  </si>
  <si>
    <t>307a lower dermis_1</t>
  </si>
  <si>
    <t>308a upper dermis_1</t>
  </si>
  <si>
    <t>308a lower dermis_1</t>
  </si>
  <si>
    <t>17/12/2024</t>
  </si>
  <si>
    <t>vertical</t>
  </si>
  <si>
    <t>horizontal</t>
  </si>
  <si>
    <t>30/01/2025</t>
  </si>
  <si>
    <t>line, lower and upper dermis</t>
  </si>
  <si>
    <t>5x5 grid and line</t>
  </si>
  <si>
    <t>379b</t>
  </si>
  <si>
    <t>line scan</t>
  </si>
  <si>
    <t>382b</t>
  </si>
  <si>
    <t>WT</t>
  </si>
  <si>
    <t>387b</t>
  </si>
  <si>
    <t>2w</t>
  </si>
  <si>
    <t>18/02/2025</t>
  </si>
  <si>
    <t>PBS MET</t>
  </si>
  <si>
    <t>PBS OKN</t>
  </si>
  <si>
    <t>13/03/2025</t>
  </si>
  <si>
    <t>0s wait</t>
  </si>
  <si>
    <t>1s wait</t>
  </si>
  <si>
    <t>13/03/202</t>
  </si>
  <si>
    <t>2s wait</t>
  </si>
  <si>
    <t>386b</t>
  </si>
  <si>
    <t>390b</t>
  </si>
  <si>
    <t>393b</t>
  </si>
  <si>
    <t>dish</t>
  </si>
  <si>
    <t>18/03/2025</t>
  </si>
  <si>
    <t>WT D10</t>
  </si>
  <si>
    <t>JEB WOUND</t>
  </si>
  <si>
    <t>Wound male ? Day10 Be female</t>
  </si>
  <si>
    <t>KO D10</t>
  </si>
  <si>
    <t>25/03/2025</t>
  </si>
  <si>
    <t>WOUND</t>
  </si>
  <si>
    <t>Line scan</t>
  </si>
  <si>
    <t>13/05/25</t>
  </si>
  <si>
    <t>KO D7</t>
  </si>
  <si>
    <t>20/05/25</t>
  </si>
  <si>
    <t>27/05/25</t>
  </si>
  <si>
    <t>WT D7</t>
  </si>
  <si>
    <t>WT D14</t>
  </si>
  <si>
    <t>KO D14</t>
  </si>
  <si>
    <t>WT D19</t>
  </si>
  <si>
    <t>13/08/2025</t>
  </si>
  <si>
    <t>KO D19</t>
  </si>
  <si>
    <t>20/08/2025</t>
  </si>
  <si>
    <t>scan moved left somehow - so had to do a section in the dermis since scan 1 has section in hair at upper side</t>
  </si>
  <si>
    <t>WT VH</t>
  </si>
  <si>
    <t>27/08/25</t>
  </si>
  <si>
    <t>Scan too short so second line scan on top</t>
  </si>
  <si>
    <t>interferometer broke halfway through first scan so second scan done</t>
  </si>
  <si>
    <t>#</t>
  </si>
  <si>
    <t>KO VH</t>
  </si>
  <si>
    <t>Sample Number</t>
  </si>
  <si>
    <t>Focused on</t>
  </si>
  <si>
    <t>Sample focus position (z)</t>
  </si>
  <si>
    <t>exposure time</t>
  </si>
  <si>
    <t>power</t>
  </si>
  <si>
    <t>accumulations</t>
  </si>
  <si>
    <t>pinhole</t>
  </si>
  <si>
    <t>Objective</t>
  </si>
  <si>
    <t>Scan Type</t>
  </si>
  <si>
    <t>Res (x by y)</t>
  </si>
  <si>
    <t>Image Name</t>
  </si>
  <si>
    <t xml:space="preserve">End z (Depth scan) </t>
  </si>
  <si>
    <t xml:space="preserve">Start z (Depth scan) </t>
  </si>
  <si>
    <t>Step Size (um)</t>
  </si>
  <si>
    <t>Number Points</t>
  </si>
  <si>
    <t>Time Taken</t>
  </si>
  <si>
    <t>Wavenumber Start</t>
  </si>
  <si>
    <t>Wavenumber Centre</t>
  </si>
  <si>
    <t>Wavenumber End</t>
  </si>
  <si>
    <t>File Name</t>
  </si>
  <si>
    <t>1s</t>
  </si>
  <si>
    <t>OUT</t>
  </si>
  <si>
    <t>Grid Scan</t>
  </si>
  <si>
    <t>100x10</t>
  </si>
  <si>
    <t xml:space="preserve">coverslipped sample, grid scan of 2x81 pts for baseline sample </t>
  </si>
  <si>
    <t>fixed 60um sample</t>
  </si>
  <si>
    <t>Plain 30um</t>
  </si>
  <si>
    <t xml:space="preserve">no image taken, need to redo. coverslipped sample, grid scan of 2x81 pts for baseline sample </t>
  </si>
  <si>
    <t>23/20/24</t>
  </si>
  <si>
    <t>Depth Scan</t>
  </si>
  <si>
    <t xml:space="preserve"> </t>
  </si>
  <si>
    <t>GL_GL Depth Low Range (Sample)</t>
  </si>
  <si>
    <t>-498um to 400um (depth scan within dermal tissue), 2um steps</t>
  </si>
  <si>
    <t>Damage Test</t>
  </si>
  <si>
    <t>damage scan (20 repeats at same point within dermal tissue)</t>
  </si>
  <si>
    <t>Single Aq</t>
  </si>
  <si>
    <t>GL_GL SingAq Low Range (Sample)</t>
  </si>
  <si>
    <t>single point - single acquisition in dermal tissue</t>
  </si>
  <si>
    <t>GL_GL Depth Low Range (NONE) 1</t>
  </si>
  <si>
    <t>depth scan -498 to 400um 5um steps in glass region only</t>
  </si>
  <si>
    <t>30/10/24</t>
  </si>
  <si>
    <t>IN</t>
  </si>
  <si>
    <t>GL_GL Depth Low Range (NONE) 2</t>
  </si>
  <si>
    <t>depth scan 4um steps in glass region only (pinhole in) (low range)</t>
  </si>
  <si>
    <t>UL_GL Depth Low Range (sample)</t>
  </si>
  <si>
    <t>UL and glass depth scan 4um steps in sample region (pinhole in) (low range)</t>
  </si>
  <si>
    <t>Sample</t>
  </si>
  <si>
    <t>UL_GL Depth High Range (sample)</t>
  </si>
  <si>
    <t>UL and glass depth scan 4um steps in sample region (pinhole in) (high range)</t>
  </si>
  <si>
    <t>17F</t>
  </si>
  <si>
    <t>TS sample</t>
  </si>
  <si>
    <t>image_1993z_glassviewupper_glassglass // image_2084z_sampleview_glassglass //i mage_2210z_glassviewlower_glassglass</t>
  </si>
  <si>
    <t xml:space="preserve">16 min </t>
  </si>
  <si>
    <t>GL_GL_Depth Low Range (sample) 2</t>
  </si>
  <si>
    <t>Glass and glass cover slip, z scan (focused on sample)</t>
  </si>
  <si>
    <t>Glass</t>
  </si>
  <si>
    <t>image_2100z_sampleview_glassglass (no sample)</t>
  </si>
  <si>
    <t>GL_GL_Depth Low Range (none) 3</t>
  </si>
  <si>
    <t>Glass and glass cover slip, z scan (focused on nothing)</t>
  </si>
  <si>
    <t>image_2029z_glassviewupper_glassul // image_2029z_sampleview_glassUL // image_2237z_glassviewlower_glassul</t>
  </si>
  <si>
    <t>19 min</t>
  </si>
  <si>
    <t>GL_UL_Depth low range (sample) 2</t>
  </si>
  <si>
    <t>Glass and Ultralene, z scan (focused on sample)</t>
  </si>
  <si>
    <t>image_2148z_sampleview_glassul (no sample)</t>
  </si>
  <si>
    <t>GL_UL_Depth low range (none) 2</t>
  </si>
  <si>
    <t>Glass and ultralene, z scan (focused on nothing)</t>
  </si>
  <si>
    <t>image_2154z_sampleview_glassglass (sample) 50 obj</t>
  </si>
  <si>
    <t>7 min</t>
  </si>
  <si>
    <t>GL_GL_Depth low range (sample) 50obj</t>
  </si>
  <si>
    <t>Glass and glass cover slip, z scan (focused on sample) x50 obj</t>
  </si>
  <si>
    <t>unknown</t>
  </si>
  <si>
    <t>18min</t>
  </si>
  <si>
    <t>GL_UL_Depth Low Range (none) 4 no pbs no sample</t>
  </si>
  <si>
    <t>20min</t>
  </si>
  <si>
    <t>Depthscan_ULUL</t>
  </si>
  <si>
    <t>Depthscan_ULUL2</t>
  </si>
  <si>
    <t>Depthscan_ULUL3</t>
  </si>
  <si>
    <t>Depthscan_kapton</t>
  </si>
  <si>
    <t>Depthscan_kapton2</t>
  </si>
  <si>
    <t>17/12/24</t>
  </si>
  <si>
    <t>Sample (?)</t>
  </si>
  <si>
    <t>21min</t>
  </si>
  <si>
    <t xml:space="preserve">Ultralene-sample-ultralene </t>
  </si>
  <si>
    <t>Nothing</t>
  </si>
  <si>
    <t>Ultralene-blank-ultralene</t>
  </si>
  <si>
    <t>kapton-sample-kapton</t>
  </si>
  <si>
    <t>kapton-blank-kapton</t>
  </si>
  <si>
    <t>25min</t>
  </si>
  <si>
    <t>29/01/25</t>
  </si>
  <si>
    <t>line scan1</t>
  </si>
  <si>
    <t>line scan 1 extended</t>
  </si>
  <si>
    <t>grid lower dermis</t>
  </si>
  <si>
    <t>grid lower dermis extended</t>
  </si>
  <si>
    <t>grid upper dermis</t>
  </si>
  <si>
    <t>grid upper dermis extended</t>
  </si>
  <si>
    <t>d10 outside WB grid</t>
  </si>
  <si>
    <t>d10 outside WB grid extended</t>
  </si>
  <si>
    <t xml:space="preserve">d10 WB centre grid </t>
  </si>
  <si>
    <t>d10 WB centre grid extended</t>
  </si>
  <si>
    <t>d10 WB edge grid</t>
  </si>
  <si>
    <t>d10 WB edge grid extended</t>
  </si>
  <si>
    <t>d10</t>
  </si>
  <si>
    <t>d10 WB top grid</t>
  </si>
  <si>
    <t>d10 WB top grid extended</t>
  </si>
  <si>
    <t>d21</t>
  </si>
  <si>
    <t>d21 WB centre grid</t>
  </si>
  <si>
    <t>d21 WB centre grid extended</t>
  </si>
  <si>
    <t>d21 upper dermis grid</t>
  </si>
  <si>
    <t>d21 upper dermis grid extended</t>
  </si>
  <si>
    <t>d21 outside WB grid</t>
  </si>
  <si>
    <t>d21 outside WB grid extended</t>
  </si>
  <si>
    <t>d21 WB Centre depth scan</t>
  </si>
  <si>
    <t>d21 WB Outside depth scan</t>
  </si>
  <si>
    <t>d21 WB centre line scan</t>
  </si>
  <si>
    <t>acetone d21 wb</t>
  </si>
  <si>
    <t>line scan 1</t>
  </si>
  <si>
    <t>line scan1 extended</t>
  </si>
  <si>
    <t>line scan 2</t>
  </si>
  <si>
    <t>line scan 3</t>
  </si>
  <si>
    <t>line scan 2 extended</t>
  </si>
  <si>
    <t>line scan 3 extended</t>
  </si>
  <si>
    <t>13/03/25</t>
  </si>
  <si>
    <t>CL d21 wb</t>
  </si>
  <si>
    <t>18/03/25</t>
  </si>
  <si>
    <t>VH d10 wb</t>
  </si>
  <si>
    <t>25/03/25</t>
  </si>
  <si>
    <t>line scan1 line scan 2 (ignore - objective was incorrect)</t>
  </si>
  <si>
    <t>line scan3</t>
  </si>
  <si>
    <t>line scan3 extended</t>
  </si>
  <si>
    <t>d10 wb</t>
  </si>
  <si>
    <t>d14 wb</t>
  </si>
  <si>
    <t>TS d10 wb</t>
  </si>
  <si>
    <t>CON</t>
  </si>
  <si>
    <t>24/06/25</t>
  </si>
  <si>
    <t>4W 5R</t>
  </si>
  <si>
    <t>4W 3R</t>
  </si>
  <si>
    <t>4W OKN</t>
  </si>
  <si>
    <t>short only within the dermis</t>
  </si>
  <si>
    <t>27/08/2025</t>
  </si>
  <si>
    <t>CT</t>
  </si>
  <si>
    <t>focus = -401</t>
  </si>
  <si>
    <t>depth scan dermis</t>
  </si>
  <si>
    <t>23 min</t>
  </si>
  <si>
    <t>shutter closed</t>
  </si>
  <si>
    <t>depth scan glass 1</t>
  </si>
  <si>
    <t xml:space="preserve">depth scan glass </t>
  </si>
  <si>
    <t>depth scan glass 3</t>
  </si>
  <si>
    <t>working</t>
  </si>
  <si>
    <t>18/11/2008</t>
  </si>
  <si>
    <t>Dermis</t>
  </si>
  <si>
    <t>0.5s</t>
  </si>
  <si>
    <t>30sec</t>
  </si>
  <si>
    <t>18/11/2009</t>
  </si>
  <si>
    <t>30 sec</t>
  </si>
  <si>
    <t>18/11/2010</t>
  </si>
  <si>
    <t>45 sec</t>
  </si>
  <si>
    <t>18/11/2011</t>
  </si>
  <si>
    <t>18/11/2012</t>
  </si>
  <si>
    <t>1min</t>
  </si>
  <si>
    <t>18/11/2013</t>
  </si>
  <si>
    <t>18/11/2014</t>
  </si>
  <si>
    <t>2min</t>
  </si>
  <si>
    <t>18/11/2015</t>
  </si>
  <si>
    <t>18/11/2016</t>
  </si>
  <si>
    <t>18/11/2017</t>
  </si>
  <si>
    <t>3min</t>
  </si>
  <si>
    <t>18/11/2018</t>
  </si>
  <si>
    <t>18/11/2019</t>
  </si>
  <si>
    <t>4.5min</t>
  </si>
  <si>
    <t>18/11/2020</t>
  </si>
  <si>
    <t>18/11/2021</t>
  </si>
  <si>
    <t>7min</t>
  </si>
  <si>
    <t>18/11/2022</t>
  </si>
  <si>
    <t>18/11/2023</t>
  </si>
  <si>
    <t>9min</t>
  </si>
  <si>
    <t>18/11/2024</t>
  </si>
  <si>
    <t>18/11/2025</t>
  </si>
  <si>
    <t>12pm</t>
  </si>
  <si>
    <t>18/11/2026</t>
  </si>
  <si>
    <t>18/11/2027</t>
  </si>
  <si>
    <t>18/11/2028</t>
  </si>
  <si>
    <t>18/11/2029</t>
  </si>
  <si>
    <t>18/11/2030</t>
  </si>
  <si>
    <t>18/11/2031</t>
  </si>
  <si>
    <t>18/11/2032</t>
  </si>
  <si>
    <t>18/11/2033</t>
  </si>
  <si>
    <t>18/11/2034</t>
  </si>
  <si>
    <t>18/11/2035</t>
  </si>
  <si>
    <t>18/11/2036</t>
  </si>
  <si>
    <t>18/11/2037</t>
  </si>
  <si>
    <t>18/11/2038</t>
  </si>
  <si>
    <t>18/11/2039</t>
  </si>
  <si>
    <t>18/11/2040</t>
  </si>
  <si>
    <t>18/11/2041</t>
  </si>
  <si>
    <t>18/11/2042</t>
  </si>
  <si>
    <t>5 sec</t>
  </si>
  <si>
    <t>18/11/2043</t>
  </si>
  <si>
    <t>18/11/2044</t>
  </si>
  <si>
    <t>15 sec</t>
  </si>
  <si>
    <t>18/11/2045</t>
  </si>
  <si>
    <t>18/11/2046</t>
  </si>
  <si>
    <t>1 min</t>
  </si>
  <si>
    <t>18/11/2047</t>
  </si>
  <si>
    <t>18/11/2048</t>
  </si>
  <si>
    <t>18/11/2049</t>
  </si>
  <si>
    <t>18/11/2050</t>
  </si>
  <si>
    <t>18/11/2051</t>
  </si>
  <si>
    <t>18/11/2052</t>
  </si>
  <si>
    <t>5min</t>
  </si>
  <si>
    <t>18/11/2053</t>
  </si>
  <si>
    <t>18/11/2054</t>
  </si>
  <si>
    <t>6min</t>
  </si>
  <si>
    <t>18/11/2055</t>
  </si>
  <si>
    <t>18/11/2056</t>
  </si>
  <si>
    <t>8min</t>
  </si>
  <si>
    <t>18/11/2057</t>
  </si>
  <si>
    <t>25/11/25</t>
  </si>
  <si>
    <t>rat tail fasicles</t>
  </si>
  <si>
    <t>mm</t>
  </si>
  <si>
    <t>hydrated fasicle, glass PBS coverslip</t>
  </si>
  <si>
    <t>15min</t>
  </si>
  <si>
    <t>fasicle_linescan_785_10a0.5</t>
  </si>
  <si>
    <t>fasicle_linescan_785_10a0.5_v2</t>
  </si>
  <si>
    <t>dry fasicle, glass coverslip</t>
  </si>
  <si>
    <t>fasicleDRY_linescan_785_10a0.5</t>
  </si>
  <si>
    <t>depth scan</t>
  </si>
  <si>
    <t>fasicleDRY_depthscan_785_10a0.5</t>
  </si>
  <si>
    <t>fasicle_depthscan_785_10a0.5</t>
  </si>
  <si>
    <t>glass PBS coverslip</t>
  </si>
  <si>
    <t>glassPBS_depthscan_785_10ac0.5</t>
  </si>
  <si>
    <t>glass coverslip</t>
  </si>
  <si>
    <t>glassDRY_depthscan_785_10ac0.5</t>
  </si>
  <si>
    <t>glass only</t>
  </si>
  <si>
    <t>12min</t>
  </si>
  <si>
    <t>glassONLY_depthscan_785_10ac0.5</t>
  </si>
  <si>
    <t>60um sample 1</t>
  </si>
  <si>
    <t>14min</t>
  </si>
  <si>
    <t>sample_depthscan_785_10ac0.5</t>
  </si>
  <si>
    <t>fasicleWET_linescan_633_10a0.5</t>
  </si>
  <si>
    <t>17min</t>
  </si>
  <si>
    <t>fasicleWET_depthscan_633_10a0.5</t>
  </si>
  <si>
    <t>fasicleDRY_linescan_633_10a0.5</t>
  </si>
  <si>
    <t>fasicleDRY_depthscan_633_10a0.5</t>
  </si>
  <si>
    <t>16min</t>
  </si>
  <si>
    <t>glassPBS_depthscan_633_10ac0.5</t>
  </si>
  <si>
    <t>glassDRY_depthscan_633_10ac0.5</t>
  </si>
  <si>
    <t>glassONLY_depthscan_633_10ac0.5</t>
  </si>
  <si>
    <t>sample_depthscan_633_10ac0.5</t>
  </si>
  <si>
    <t>fasicleWET_linescan_442_10a0.5</t>
  </si>
  <si>
    <t>fasicleWET_depthscan_442_10a0.5</t>
  </si>
  <si>
    <t>fasicleDRY_linescan_442_10a0.5</t>
  </si>
  <si>
    <t>fasicleDRY_depthscan_442_10a0.5</t>
  </si>
  <si>
    <t>glassPBS_depthscan_442_10ac0.5</t>
  </si>
  <si>
    <t>glassDRY_depthscan_442_10ac0.5</t>
  </si>
  <si>
    <t>glassONLY_depthscan_442_10ac0.5</t>
  </si>
  <si>
    <t>sample_depthscan_442_10ac0.5</t>
  </si>
  <si>
    <t>fasicleWET_linescan_532_10a0.5</t>
  </si>
  <si>
    <t>fasicleWET_depthscan_532_10a0.5</t>
  </si>
  <si>
    <t>fasicleDRY_linescan_532_10a0.5</t>
  </si>
  <si>
    <t>fasicleDRY_depthscan_532_10a0.5</t>
  </si>
  <si>
    <t>glassPBS_depthscan_532_10ac0.5</t>
  </si>
  <si>
    <t>glassDRY_depthscan_532_10ac0.5</t>
  </si>
  <si>
    <t>glassONLY_depthscan_532_10ac0.5</t>
  </si>
  <si>
    <t>sample_depthscan_532_10ac0.5</t>
  </si>
  <si>
    <t xml:space="preserve"> 60um sample 1</t>
  </si>
  <si>
    <t>sample_depthscan_532_10ac0.5_50obj</t>
  </si>
  <si>
    <t>hydrated fasicle no glass</t>
  </si>
  <si>
    <t>fasicleWET_noglass_linescan_532_10a0.5</t>
  </si>
  <si>
    <t>fasicleWET_noglass_depthscan_532_10a0.5</t>
  </si>
  <si>
    <t>dry fasicle no glass</t>
  </si>
  <si>
    <t>fasicleDRY_noglass_linescan_532_10a0.5</t>
  </si>
  <si>
    <t>fasicleDRY_noglass_depthscan_532_10a0.5</t>
  </si>
  <si>
    <t>fasicleDRY_noglass_linescan_785_10a0.5</t>
  </si>
  <si>
    <t>fasicleDRY_noglass_depthscan_785_10a0.5</t>
  </si>
  <si>
    <t>fasicleWET_noglass_linescan_785_10a0.5</t>
  </si>
  <si>
    <t>fasicleWET_noglass_depthscan_785_10a0.5</t>
  </si>
  <si>
    <t>fasicleWET_noglass_linescan_633_10a0.5</t>
  </si>
  <si>
    <t>fasicleWET_noglass_depthscan_633_10a0.5</t>
  </si>
  <si>
    <t>fasicleDRY_noglass_linescan_633_10a0.5</t>
  </si>
  <si>
    <t>fasicleDRY_noglass_depthscan_633_10a0.5</t>
  </si>
  <si>
    <t>Wet tendon</t>
  </si>
  <si>
    <t xml:space="preserve">single </t>
  </si>
  <si>
    <t>Glass near wet tendon</t>
  </si>
  <si>
    <t>Scan No.</t>
  </si>
  <si>
    <t>End No.</t>
  </si>
  <si>
    <t>Subtype</t>
  </si>
  <si>
    <t>Eppendorf</t>
  </si>
  <si>
    <t>X-number</t>
  </si>
  <si>
    <t>Y-number</t>
  </si>
  <si>
    <t>no points</t>
  </si>
  <si>
    <t>IQRED</t>
  </si>
  <si>
    <t>ICHI RED</t>
  </si>
  <si>
    <t>IQFIT</t>
  </si>
  <si>
    <t>ICHIFIT</t>
  </si>
  <si>
    <t>Heatmap</t>
  </si>
  <si>
    <t>Good</t>
  </si>
  <si>
    <t>REDUCTION</t>
  </si>
  <si>
    <t>FITTING</t>
  </si>
  <si>
    <t>HEATMAP</t>
  </si>
  <si>
    <t>Wound</t>
  </si>
  <si>
    <t>Y</t>
  </si>
  <si>
    <t>no wound</t>
  </si>
  <si>
    <t>spot over wound?</t>
  </si>
  <si>
    <t>?</t>
  </si>
  <si>
    <t>no end point</t>
  </si>
  <si>
    <t>no sample</t>
  </si>
  <si>
    <t>wonky</t>
  </si>
  <si>
    <t>not sure where wound is</t>
  </si>
  <si>
    <t>not sure where wound is -- But might be ok as a control?</t>
  </si>
  <si>
    <t>Bleo</t>
  </si>
  <si>
    <t>same as 778</t>
  </si>
  <si>
    <t>same as 792</t>
  </si>
  <si>
    <t>unwounded</t>
  </si>
  <si>
    <t xml:space="preserve">WT back skin </t>
  </si>
  <si>
    <t>not good</t>
  </si>
  <si>
    <t>fixed control</t>
  </si>
  <si>
    <t xml:space="preserve">wound bed </t>
  </si>
  <si>
    <t>60um control</t>
  </si>
  <si>
    <t>WT B1</t>
  </si>
  <si>
    <t>KO7 JEB</t>
  </si>
  <si>
    <t>KO1 JEB</t>
  </si>
  <si>
    <t>Y?</t>
  </si>
  <si>
    <t>KO2 JEB</t>
  </si>
  <si>
    <t>KO3 JEB</t>
  </si>
  <si>
    <t>middle keloid claire stav 1</t>
  </si>
  <si>
    <t>stav 19/9/24 LE keloid</t>
  </si>
  <si>
    <t>Preiclusional keloid 1 3</t>
  </si>
  <si>
    <t>Normal for keloid - d</t>
  </si>
  <si>
    <t>KO4 JEB</t>
  </si>
  <si>
    <t>KO6 JEB</t>
  </si>
  <si>
    <t>KO5 JEB</t>
  </si>
  <si>
    <t>WT B3</t>
  </si>
  <si>
    <t>none</t>
  </si>
  <si>
    <t>R17 control blue slide</t>
  </si>
  <si>
    <t>Sclero</t>
  </si>
  <si>
    <t>R16 03</t>
  </si>
  <si>
    <t>R15 04</t>
  </si>
  <si>
    <t>bovine tendon hydrated</t>
  </si>
  <si>
    <t>bovine</t>
  </si>
  <si>
    <t>bovine tendon dehydrated</t>
  </si>
  <si>
    <t>bovine tendon dehydrated NO ULTRALENE</t>
  </si>
  <si>
    <t>bovine tendon hydrated NO UL</t>
  </si>
  <si>
    <t>mech testing 1</t>
  </si>
  <si>
    <t>mech</t>
  </si>
  <si>
    <t>no file on harddrive</t>
  </si>
  <si>
    <t>mech testing 2</t>
  </si>
  <si>
    <t>mech testing 3</t>
  </si>
  <si>
    <t>mech testing 4</t>
  </si>
  <si>
    <t>100um</t>
  </si>
  <si>
    <t>60um</t>
  </si>
  <si>
    <t>15um</t>
  </si>
  <si>
    <t>30um</t>
  </si>
  <si>
    <t>R-16 09a</t>
  </si>
  <si>
    <t>sclero</t>
  </si>
  <si>
    <t>R-16 -02 b</t>
  </si>
  <si>
    <t>r16-01a</t>
  </si>
  <si>
    <t>r-1705 control</t>
  </si>
  <si>
    <t>raddam</t>
  </si>
  <si>
    <t>CAM hole</t>
  </si>
  <si>
    <t>CAM</t>
  </si>
  <si>
    <t>CAM no hole</t>
  </si>
  <si>
    <t>PAM hole</t>
  </si>
  <si>
    <t>PAM</t>
  </si>
  <si>
    <t>PAM no hole</t>
  </si>
  <si>
    <t>Rad dam 1</t>
  </si>
  <si>
    <t>RAD</t>
  </si>
  <si>
    <t>Rad Dam 2</t>
  </si>
  <si>
    <t>TYPE</t>
  </si>
  <si>
    <t>Completed</t>
  </si>
  <si>
    <t>Images</t>
  </si>
  <si>
    <t>Cut</t>
  </si>
  <si>
    <t>Analysed</t>
  </si>
  <si>
    <t>Paper</t>
  </si>
  <si>
    <t>Control 60um</t>
  </si>
  <si>
    <t>Control 12um</t>
  </si>
  <si>
    <t>D4</t>
  </si>
  <si>
    <t>D21</t>
  </si>
  <si>
    <t>VH</t>
  </si>
  <si>
    <t>4W MET</t>
  </si>
  <si>
    <t>WT VH NECK</t>
  </si>
  <si>
    <t>KO VH NECK</t>
  </si>
  <si>
    <t>NUMBER</t>
  </si>
  <si>
    <t>RAMAN</t>
  </si>
  <si>
    <t>Sub type</t>
  </si>
  <si>
    <t>Tip size</t>
  </si>
  <si>
    <t>Tip stiffness</t>
  </si>
  <si>
    <t>indentation depth</t>
  </si>
  <si>
    <t>approach speed</t>
  </si>
  <si>
    <t>hold time</t>
  </si>
  <si>
    <t>Control 6</t>
  </si>
  <si>
    <t>Control</t>
  </si>
  <si>
    <t>2s</t>
  </si>
  <si>
    <t>3s</t>
  </si>
  <si>
    <t>Control 7</t>
  </si>
  <si>
    <t>Control 1</t>
  </si>
  <si>
    <t>Control 2</t>
  </si>
  <si>
    <t>Control 3</t>
  </si>
  <si>
    <t>Control 4</t>
  </si>
  <si>
    <t>Control 5</t>
  </si>
  <si>
    <t>16 F</t>
  </si>
  <si>
    <t>T5224</t>
  </si>
  <si>
    <t>19 G</t>
  </si>
  <si>
    <t>20 H</t>
  </si>
  <si>
    <t>Clomipramine</t>
  </si>
  <si>
    <t>23 H</t>
  </si>
  <si>
    <t>4w</t>
  </si>
  <si>
    <t>BMMET</t>
  </si>
  <si>
    <t>Mild</t>
  </si>
  <si>
    <t>Med</t>
  </si>
  <si>
    <t>Sev</t>
  </si>
  <si>
    <t>Sev+d4</t>
  </si>
  <si>
    <t>Sev+d7</t>
  </si>
  <si>
    <t>Sev+d10</t>
  </si>
  <si>
    <t>Sev+d14</t>
  </si>
  <si>
    <t>Sev+d21</t>
  </si>
  <si>
    <t>RecLamn</t>
  </si>
  <si>
    <t>19G f32</t>
  </si>
  <si>
    <t>Middle</t>
  </si>
  <si>
    <t>273 f31</t>
  </si>
  <si>
    <t>Edge</t>
  </si>
  <si>
    <t>269 f11</t>
  </si>
  <si>
    <t>274 f22</t>
  </si>
  <si>
    <t>272 f32</t>
  </si>
  <si>
    <t>P0</t>
  </si>
  <si>
    <t>301 m11</t>
  </si>
  <si>
    <t>P4</t>
  </si>
  <si>
    <t>16F f21</t>
  </si>
  <si>
    <t>20 f11</t>
  </si>
  <si>
    <t>23 f22</t>
  </si>
  <si>
    <t>277 f21</t>
  </si>
  <si>
    <t>275 f11</t>
  </si>
  <si>
    <t>201 f21</t>
  </si>
  <si>
    <t>281 f22</t>
  </si>
  <si>
    <t>278 f11</t>
  </si>
  <si>
    <t>284 m12</t>
  </si>
  <si>
    <t>285 m21</t>
  </si>
  <si>
    <t>294 f12</t>
  </si>
  <si>
    <t>295 m12</t>
  </si>
  <si>
    <t>280 m22</t>
  </si>
  <si>
    <t>279 f12</t>
  </si>
  <si>
    <t>289 f11</t>
  </si>
  <si>
    <t>298 m11</t>
  </si>
  <si>
    <t>SAMPLE NUMBER</t>
  </si>
  <si>
    <t>DLS NUMBER</t>
  </si>
  <si>
    <t>Label</t>
  </si>
  <si>
    <t>Size</t>
  </si>
  <si>
    <t>end?</t>
  </si>
  <si>
    <t>DATE</t>
  </si>
  <si>
    <t>EXP NUMBER</t>
  </si>
  <si>
    <t>DAWN</t>
  </si>
  <si>
    <t>I(q)</t>
  </si>
  <si>
    <t>CSV</t>
  </si>
  <si>
    <t>I(X)</t>
  </si>
  <si>
    <t>SCALED AREA NON PARAM</t>
  </si>
  <si>
    <t>TOTAL AREA ARR</t>
  </si>
  <si>
    <t>SCALED AREA</t>
  </si>
  <si>
    <t>DPERIOD</t>
  </si>
  <si>
    <t>CSV master</t>
  </si>
  <si>
    <t>sample 62 scan 3</t>
  </si>
  <si>
    <t>60x64</t>
  </si>
  <si>
    <t>SM36684-1</t>
  </si>
  <si>
    <t>sample 67</t>
  </si>
  <si>
    <t>73x70</t>
  </si>
  <si>
    <t>sample 75</t>
  </si>
  <si>
    <t>72x53</t>
  </si>
  <si>
    <t>Sample 302</t>
  </si>
  <si>
    <t>155x60</t>
  </si>
  <si>
    <t>sample 303</t>
  </si>
  <si>
    <t>57x72</t>
  </si>
  <si>
    <t>sample 304</t>
  </si>
  <si>
    <t>72x77</t>
  </si>
  <si>
    <t>sample 306</t>
  </si>
  <si>
    <t>57x75</t>
  </si>
  <si>
    <t>sample 307</t>
  </si>
  <si>
    <t>58x94</t>
  </si>
  <si>
    <t>sample 309</t>
  </si>
  <si>
    <t>55x59</t>
  </si>
  <si>
    <t>sample 310</t>
  </si>
  <si>
    <t>71x51</t>
  </si>
  <si>
    <t>sample 301b</t>
  </si>
  <si>
    <t>74x86</t>
  </si>
  <si>
    <t>sample 301a</t>
  </si>
  <si>
    <t>171x86</t>
  </si>
  <si>
    <t>sample 308</t>
  </si>
  <si>
    <t>77x47</t>
  </si>
  <si>
    <t>sample 312</t>
  </si>
  <si>
    <t>71x60</t>
  </si>
  <si>
    <t>sample 320</t>
  </si>
  <si>
    <t>131x63</t>
  </si>
  <si>
    <t>sample 322</t>
  </si>
  <si>
    <t>124x63</t>
  </si>
  <si>
    <t>sample 98</t>
  </si>
  <si>
    <t>141x63</t>
  </si>
  <si>
    <t>sample 152</t>
  </si>
  <si>
    <t>sample 305</t>
  </si>
  <si>
    <t>136x96</t>
  </si>
  <si>
    <t>sample 153</t>
  </si>
  <si>
    <t>161x50</t>
  </si>
  <si>
    <t>sample 165</t>
  </si>
  <si>
    <t>sample 311</t>
  </si>
  <si>
    <t>115x75</t>
  </si>
  <si>
    <t>sample 319</t>
  </si>
  <si>
    <t>81x106</t>
  </si>
  <si>
    <t>sample 79</t>
  </si>
  <si>
    <t>146x57</t>
  </si>
  <si>
    <t>sample 71 bottomhalf real sample</t>
  </si>
  <si>
    <t>109x58</t>
  </si>
  <si>
    <t>sample 78</t>
  </si>
  <si>
    <t>146x52</t>
  </si>
  <si>
    <t>B1 - Wound day 4</t>
  </si>
  <si>
    <t>SM33398-1</t>
  </si>
  <si>
    <t>B1 – outside wound bed</t>
  </si>
  <si>
    <t>B2 - Wound day 4</t>
  </si>
  <si>
    <t>B2 – outside wound bed</t>
  </si>
  <si>
    <t>B3 - Wound day 4</t>
  </si>
  <si>
    <t>B1 - Wound day 7</t>
  </si>
  <si>
    <t>B2 - Wound day 7</t>
  </si>
  <si>
    <t>B4 - Wound day 7</t>
  </si>
  <si>
    <t>B2 - Wound day 14</t>
  </si>
  <si>
    <t>B3 - Wound day 14</t>
  </si>
  <si>
    <t>B1 - Wound day 10</t>
  </si>
  <si>
    <t>B2 - Wound day 10</t>
  </si>
  <si>
    <t>B2- Post Natal day 4</t>
  </si>
  <si>
    <t>B1 - Post Natal Day 10</t>
  </si>
  <si>
    <t>B1 – Embryonic Day 18.5</t>
  </si>
  <si>
    <t>B2 – Embryonic Day 16.5</t>
  </si>
  <si>
    <t>B1 – Embryonic Day 16.5</t>
  </si>
  <si>
    <t>B1 - Post Natal Day 2</t>
  </si>
  <si>
    <t>B1 - Bleo 3R - PBS</t>
  </si>
  <si>
    <t>B1 - Bleo 3R - 4w</t>
  </si>
  <si>
    <t>B1 - Bleo 3R - 2w</t>
  </si>
  <si>
    <t>B2 – Bleo 4R - PBSMET (4)</t>
  </si>
  <si>
    <t>B3 - Bleo 4 - PBSMET (R24 07)</t>
  </si>
  <si>
    <t>B1 – Bleo 4R - BM5</t>
  </si>
  <si>
    <t>B2 – Bleo 4R - BM3</t>
  </si>
  <si>
    <t>B2 – Bleo 3R - 4w (4)</t>
  </si>
  <si>
    <t>141(2)</t>
  </si>
  <si>
    <t>same as above</t>
  </si>
  <si>
    <t>B3 – Bleo 3R - 4w (5)</t>
  </si>
  <si>
    <t>B4 – Bleo 4 - PBS MET</t>
  </si>
  <si>
    <t>B3 – Bleo 4 - BM</t>
  </si>
  <si>
    <t>B5 – Bleo 3 - 2w</t>
  </si>
  <si>
    <t>B6 – Bleo 3 - 2w</t>
  </si>
  <si>
    <t>B2– Bleo 2 – PBS (2)</t>
  </si>
  <si>
    <t>B3– Bleo 2 – PBS Female</t>
  </si>
  <si>
    <t>B3 – outside wound bed</t>
  </si>
  <si>
    <t>SM34636-1</t>
  </si>
  <si>
    <t>b1 day 7</t>
  </si>
  <si>
    <t>b2 day 7</t>
  </si>
  <si>
    <t> </t>
  </si>
  <si>
    <t>b1 day 14</t>
  </si>
  <si>
    <t>b1 day 21</t>
  </si>
  <si>
    <t>b3 day 21</t>
  </si>
  <si>
    <t>b4 day 21</t>
  </si>
  <si>
    <t>b5 day 21</t>
  </si>
  <si>
    <t>sample 302 coarse map</t>
  </si>
  <si>
    <t>20x38</t>
  </si>
  <si>
    <t>17x30</t>
  </si>
  <si>
    <t>sample 320 coarse</t>
  </si>
  <si>
    <t>21x18</t>
  </si>
  <si>
    <t>laser</t>
  </si>
  <si>
    <t>control</t>
  </si>
  <si>
    <t>21/02/2025</t>
  </si>
  <si>
    <t>air BG</t>
  </si>
  <si>
    <t>air BG on slide</t>
  </si>
  <si>
    <t>23/02/2025</t>
  </si>
  <si>
    <t>elis scan 1</t>
  </si>
  <si>
    <t>elis scan 2</t>
  </si>
  <si>
    <t>elis scan 3</t>
  </si>
  <si>
    <t>ul and pbs background</t>
  </si>
  <si>
    <t>24/02/2025</t>
  </si>
  <si>
    <t>DIGESTED</t>
  </si>
  <si>
    <t>VEHICLE</t>
  </si>
  <si>
    <t>LASER</t>
  </si>
  <si>
    <t>Number</t>
  </si>
  <si>
    <t>Explanation</t>
  </si>
  <si>
    <t xml:space="preserve">Wounding time course. Adult mice in vivo 2mm biopsy punch into back skin. Euthanised at x days post wounding. </t>
  </si>
  <si>
    <t>Aging time course. Mice euthanised at x days pre or post birth. (E19 = average day of birth)</t>
  </si>
  <si>
    <t xml:space="preserve">Bleomycin treated course. Adult mice treated with bleomycin drug to induce fibrosis for 2 weeks or 4 weeks. Metformin treated may reduce fibrosis. </t>
  </si>
  <si>
    <t xml:space="preserve">Digestion time course. Human surgical waste skin are digested using enzyme for set time. </t>
  </si>
  <si>
    <t xml:space="preserve">Vehicle course. Adult mice treated with T5224 course and vehicle control. </t>
  </si>
  <si>
    <t xml:space="preserve">Controls for all groups. Usually Adult mice with no conditions or treatments. </t>
  </si>
  <si>
    <t xml:space="preserve">AP1 inhibtied wounding time course. Adult mice in vivo 2mm biopsy punch into back skin and treated with an AP1 inhibitor. Euthanised at 10 and 21 days post wounding. </t>
  </si>
  <si>
    <t xml:space="preserve">JEB model wounding time course. Adult mice in vivo 2mm biopsy punch into back skin and treated with an drug to induce JEB symptoms. Euthanised at x days post wounding. </t>
  </si>
  <si>
    <t xml:space="preserve">Laser course. Adult mouse back skin excised, and cut laterally with scalpel to xmm depth. Laser scanned using xx parameters to see collagen reconsitution. </t>
  </si>
  <si>
    <t>How to scan</t>
  </si>
  <si>
    <t>Scan vertical line through entire width avoiding hairs</t>
  </si>
  <si>
    <t>Scan through fibrotic regions through full thickness avoiding hairs</t>
  </si>
  <si>
    <t>Scan digested regions of tissue near digested edges and away</t>
  </si>
  <si>
    <t>Scan central wound bed, edges of wound (both top and bottom and left and right), and outside the WB.</t>
  </si>
  <si>
    <t>Scan vertically through entire width avoiding hairs</t>
  </si>
  <si>
    <t>Types</t>
  </si>
  <si>
    <t>Sample Type</t>
  </si>
  <si>
    <t>no wound or outside the wound bed</t>
  </si>
  <si>
    <t>Embryonic day 16.5</t>
  </si>
  <si>
    <t>PBS treated control mouse</t>
  </si>
  <si>
    <t>24hr</t>
  </si>
  <si>
    <t>24hours post digestion</t>
  </si>
  <si>
    <t>T5224 day 10</t>
  </si>
  <si>
    <t>10 days post wounding treated with T5224 drug</t>
  </si>
  <si>
    <t>plain</t>
  </si>
  <si>
    <t>no condition</t>
  </si>
  <si>
    <t>Drug T5224 with corn oil to inhibit fibrosis, post wounding day 10</t>
  </si>
  <si>
    <t>Control Skin with KO vehicle (wild type)</t>
  </si>
  <si>
    <t>4 days post wounding</t>
  </si>
  <si>
    <t>Embryonic day 18.5</t>
  </si>
  <si>
    <t>2 weeks treated with bleomycin</t>
  </si>
  <si>
    <t>48hr</t>
  </si>
  <si>
    <t>Vehicle day 10</t>
  </si>
  <si>
    <t>10 days post wounding treated with vehicle control</t>
  </si>
  <si>
    <t>.</t>
  </si>
  <si>
    <t>Vehicle</t>
  </si>
  <si>
    <t>Corn oil vehicle control,  post wounding day 10</t>
  </si>
  <si>
    <t xml:space="preserve">Mild disease progession Knockout </t>
  </si>
  <si>
    <t>7 days post wounding</t>
  </si>
  <si>
    <t>Post natal day 2</t>
  </si>
  <si>
    <t>4 weeks treated with bleomycin</t>
  </si>
  <si>
    <t>14 days</t>
  </si>
  <si>
    <t>Clomipramine drug to cause fibrosis with acetone vehicle,  post wounding day 21</t>
  </si>
  <si>
    <t xml:space="preserve">Medium disease progession Knockout </t>
  </si>
  <si>
    <t>10 days post wounding</t>
  </si>
  <si>
    <t>Post natal day 4</t>
  </si>
  <si>
    <t>treated with PBS and Metformin (BM control)</t>
  </si>
  <si>
    <t>21 days</t>
  </si>
  <si>
    <t>Acetone</t>
  </si>
  <si>
    <t>Acetone vehicle, post wounding day 21</t>
  </si>
  <si>
    <t xml:space="preserve">Severe disease progession Knockout </t>
  </si>
  <si>
    <t>14 days post wounding</t>
  </si>
  <si>
    <t>Post natal day 10</t>
  </si>
  <si>
    <t>treated with both bleomycin and metformin</t>
  </si>
  <si>
    <t>Severe disease progession Knockout with 2mm wound 4 days post wounding</t>
  </si>
  <si>
    <t>21 days post wounding</t>
  </si>
  <si>
    <t>PBS+OKN007</t>
  </si>
  <si>
    <t>PBS treated control mouse with okn drug</t>
  </si>
  <si>
    <t>Severe disease progession Knockout with 2mm wound 7 days post wounding</t>
  </si>
  <si>
    <t>4W+OKN007</t>
  </si>
  <si>
    <t>4 weeks treated with bleomycin and OKN 007 to 'heal'</t>
  </si>
  <si>
    <t>Severe disease progession Knockout with 2mm wound 10 days post wounding</t>
  </si>
  <si>
    <t>Severe disease progession Knockout with 2mm wound 14 days post wounding</t>
  </si>
  <si>
    <t>Severe disease progession Knockout with 2mm wound 21 days post wounding</t>
  </si>
  <si>
    <t>Disease progession Knockout treated with recombinant laminin</t>
  </si>
  <si>
    <t>FOLDER NAME</t>
  </si>
  <si>
    <t>GENDER</t>
  </si>
  <si>
    <t>MOUSE</t>
  </si>
  <si>
    <t>DATE OF EXP</t>
  </si>
  <si>
    <t>DIRECTION</t>
  </si>
  <si>
    <t>Code cut left dermis</t>
  </si>
  <si>
    <t>Code cut right dermis</t>
  </si>
  <si>
    <t>Code cut left epi</t>
  </si>
  <si>
    <t>Code cut right epi</t>
  </si>
  <si>
    <t>Code cut left sub</t>
  </si>
  <si>
    <t>Code cut right sub</t>
  </si>
  <si>
    <t>Full length</t>
  </si>
  <si>
    <t>VH2</t>
  </si>
  <si>
    <t>HORIZ</t>
  </si>
  <si>
    <t>VH3</t>
  </si>
  <si>
    <t>F</t>
  </si>
  <si>
    <t>18/08/2023</t>
  </si>
  <si>
    <t>VH4</t>
  </si>
  <si>
    <t>TS1</t>
  </si>
  <si>
    <t>TS2</t>
  </si>
  <si>
    <t>TS3</t>
  </si>
  <si>
    <t>TS4</t>
  </si>
  <si>
    <t>AC1</t>
  </si>
  <si>
    <t>16/07/2024</t>
  </si>
  <si>
    <t>AC2</t>
  </si>
  <si>
    <t>M</t>
  </si>
  <si>
    <t>AC3</t>
  </si>
  <si>
    <t>CL1</t>
  </si>
  <si>
    <t>CL2</t>
  </si>
  <si>
    <t>CL3</t>
  </si>
  <si>
    <t>CL4</t>
  </si>
  <si>
    <t>CL5</t>
  </si>
  <si>
    <t>CL6</t>
  </si>
  <si>
    <t>AC4</t>
  </si>
  <si>
    <t>TS5</t>
  </si>
  <si>
    <t>TS6</t>
  </si>
  <si>
    <t>VH5</t>
  </si>
  <si>
    <t>VH6</t>
  </si>
  <si>
    <t>AC5</t>
  </si>
  <si>
    <t>VH1</t>
  </si>
  <si>
    <t>VERT</t>
  </si>
  <si>
    <t>SAMPLE NAME</t>
  </si>
  <si>
    <t>Gender</t>
  </si>
  <si>
    <t>Repeat</t>
  </si>
  <si>
    <t>full length</t>
  </si>
  <si>
    <t>no pts</t>
  </si>
  <si>
    <t>Measured left glass</t>
  </si>
  <si>
    <t>Measured Subcut layer</t>
  </si>
  <si>
    <t>Measured dermis</t>
  </si>
  <si>
    <t>Measured epi</t>
  </si>
  <si>
    <t>Measured right glass</t>
  </si>
  <si>
    <t>2W-1</t>
  </si>
  <si>
    <t>BLEO</t>
  </si>
  <si>
    <t>Vert</t>
  </si>
  <si>
    <t>2W-2</t>
  </si>
  <si>
    <t>bleo 3rf 2w 2.2</t>
  </si>
  <si>
    <t>2W-3</t>
  </si>
  <si>
    <t>bleo 3rs 2w 2</t>
  </si>
  <si>
    <t>2W-4</t>
  </si>
  <si>
    <t>bleo3rs 2w 1</t>
  </si>
  <si>
    <t>2W-5</t>
  </si>
  <si>
    <t>bleo 3r 4w 1</t>
  </si>
  <si>
    <t>4W_3R</t>
  </si>
  <si>
    <t>4W_3R-1</t>
  </si>
  <si>
    <t>bleo 3rf 4w 1.1</t>
  </si>
  <si>
    <t>4W_3R-2</t>
  </si>
  <si>
    <t>bleo 3rf 4w 2.1</t>
  </si>
  <si>
    <t>4W_3R-3</t>
  </si>
  <si>
    <t>bleo 5r 4k 4.2</t>
  </si>
  <si>
    <t>4w_5R</t>
  </si>
  <si>
    <t>4W_5R-1</t>
  </si>
  <si>
    <t>bleo 5r 4w 1.1</t>
  </si>
  <si>
    <t>4W_5R-2</t>
  </si>
  <si>
    <t>bleo 5r 4w 2.1</t>
  </si>
  <si>
    <t>4W_5R-3</t>
  </si>
  <si>
    <t>bleo 5r 4wk 5.1</t>
  </si>
  <si>
    <t>4W_5R-4</t>
  </si>
  <si>
    <t>4W_MET</t>
  </si>
  <si>
    <t>4W_MET-1</t>
  </si>
  <si>
    <t>4W_MET-2</t>
  </si>
  <si>
    <t>4W_MET-3</t>
  </si>
  <si>
    <t>bleo 5r 4wokn 1.1</t>
  </si>
  <si>
    <t>4W_OKN</t>
  </si>
  <si>
    <t>4W_OKN-1</t>
  </si>
  <si>
    <t>bleo 5r 4wokn 3.1</t>
  </si>
  <si>
    <t>4W_OKN-2</t>
  </si>
  <si>
    <t>bleo 5r 4wokn 5.1</t>
  </si>
  <si>
    <t>4W_OKN-3</t>
  </si>
  <si>
    <t>bleo 5r 4wokn 2.1</t>
  </si>
  <si>
    <t>4W_OKN-4</t>
  </si>
  <si>
    <t>bleo 5r 4wokn 4.1</t>
  </si>
  <si>
    <t>4W_OKN-5</t>
  </si>
  <si>
    <t>bleo 3r pbs 1</t>
  </si>
  <si>
    <t>PBS-1</t>
  </si>
  <si>
    <t>PBS-2</t>
  </si>
  <si>
    <t>PBS-3</t>
  </si>
  <si>
    <t>PBS-4</t>
  </si>
  <si>
    <t>PBS_OKN</t>
  </si>
  <si>
    <t>PBS_OKN-1</t>
  </si>
  <si>
    <t>BM_MET</t>
  </si>
  <si>
    <t>BM_MET-1</t>
  </si>
  <si>
    <t>bm 12</t>
  </si>
  <si>
    <t>BM_MET-2</t>
  </si>
  <si>
    <t>BM 14</t>
  </si>
  <si>
    <t>BM_MET-3</t>
  </si>
  <si>
    <t>no</t>
  </si>
  <si>
    <t>22/11/2023</t>
  </si>
  <si>
    <t>16/02/2024</t>
  </si>
  <si>
    <t>29/01/2024</t>
  </si>
  <si>
    <t>23/01/2024</t>
  </si>
  <si>
    <t>22/01/2024</t>
  </si>
  <si>
    <t>17/01/2024</t>
  </si>
  <si>
    <t>D7 2</t>
  </si>
  <si>
    <t>25/06/2024</t>
  </si>
  <si>
    <t>D7 1</t>
  </si>
  <si>
    <t>29/08/2023</t>
  </si>
  <si>
    <t>21/08/2023</t>
  </si>
  <si>
    <t>14/08/2023</t>
  </si>
  <si>
    <t>23/08/2023</t>
  </si>
  <si>
    <t>D10 1</t>
  </si>
  <si>
    <t>20/06/2024</t>
  </si>
  <si>
    <t>D10 3</t>
  </si>
  <si>
    <t>D10 2</t>
  </si>
  <si>
    <t>D14 1</t>
  </si>
  <si>
    <t>13/02/2024</t>
  </si>
  <si>
    <t>D14 2</t>
  </si>
  <si>
    <t>29/05/2024</t>
  </si>
  <si>
    <t>d14</t>
  </si>
  <si>
    <t>D14 3</t>
  </si>
  <si>
    <t>D14 4</t>
  </si>
  <si>
    <t>Eppendorf or Slide number</t>
  </si>
  <si>
    <t>Priority G1 G2 G3 G4</t>
  </si>
  <si>
    <t xml:space="preserve">Scan Number </t>
  </si>
  <si>
    <t>Date/Time</t>
  </si>
  <si>
    <t>epiderms location (L or R)</t>
  </si>
  <si>
    <t>thickness (um)</t>
  </si>
  <si>
    <t>Exposure time (s)</t>
  </si>
  <si>
    <t>Base table-x</t>
  </si>
  <si>
    <t>Base table-y</t>
  </si>
  <si>
    <t>X-start</t>
  </si>
  <si>
    <t>X-end</t>
  </si>
  <si>
    <t>X_centre</t>
  </si>
  <si>
    <t>Y-start</t>
  </si>
  <si>
    <t>Y-end</t>
  </si>
  <si>
    <t>Y_centre</t>
  </si>
  <si>
    <t>X-wid mm</t>
  </si>
  <si>
    <t>Y-wid mm</t>
  </si>
  <si>
    <t>step size (um)</t>
  </si>
  <si>
    <t>start time</t>
  </si>
  <si>
    <t xml:space="preserve">time length </t>
  </si>
  <si>
    <t>End time</t>
  </si>
  <si>
    <t>Approx time from mapping</t>
  </si>
  <si>
    <t>Python Processed</t>
  </si>
  <si>
    <t>DONE</t>
  </si>
  <si>
    <t>Pig Back skin</t>
  </si>
  <si>
    <t>2.5mm</t>
  </si>
  <si>
    <t>25mW</t>
  </si>
  <si>
    <t xml:space="preserve">Start Scan Number </t>
  </si>
  <si>
    <t>End Scan Number</t>
  </si>
  <si>
    <t>Y-len mm</t>
  </si>
  <si>
    <t>Approx end time</t>
  </si>
  <si>
    <t>G1</t>
  </si>
  <si>
    <t>left</t>
  </si>
  <si>
    <t>lots of pre random scans!</t>
  </si>
  <si>
    <t>YES</t>
  </si>
  <si>
    <t>May be over stretched?</t>
  </si>
  <si>
    <t>right</t>
  </si>
  <si>
    <t>large scan due to uncertainty of where WB is</t>
  </si>
  <si>
    <t>coarse map scan needed as misaligned OAV (there are 2 of these)</t>
  </si>
  <si>
    <t>alignment issue solved(?)</t>
  </si>
  <si>
    <t>v nice(!)  small holder</t>
  </si>
  <si>
    <t>is this 753767?</t>
  </si>
  <si>
    <t>WB very near upper edge before stretching, small holder used</t>
  </si>
  <si>
    <t>mess - slipped from grips twice - cant see WB. not sure about viability of this sample</t>
  </si>
  <si>
    <t>may be not quite stretched. not sure if scan cuts off WB top. may resan top?</t>
  </si>
  <si>
    <t>coarse map scan of plastic to see if OAV is misaligned again</t>
  </si>
  <si>
    <t>top of 310 as not sure if captured the whole thing?</t>
  </si>
  <si>
    <t>G2</t>
  </si>
  <si>
    <t>scan b</t>
  </si>
  <si>
    <t>this actually is 786</t>
  </si>
  <si>
    <t>scan a</t>
  </si>
  <si>
    <t>coarse map for offset</t>
  </si>
  <si>
    <t>307 no visible WB - 308 may have slipped from grips? or may be twisted - not sure if viability of this one. took 3 OAV images with 3 exposures but not sure what difference it made to the imgs. (a,b,c)</t>
  </si>
  <si>
    <t>Post wounding day4 GFP NF female 20/09/22 (IV) (same as 311)</t>
  </si>
  <si>
    <t>coarse map</t>
  </si>
  <si>
    <t>Second one for rad dam</t>
  </si>
  <si>
    <t>this is 788</t>
  </si>
  <si>
    <t>this is the coarse map for 320</t>
  </si>
  <si>
    <t>first of 0.5s exposure times :(</t>
  </si>
  <si>
    <t>coarse map scan due to OAV misalignment</t>
  </si>
  <si>
    <t>coarse scan to check offset</t>
  </si>
  <si>
    <t>coarse map scan</t>
  </si>
  <si>
    <t>hard to keep hydrated</t>
  </si>
  <si>
    <t>didnt clip edges of holder as quite straight</t>
  </si>
  <si>
    <t>day 4</t>
  </si>
  <si>
    <t>for elis</t>
  </si>
  <si>
    <t>very small and friable</t>
  </si>
  <si>
    <t>G3</t>
  </si>
  <si>
    <t>first sample - for testing</t>
  </si>
  <si>
    <t>G4</t>
  </si>
  <si>
    <t xml:space="preserve">full thickness </t>
  </si>
  <si>
    <t>Helen pilot</t>
  </si>
  <si>
    <t>2C incision 14 to 17</t>
  </si>
  <si>
    <t>NA</t>
  </si>
  <si>
    <t>Helen pilot full thicknes</t>
  </si>
  <si>
    <t>Helen pilot - fast shutter didnt open in last scan full thickness</t>
  </si>
  <si>
    <t>Helen pilot - THIRD SCAN!! Elis left his phone in the hutch full thicknes</t>
  </si>
  <si>
    <t>radiation damage tests</t>
  </si>
  <si>
    <t>0.5s exposure 1</t>
  </si>
  <si>
    <t>0.5s exposure 2</t>
  </si>
  <si>
    <t>0.5s exposure 3</t>
  </si>
  <si>
    <t>1s exposure 1</t>
  </si>
  <si>
    <t>1s exposure 2</t>
  </si>
  <si>
    <t>1s exposure 3</t>
  </si>
  <si>
    <t>2s exposure 1</t>
  </si>
  <si>
    <t>2s exposure 2</t>
  </si>
  <si>
    <t>2s exposure 3</t>
  </si>
  <si>
    <t xml:space="preserve">5s exposure </t>
  </si>
  <si>
    <t>5s exposure 2</t>
  </si>
  <si>
    <t>failed</t>
  </si>
  <si>
    <t>no collagen reflection</t>
  </si>
  <si>
    <t>successful collagen 0.5s</t>
  </si>
  <si>
    <t>Failed</t>
  </si>
  <si>
    <t>holder size</t>
  </si>
  <si>
    <t>epiderms</t>
  </si>
  <si>
    <t>Scan Number</t>
  </si>
  <si>
    <t>Exposure</t>
  </si>
  <si>
    <t>X-size</t>
  </si>
  <si>
    <t>Y-size</t>
  </si>
  <si>
    <t>step size</t>
  </si>
  <si>
    <t>y</t>
  </si>
  <si>
    <t>um</t>
  </si>
  <si>
    <t>large</t>
  </si>
  <si>
    <t xml:space="preserve">looks ok </t>
  </si>
  <si>
    <t>B2 - Post Natal Day 2</t>
  </si>
  <si>
    <t>B3 - Post Natal Day 2</t>
  </si>
  <si>
    <t>DEAD</t>
  </si>
  <si>
    <t>right(?)</t>
  </si>
  <si>
    <t>looks ok but may be twisted</t>
  </si>
  <si>
    <t>Practice Sample</t>
  </si>
  <si>
    <t>B3 – Embryonic Day 16.5</t>
  </si>
  <si>
    <t>Potentially too small</t>
  </si>
  <si>
    <t>B2 - Post Natal Day 10</t>
  </si>
  <si>
    <t>B3 - Post Natal Day 10</t>
  </si>
  <si>
    <t>small</t>
  </si>
  <si>
    <t>looks good</t>
  </si>
  <si>
    <t>B2 – Embryonic Day 18.5</t>
  </si>
  <si>
    <t>B3 – Embryonic Day 18.5</t>
  </si>
  <si>
    <t>labelled as sample 36</t>
  </si>
  <si>
    <t>twisted - hair is on top not side</t>
  </si>
  <si>
    <t>48-59</t>
  </si>
  <si>
    <t>NO SAMPLES FOR THESE NUMBERS</t>
  </si>
  <si>
    <t>FRAGILE</t>
  </si>
  <si>
    <t>rhs</t>
  </si>
  <si>
    <t>mess</t>
  </si>
  <si>
    <t>May be outside the wound bed</t>
  </si>
  <si>
    <t>LHS</t>
  </si>
  <si>
    <t>mostly hair?</t>
  </si>
  <si>
    <t>looks ok</t>
  </si>
  <si>
    <t>hair on top</t>
  </si>
  <si>
    <t>Practice</t>
  </si>
  <si>
    <t>practice Sample</t>
  </si>
  <si>
    <t>692762 </t>
  </si>
  <si>
    <t>looks goos</t>
  </si>
  <si>
    <t>may be front on? (also not full relax)</t>
  </si>
  <si>
    <t>lots of hair - may be twisted</t>
  </si>
  <si>
    <t>may have a hole in sample centre (no sample name)</t>
  </si>
  <si>
    <t>too much UL to see</t>
  </si>
  <si>
    <t>B3 - Wound day 7</t>
  </si>
  <si>
    <t>practice</t>
  </si>
  <si>
    <t>epidermis side puckered?</t>
  </si>
  <si>
    <t>B1 - Wound day 14</t>
  </si>
  <si>
    <t>twisted?</t>
  </si>
  <si>
    <t>Unsure- wound not very visible</t>
  </si>
  <si>
    <t>cant visualise</t>
  </si>
  <si>
    <t>lookfs fine but bent</t>
  </si>
  <si>
    <t>B1- Post Natal day 4</t>
  </si>
  <si>
    <t>B3- Post Natal day 4</t>
  </si>
  <si>
    <t>LEAVE FOR LAURA</t>
  </si>
  <si>
    <t>hard to see</t>
  </si>
  <si>
    <t>Weird SAXS result?</t>
  </si>
  <si>
    <t>total mess</t>
  </si>
  <si>
    <t>messy - maybe twiste</t>
  </si>
  <si>
    <t>twist?</t>
  </si>
  <si>
    <t>B2 – Bleo 3R - 2w (3)</t>
  </si>
  <si>
    <t xml:space="preserve"> (this scan was labelled as Scan 131 mistakenly)</t>
  </si>
  <si>
    <t>repeat of 141 for radiation damage - labelled correctly</t>
  </si>
  <si>
    <t>no OAV?</t>
  </si>
  <si>
    <t>maybe a little twisted but looks ok</t>
  </si>
  <si>
    <t>coarse map to check artifact</t>
  </si>
  <si>
    <t>0.02x0.3</t>
  </si>
  <si>
    <t>sample misaligned</t>
  </si>
  <si>
    <t xml:space="preserve">slight twist </t>
  </si>
  <si>
    <t>looks ok but potentially folded/lost dermis</t>
  </si>
  <si>
    <t>B4 – Bleo 4 PBS MET</t>
  </si>
  <si>
    <t>B4 – Bleo 4 PBSMET</t>
  </si>
  <si>
    <t>B3 – Bleo 3R - 2w (apex 5S)</t>
  </si>
  <si>
    <t>B4 – Bleo 3 - 2w</t>
  </si>
  <si>
    <t>Practice?</t>
  </si>
  <si>
    <t>left(?)</t>
  </si>
  <si>
    <t>repeat of 158 for radiation damage</t>
  </si>
  <si>
    <t>twisted</t>
  </si>
  <si>
    <t>air_background</t>
  </si>
  <si>
    <t>air background 1</t>
  </si>
  <si>
    <t>AIR</t>
  </si>
  <si>
    <t>n/a</t>
  </si>
  <si>
    <t>ultralean_background</t>
  </si>
  <si>
    <t>empty ultralean brackground 1</t>
  </si>
  <si>
    <t>UL</t>
  </si>
  <si>
    <t>pbs_background</t>
  </si>
  <si>
    <t>ultralean and pbs background</t>
  </si>
  <si>
    <t>ULPBS</t>
  </si>
  <si>
    <t>Mia1</t>
  </si>
  <si>
    <t>Fet</t>
  </si>
  <si>
    <t>mia2</t>
  </si>
  <si>
    <t>mia3</t>
  </si>
  <si>
    <t>mia4</t>
  </si>
  <si>
    <t>mia5</t>
  </si>
  <si>
    <t>mia6</t>
  </si>
  <si>
    <t>LEFT</t>
  </si>
  <si>
    <t>Malcolm stopped scan?</t>
  </si>
  <si>
    <t>stopped due to Malcolm error</t>
  </si>
  <si>
    <t>b2 day7</t>
  </si>
  <si>
    <t>b2 day 14</t>
  </si>
  <si>
    <t>Left</t>
  </si>
  <si>
    <t xml:space="preserve">may be not stretched / WB not as visible? </t>
  </si>
  <si>
    <t>b2 day 21</t>
  </si>
  <si>
    <t xml:space="preserve">Mouse </t>
  </si>
  <si>
    <t>may be rubbish</t>
  </si>
  <si>
    <t>CALIB</t>
  </si>
  <si>
    <t>AgBe for SAXS Beam Centre and q calibration</t>
  </si>
  <si>
    <t>Glassy Carbon for Masks</t>
  </si>
  <si>
    <t>CeO2 for WAXS calibration</t>
  </si>
  <si>
    <t>2nd AgBe for true centre calibration</t>
  </si>
  <si>
    <t>Grating for SAXS calibration</t>
  </si>
  <si>
    <t>Longer Grating measurement - Better SAXS calibration</t>
  </si>
  <si>
    <t>BG</t>
  </si>
  <si>
    <t>air background (no sample, no holder)</t>
  </si>
  <si>
    <t>Vehicle control d10</t>
  </si>
  <si>
    <t xml:space="preserve">laser sample upper incision </t>
  </si>
  <si>
    <t>line scan at 0.5s exposure to test sample</t>
  </si>
  <si>
    <t>grid scan at 0.5s exposure to test sample</t>
  </si>
  <si>
    <t>aborted 32% in</t>
  </si>
  <si>
    <t>first sample</t>
  </si>
  <si>
    <t>KO7</t>
  </si>
  <si>
    <t>KO1</t>
  </si>
  <si>
    <t>KO2</t>
  </si>
  <si>
    <t>KO3</t>
  </si>
  <si>
    <t>stopped at 24%</t>
  </si>
  <si>
    <t>stopped at 39%</t>
  </si>
  <si>
    <t>stopped at 21%</t>
  </si>
  <si>
    <t>stopped at 27%</t>
  </si>
  <si>
    <t>810553 failed at 49%</t>
  </si>
  <si>
    <t>KO4</t>
  </si>
  <si>
    <t>second half of scan</t>
  </si>
  <si>
    <t>stopped half way to troubleshoot micromechanical tester</t>
  </si>
  <si>
    <t>KO6</t>
  </si>
  <si>
    <t>mounted sample but it curled up a lot - may be unusable</t>
  </si>
  <si>
    <t>KO5</t>
  </si>
  <si>
    <t>terminated as it was offset</t>
  </si>
  <si>
    <t>2 SR tests as first was UL trapped</t>
  </si>
  <si>
    <t>WT1</t>
  </si>
  <si>
    <t>WT3</t>
  </si>
  <si>
    <t>right hand sliver</t>
  </si>
  <si>
    <t>keloid</t>
  </si>
  <si>
    <t>didnt straighten this one out</t>
  </si>
  <si>
    <t>straighened</t>
  </si>
  <si>
    <t>straighened (same as 2 but offset)</t>
  </si>
  <si>
    <t>straighened (same as 2 but offset left)</t>
  </si>
  <si>
    <t>dehydrated</t>
  </si>
  <si>
    <t>straighened (same as 5 but offset)</t>
  </si>
  <si>
    <t>NO ULTRALENE</t>
  </si>
  <si>
    <t>relaxed (not clipped)</t>
  </si>
  <si>
    <t>top of sample (52.8, 5.5)</t>
  </si>
  <si>
    <t>bottom (52.8, 9.1)</t>
  </si>
  <si>
    <t>tare load 0.02N</t>
  </si>
  <si>
    <t>bottom (52.8, 9.2)</t>
  </si>
  <si>
    <t>loaded to 0.5N</t>
  </si>
  <si>
    <t>top of sample (52.8, 4.9)</t>
  </si>
  <si>
    <t>beam dropped 11% way in</t>
  </si>
  <si>
    <t>relaxed not clipped</t>
  </si>
  <si>
    <t>top(52.0, 5.2)</t>
  </si>
  <si>
    <t>bottom, 51.5, 9</t>
  </si>
  <si>
    <t>top 51.8, 5.2</t>
  </si>
  <si>
    <t>bottom bottom 51.6, 9</t>
  </si>
  <si>
    <t>I think this snapped at abou 0.45N</t>
  </si>
  <si>
    <t xml:space="preserve">top 52, 1.5 </t>
  </si>
  <si>
    <t>bottom 51.7 8.5</t>
  </si>
  <si>
    <t>top 52.2, 5.5</t>
  </si>
  <si>
    <t>bottom 52.8, 8.8</t>
  </si>
  <si>
    <t>top 52.3 5.5</t>
  </si>
  <si>
    <t>bottom 52.8, 8.9</t>
  </si>
  <si>
    <t>top 52.2, 1.2</t>
  </si>
  <si>
    <t>bottom 52.9, 9</t>
  </si>
  <si>
    <t>top 53.4 5.5</t>
  </si>
  <si>
    <t>bottom 54 8</t>
  </si>
  <si>
    <t>top 53.3 4.2</t>
  </si>
  <si>
    <t>bottom 53.8 8.2</t>
  </si>
  <si>
    <t>53.3 2.7</t>
  </si>
  <si>
    <t>54, 8.5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</si>
</sst>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h:mm\ AM/PM;@"/>
    <numFmt numFmtId="165" formatCode="0.0000"/>
    <numFmt numFmtId="166" formatCode="0.0"/>
    <numFmt numFmtId="167" formatCode="0.000"/>
  </numFmts>
  <fonts count="47" x14ac:knownFonts="1"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16"/>
      <color theme="1"/>
      <name val="Aptos Narrow"/>
      <scheme val="minor"/>
    </font>
    <font>
      <sz val="8"/>
      <name val="Aptos Narrow"/>
      <family val="2"/>
      <scheme val="minor"/>
    </font>
    <font>
      <sz val="15"/>
      <color theme="3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00000"/>
      <name val="Aptos Narrow"/>
    </font>
    <font>
      <b/>
      <u/>
      <sz val="12"/>
      <color theme="1"/>
      <name val="Calibri"/>
      <family val="2"/>
      <charset val="1"/>
    </font>
    <font>
      <b/>
      <u/>
      <sz val="12"/>
      <color rgb="FFFF0000"/>
      <name val="Calibri"/>
      <family val="2"/>
      <charset val="1"/>
    </font>
    <font>
      <b/>
      <u/>
      <sz val="12"/>
      <color rgb="FF000000"/>
      <name val="Calibri"/>
      <family val="2"/>
      <charset val="1"/>
    </font>
    <font>
      <b/>
      <u/>
      <sz val="11"/>
      <color rgb="FFFF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0000"/>
      <name val="Aptos Narrow"/>
    </font>
    <font>
      <sz val="12"/>
      <color theme="1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  <charset val="1"/>
    </font>
    <font>
      <sz val="11"/>
      <color rgb="FF000000"/>
      <name val="Aptos Narrow"/>
      <family val="2"/>
      <scheme val="minor"/>
    </font>
    <font>
      <sz val="12"/>
      <color rgb="FF242424"/>
      <name val="Aptos Narrow"/>
    </font>
    <font>
      <b/>
      <u/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</font>
    <font>
      <b/>
      <sz val="15"/>
      <color theme="1"/>
      <name val="Aptos Narrow"/>
      <family val="2"/>
      <scheme val="minor"/>
    </font>
    <font>
      <sz val="16"/>
      <color rgb="FF000000"/>
      <name val="Aptos Narrow"/>
      <family val="2"/>
    </font>
    <font>
      <sz val="12"/>
      <color rgb="FF000000"/>
      <name val="Aptos Narrow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sz val="11"/>
      <color rgb="FF242424"/>
      <name val="Aptos Narrow"/>
    </font>
    <font>
      <sz val="14"/>
      <color theme="1"/>
      <name val="Aptos Narrow"/>
      <family val="2"/>
      <scheme val="minor"/>
    </font>
    <font>
      <b/>
      <sz val="15"/>
      <color theme="1"/>
      <name val="Aptos Narrow"/>
      <scheme val="minor"/>
    </font>
    <font>
      <strike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rgb="FF000000"/>
      <name val="Aptos Narrow"/>
    </font>
    <font>
      <sz val="12"/>
      <color rgb="FF000000"/>
      <name val="Aptos Narrow"/>
    </font>
    <font>
      <b/>
      <sz val="12"/>
      <color rgb="FF000000"/>
      <name val="Aptos Narrow"/>
    </font>
    <font>
      <b/>
      <sz val="15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u/>
      <sz val="12"/>
      <color rgb="FF000000"/>
      <name val="Aptos Narrow"/>
      <family val="2"/>
    </font>
    <font>
      <b/>
      <sz val="12"/>
      <color rgb="FF000000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u/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</font>
    <font>
      <b/>
      <sz val="12"/>
      <color rgb="FFFF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FFE4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DFFF6"/>
        <bgColor indexed="64"/>
      </patternFill>
    </fill>
    <fill>
      <patternFill patternType="solid">
        <fgColor rgb="FFFFA6AB"/>
        <bgColor indexed="64"/>
      </patternFill>
    </fill>
    <fill>
      <patternFill patternType="solid">
        <fgColor rgb="FFDDBEFF"/>
        <bgColor indexed="64"/>
      </patternFill>
    </fill>
    <fill>
      <patternFill patternType="solid">
        <fgColor rgb="FFFDFBA4"/>
        <bgColor indexed="64"/>
      </patternFill>
    </fill>
    <fill>
      <patternFill patternType="solid">
        <fgColor rgb="FFA4FFAC"/>
        <bgColor indexed="64"/>
      </patternFill>
    </fill>
    <fill>
      <patternFill patternType="solid">
        <fgColor rgb="FFB4C9FF"/>
        <bgColor indexed="64"/>
      </patternFill>
    </fill>
    <fill>
      <patternFill patternType="solid">
        <fgColor rgb="FFFFDEF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BF2D0"/>
        <bgColor indexed="64"/>
      </patternFill>
    </fill>
    <fill>
      <patternFill patternType="solid">
        <fgColor rgb="FFF4AD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7ECE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5828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F1CE"/>
        <bgColor indexed="64"/>
      </patternFill>
    </fill>
    <fill>
      <patternFill patternType="solid">
        <fgColor rgb="FF8880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DF2CE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theme="4"/>
      </bottom>
      <diagonal/>
    </border>
    <border>
      <left/>
      <right style="medium">
        <color theme="4"/>
      </right>
      <top style="thick">
        <color theme="4"/>
      </top>
      <bottom style="thick">
        <color theme="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medium">
        <color rgb="FF000000"/>
      </left>
      <right/>
      <top style="medium">
        <color rgb="FF000000"/>
      </top>
      <bottom style="thick">
        <color theme="4"/>
      </bottom>
      <diagonal/>
    </border>
    <border>
      <left/>
      <right style="medium">
        <color rgb="FF000000"/>
      </right>
      <top style="medium">
        <color rgb="FF000000"/>
      </top>
      <bottom style="thick">
        <color theme="4"/>
      </bottom>
      <diagonal/>
    </border>
    <border>
      <left style="medium">
        <color rgb="FF000000"/>
      </left>
      <right/>
      <top/>
      <bottom style="thick">
        <color theme="4"/>
      </bottom>
      <diagonal/>
    </border>
    <border>
      <left/>
      <right style="medium">
        <color rgb="FF000000"/>
      </right>
      <top/>
      <bottom style="thick">
        <color theme="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</cellStyleXfs>
  <cellXfs count="440">
    <xf numFmtId="0" fontId="0" fillId="0" borderId="0" xfId="0"/>
    <xf numFmtId="0" fontId="0" fillId="0" borderId="0" xfId="0" applyAlignment="1">
      <alignment horizontal="center"/>
    </xf>
    <xf numFmtId="0" fontId="1" fillId="0" borderId="1" xfId="1" applyAlignment="1">
      <alignment horizontal="center" vertical="center"/>
    </xf>
    <xf numFmtId="0" fontId="1" fillId="0" borderId="3" xfId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4" xfId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1" fillId="0" borderId="0" xfId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6" fillId="0" borderId="0" xfId="1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8" fillId="0" borderId="0" xfId="1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2" xfId="0" applyBorder="1"/>
    <xf numFmtId="0" fontId="0" fillId="0" borderId="13" xfId="0" applyBorder="1"/>
    <xf numFmtId="0" fontId="8" fillId="0" borderId="16" xfId="1" applyFont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0" xfId="0" applyAlignment="1">
      <alignment vertical="center"/>
    </xf>
    <xf numFmtId="0" fontId="8" fillId="0" borderId="29" xfId="1" applyFont="1" applyBorder="1" applyAlignment="1">
      <alignment horizontal="center" vertical="center"/>
    </xf>
    <xf numFmtId="0" fontId="8" fillId="0" borderId="30" xfId="1" applyFont="1" applyBorder="1" applyAlignment="1">
      <alignment horizontal="center" vertical="center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1" fontId="12" fillId="0" borderId="0" xfId="0" applyNumberFormat="1" applyFont="1" applyAlignment="1">
      <alignment horizontal="center"/>
    </xf>
    <xf numFmtId="0" fontId="0" fillId="12" borderId="38" xfId="0" applyFill="1" applyBorder="1" applyAlignment="1">
      <alignment horizontal="center"/>
    </xf>
    <xf numFmtId="0" fontId="18" fillId="14" borderId="0" xfId="0" applyFont="1" applyFill="1" applyAlignment="1">
      <alignment horizontal="center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center"/>
    </xf>
    <xf numFmtId="1" fontId="0" fillId="14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0" fontId="18" fillId="15" borderId="0" xfId="0" applyFont="1" applyFill="1" applyAlignment="1">
      <alignment horizontal="center"/>
    </xf>
    <xf numFmtId="1" fontId="0" fillId="15" borderId="0" xfId="0" applyNumberFormat="1" applyFill="1" applyAlignment="1">
      <alignment horizontal="center"/>
    </xf>
    <xf numFmtId="0" fontId="0" fillId="15" borderId="0" xfId="0" applyFill="1" applyAlignment="1">
      <alignment horizontal="center"/>
    </xf>
    <xf numFmtId="1" fontId="19" fillId="14" borderId="0" xfId="0" applyNumberFormat="1" applyFont="1" applyFill="1" applyAlignment="1">
      <alignment wrapText="1"/>
    </xf>
    <xf numFmtId="0" fontId="19" fillId="0" borderId="0" xfId="0" applyFont="1" applyAlignment="1">
      <alignment wrapText="1"/>
    </xf>
    <xf numFmtId="0" fontId="20" fillId="14" borderId="0" xfId="0" applyFont="1" applyFill="1" applyAlignment="1">
      <alignment horizontal="center"/>
    </xf>
    <xf numFmtId="0" fontId="20" fillId="16" borderId="0" xfId="0" applyFont="1" applyFill="1" applyAlignment="1">
      <alignment horizontal="center" wrapText="1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1" fontId="21" fillId="14" borderId="0" xfId="0" applyNumberFormat="1" applyFont="1" applyFill="1" applyAlignment="1">
      <alignment horizontal="center"/>
    </xf>
    <xf numFmtId="0" fontId="21" fillId="12" borderId="38" xfId="0" applyFont="1" applyFill="1" applyBorder="1" applyAlignment="1">
      <alignment horizontal="center"/>
    </xf>
    <xf numFmtId="0" fontId="21" fillId="16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12" fillId="14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14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8" fillId="14" borderId="0" xfId="0" applyFont="1" applyFill="1" applyAlignment="1">
      <alignment horizontal="center" wrapText="1"/>
    </xf>
    <xf numFmtId="0" fontId="0" fillId="14" borderId="39" xfId="0" applyFill="1" applyBorder="1" applyAlignment="1">
      <alignment horizontal="center"/>
    </xf>
    <xf numFmtId="0" fontId="0" fillId="14" borderId="39" xfId="0" applyFill="1" applyBorder="1" applyAlignment="1">
      <alignment horizontal="center" wrapText="1"/>
    </xf>
    <xf numFmtId="0" fontId="0" fillId="17" borderId="39" xfId="0" applyFill="1" applyBorder="1" applyAlignment="1">
      <alignment horizontal="center"/>
    </xf>
    <xf numFmtId="0" fontId="0" fillId="17" borderId="39" xfId="0" applyFill="1" applyBorder="1" applyAlignment="1">
      <alignment horizontal="center" wrapText="1"/>
    </xf>
    <xf numFmtId="1" fontId="0" fillId="17" borderId="39" xfId="0" applyNumberFormat="1" applyFill="1" applyBorder="1" applyAlignment="1">
      <alignment horizontal="center"/>
    </xf>
    <xf numFmtId="164" fontId="0" fillId="17" borderId="40" xfId="0" applyNumberFormat="1" applyFill="1" applyBorder="1"/>
    <xf numFmtId="164" fontId="0" fillId="17" borderId="41" xfId="0" applyNumberFormat="1" applyFill="1" applyBorder="1"/>
    <xf numFmtId="164" fontId="0" fillId="17" borderId="39" xfId="0" applyNumberFormat="1" applyFill="1" applyBorder="1" applyAlignment="1">
      <alignment horizontal="center"/>
    </xf>
    <xf numFmtId="0" fontId="0" fillId="0" borderId="41" xfId="0" applyBorder="1"/>
    <xf numFmtId="0" fontId="0" fillId="0" borderId="39" xfId="0" applyBorder="1"/>
    <xf numFmtId="164" fontId="0" fillId="0" borderId="0" xfId="0" applyNumberFormat="1"/>
    <xf numFmtId="1" fontId="0" fillId="14" borderId="39" xfId="0" applyNumberFormat="1" applyFill="1" applyBorder="1" applyAlignment="1">
      <alignment horizontal="center"/>
    </xf>
    <xf numFmtId="164" fontId="0" fillId="14" borderId="40" xfId="0" applyNumberFormat="1" applyFill="1" applyBorder="1"/>
    <xf numFmtId="164" fontId="0" fillId="14" borderId="41" xfId="0" applyNumberFormat="1" applyFill="1" applyBorder="1"/>
    <xf numFmtId="164" fontId="0" fillId="14" borderId="39" xfId="0" applyNumberFormat="1" applyFill="1" applyBorder="1" applyAlignment="1">
      <alignment horizontal="center"/>
    </xf>
    <xf numFmtId="0" fontId="0" fillId="14" borderId="39" xfId="0" applyFill="1" applyBorder="1"/>
    <xf numFmtId="0" fontId="0" fillId="18" borderId="39" xfId="0" applyFill="1" applyBorder="1"/>
    <xf numFmtId="164" fontId="0" fillId="14" borderId="0" xfId="0" applyNumberFormat="1" applyFill="1" applyAlignment="1">
      <alignment horizontal="center"/>
    </xf>
    <xf numFmtId="20" fontId="0" fillId="14" borderId="0" xfId="0" applyNumberFormat="1" applyFill="1" applyAlignment="1">
      <alignment horizontal="center"/>
    </xf>
    <xf numFmtId="20" fontId="16" fillId="0" borderId="0" xfId="0" applyNumberFormat="1" applyFont="1" applyAlignment="1">
      <alignment horizontal="center" vertical="center" wrapText="1"/>
    </xf>
    <xf numFmtId="20" fontId="0" fillId="14" borderId="39" xfId="0" applyNumberFormat="1" applyFill="1" applyBorder="1" applyAlignment="1">
      <alignment horizontal="center"/>
    </xf>
    <xf numFmtId="20" fontId="0" fillId="17" borderId="39" xfId="0" applyNumberFormat="1" applyFill="1" applyBorder="1" applyAlignment="1">
      <alignment horizontal="center"/>
    </xf>
    <xf numFmtId="20" fontId="0" fillId="0" borderId="0" xfId="0" applyNumberFormat="1"/>
    <xf numFmtId="20" fontId="0" fillId="14" borderId="40" xfId="0" applyNumberFormat="1" applyFill="1" applyBorder="1" applyAlignment="1">
      <alignment horizontal="center"/>
    </xf>
    <xf numFmtId="20" fontId="0" fillId="17" borderId="40" xfId="0" applyNumberFormat="1" applyFill="1" applyBorder="1" applyAlignment="1">
      <alignment horizontal="center"/>
    </xf>
    <xf numFmtId="2" fontId="12" fillId="0" borderId="0" xfId="0" applyNumberFormat="1" applyFont="1" applyAlignment="1">
      <alignment horizontal="center" vertical="center" wrapText="1"/>
    </xf>
    <xf numFmtId="2" fontId="13" fillId="0" borderId="0" xfId="0" applyNumberFormat="1" applyFont="1" applyAlignment="1">
      <alignment horizontal="center" vertical="center" wrapText="1"/>
    </xf>
    <xf numFmtId="2" fontId="14" fillId="0" borderId="0" xfId="0" applyNumberFormat="1" applyFont="1" applyAlignment="1">
      <alignment horizontal="center" vertical="center" wrapText="1"/>
    </xf>
    <xf numFmtId="1" fontId="1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64" fontId="23" fillId="0" borderId="0" xfId="0" applyNumberFormat="1" applyFont="1" applyAlignment="1">
      <alignment horizontal="center" vertical="center" wrapText="1"/>
    </xf>
    <xf numFmtId="45" fontId="23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center"/>
    </xf>
    <xf numFmtId="45" fontId="24" fillId="0" borderId="0" xfId="0" applyNumberFormat="1" applyFont="1" applyAlignment="1">
      <alignment horizontal="center"/>
    </xf>
    <xf numFmtId="0" fontId="0" fillId="20" borderId="0" xfId="0" applyFill="1" applyAlignment="1">
      <alignment horizontal="center"/>
    </xf>
    <xf numFmtId="20" fontId="15" fillId="0" borderId="0" xfId="0" applyNumberFormat="1" applyFont="1" applyAlignment="1">
      <alignment horizontal="center" vertical="center" wrapText="1"/>
    </xf>
    <xf numFmtId="0" fontId="0" fillId="21" borderId="0" xfId="0" applyFill="1" applyAlignment="1">
      <alignment horizontal="center"/>
    </xf>
    <xf numFmtId="0" fontId="0" fillId="13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0" fontId="9" fillId="0" borderId="0" xfId="0" applyFont="1" applyAlignment="1">
      <alignment horizontal="left"/>
    </xf>
    <xf numFmtId="0" fontId="0" fillId="21" borderId="33" xfId="0" applyFill="1" applyBorder="1" applyAlignment="1">
      <alignment horizontal="center"/>
    </xf>
    <xf numFmtId="0" fontId="0" fillId="0" borderId="34" xfId="0" applyBorder="1" applyAlignment="1">
      <alignment horizontal="center"/>
    </xf>
    <xf numFmtId="2" fontId="0" fillId="0" borderId="34" xfId="0" applyNumberFormat="1" applyBorder="1" applyAlignment="1">
      <alignment horizontal="center"/>
    </xf>
    <xf numFmtId="20" fontId="0" fillId="0" borderId="34" xfId="0" applyNumberFormat="1" applyBorder="1" applyAlignment="1">
      <alignment horizontal="center"/>
    </xf>
    <xf numFmtId="0" fontId="24" fillId="0" borderId="34" xfId="0" applyFont="1" applyBorder="1" applyAlignment="1">
      <alignment horizontal="center"/>
    </xf>
    <xf numFmtId="45" fontId="24" fillId="0" borderId="34" xfId="0" applyNumberFormat="1" applyFont="1" applyBorder="1" applyAlignment="1">
      <alignment horizontal="center"/>
    </xf>
    <xf numFmtId="0" fontId="0" fillId="21" borderId="36" xfId="0" applyFill="1" applyBorder="1" applyAlignment="1">
      <alignment horizontal="center"/>
    </xf>
    <xf numFmtId="0" fontId="0" fillId="21" borderId="26" xfId="0" applyFill="1" applyBorder="1" applyAlignment="1">
      <alignment horizontal="center"/>
    </xf>
    <xf numFmtId="0" fontId="0" fillId="0" borderId="35" xfId="0" applyBorder="1" applyAlignment="1">
      <alignment horizontal="center"/>
    </xf>
    <xf numFmtId="1" fontId="0" fillId="0" borderId="35" xfId="0" applyNumberFormat="1" applyBorder="1" applyAlignment="1">
      <alignment horizontal="center"/>
    </xf>
    <xf numFmtId="2" fontId="0" fillId="0" borderId="35" xfId="0" applyNumberFormat="1" applyBorder="1" applyAlignment="1">
      <alignment horizontal="center"/>
    </xf>
    <xf numFmtId="20" fontId="0" fillId="0" borderId="35" xfId="0" applyNumberFormat="1" applyBorder="1" applyAlignment="1">
      <alignment horizontal="center"/>
    </xf>
    <xf numFmtId="0" fontId="24" fillId="0" borderId="35" xfId="0" applyFont="1" applyBorder="1" applyAlignment="1">
      <alignment horizontal="center"/>
    </xf>
    <xf numFmtId="45" fontId="24" fillId="0" borderId="35" xfId="0" applyNumberFormat="1" applyFont="1" applyBorder="1" applyAlignment="1">
      <alignment horizontal="center"/>
    </xf>
    <xf numFmtId="0" fontId="0" fillId="0" borderId="3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5" xfId="0" applyBorder="1" applyAlignment="1">
      <alignment horizontal="left"/>
    </xf>
    <xf numFmtId="0" fontId="0" fillId="14" borderId="34" xfId="0" applyFill="1" applyBorder="1" applyAlignment="1">
      <alignment horizontal="center"/>
    </xf>
    <xf numFmtId="0" fontId="0" fillId="14" borderId="35" xfId="0" applyFill="1" applyBorder="1" applyAlignment="1">
      <alignment horizont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3" fillId="20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25" borderId="0" xfId="0" applyFont="1" applyFill="1" applyAlignment="1">
      <alignment horizontal="center" vertical="center"/>
    </xf>
    <xf numFmtId="0" fontId="3" fillId="23" borderId="0" xfId="0" applyFont="1" applyFill="1" applyAlignment="1">
      <alignment horizontal="center" vertical="center"/>
    </xf>
    <xf numFmtId="0" fontId="3" fillId="24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1" fillId="0" borderId="44" xfId="1" applyBorder="1" applyAlignment="1">
      <alignment horizontal="center" vertical="center" wrapText="1"/>
    </xf>
    <xf numFmtId="0" fontId="1" fillId="0" borderId="24" xfId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7" fillId="0" borderId="46" xfId="0" applyFont="1" applyBorder="1" applyAlignment="1">
      <alignment horizontal="center" vertical="center" wrapText="1"/>
    </xf>
    <xf numFmtId="0" fontId="27" fillId="0" borderId="47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49" xfId="0" applyFont="1" applyBorder="1" applyAlignment="1">
      <alignment horizontal="center" vertical="center"/>
    </xf>
    <xf numFmtId="0" fontId="28" fillId="0" borderId="49" xfId="0" applyFont="1" applyBorder="1" applyAlignment="1">
      <alignment horizontal="center" vertical="center" wrapText="1"/>
    </xf>
    <xf numFmtId="0" fontId="27" fillId="0" borderId="47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38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1" fillId="0" borderId="54" xfId="1" applyBorder="1" applyAlignment="1">
      <alignment horizontal="center" vertical="center"/>
    </xf>
    <xf numFmtId="0" fontId="1" fillId="0" borderId="55" xfId="1" applyBorder="1" applyAlignment="1">
      <alignment horizontal="center" vertical="center" wrapText="1"/>
    </xf>
    <xf numFmtId="0" fontId="1" fillId="0" borderId="1" xfId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1" fillId="0" borderId="33" xfId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14" fontId="0" fillId="0" borderId="36" xfId="0" applyNumberFormat="1" applyBorder="1" applyAlignment="1">
      <alignment horizontal="center" vertical="center"/>
    </xf>
    <xf numFmtId="0" fontId="1" fillId="0" borderId="34" xfId="1" applyBorder="1" applyAlignment="1">
      <alignment horizontal="center" vertical="center" wrapText="1"/>
    </xf>
    <xf numFmtId="0" fontId="1" fillId="0" borderId="33" xfId="1" applyBorder="1" applyAlignment="1">
      <alignment horizontal="center" vertical="center"/>
    </xf>
    <xf numFmtId="0" fontId="31" fillId="0" borderId="36" xfId="0" applyFont="1" applyBorder="1" applyAlignment="1">
      <alignment horizontal="center"/>
    </xf>
    <xf numFmtId="0" fontId="26" fillId="0" borderId="3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8" fillId="0" borderId="13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/>
    <xf numFmtId="0" fontId="0" fillId="0" borderId="20" xfId="0" applyBorder="1" applyAlignment="1">
      <alignment horizontal="left"/>
    </xf>
    <xf numFmtId="0" fontId="0" fillId="0" borderId="20" xfId="0" applyBorder="1" applyAlignment="1">
      <alignment horizontal="left" vertical="center"/>
    </xf>
    <xf numFmtId="0" fontId="9" fillId="0" borderId="13" xfId="0" applyFont="1" applyBorder="1" applyAlignment="1">
      <alignment horizontal="center"/>
    </xf>
    <xf numFmtId="0" fontId="0" fillId="0" borderId="57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34" fillId="0" borderId="12" xfId="0" applyFont="1" applyBorder="1" applyAlignment="1">
      <alignment horizontal="center"/>
    </xf>
    <xf numFmtId="0" fontId="34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35" fillId="0" borderId="13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6" fillId="0" borderId="24" xfId="0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/>
    </xf>
    <xf numFmtId="14" fontId="0" fillId="0" borderId="57" xfId="0" applyNumberFormat="1" applyBorder="1" applyAlignment="1">
      <alignment horizontal="center" vertical="center"/>
    </xf>
    <xf numFmtId="20" fontId="0" fillId="0" borderId="34" xfId="0" applyNumberFormat="1" applyBorder="1" applyAlignment="1">
      <alignment horizontal="center" vertical="center"/>
    </xf>
    <xf numFmtId="14" fontId="0" fillId="0" borderId="56" xfId="0" applyNumberFormat="1" applyBorder="1" applyAlignment="1">
      <alignment horizontal="center" vertical="center"/>
    </xf>
    <xf numFmtId="0" fontId="0" fillId="0" borderId="35" xfId="0" applyBorder="1"/>
    <xf numFmtId="0" fontId="26" fillId="0" borderId="0" xfId="0" applyFont="1" applyAlignment="1">
      <alignment horizontal="center" vertical="center" wrapText="1"/>
    </xf>
    <xf numFmtId="20" fontId="0" fillId="0" borderId="35" xfId="0" applyNumberFormat="1" applyBorder="1" applyAlignment="1">
      <alignment horizontal="center" vertical="center"/>
    </xf>
    <xf numFmtId="0" fontId="28" fillId="14" borderId="0" xfId="0" applyFont="1" applyFill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0" fontId="28" fillId="0" borderId="0" xfId="0" applyFont="1"/>
    <xf numFmtId="14" fontId="28" fillId="0" borderId="0" xfId="0" applyNumberFormat="1" applyFont="1"/>
    <xf numFmtId="0" fontId="37" fillId="0" borderId="0" xfId="0" applyFont="1"/>
    <xf numFmtId="14" fontId="28" fillId="0" borderId="0" xfId="0" applyNumberFormat="1" applyFont="1" applyAlignment="1">
      <alignment horizontal="left"/>
    </xf>
    <xf numFmtId="0" fontId="28" fillId="0" borderId="38" xfId="0" applyFont="1" applyBorder="1"/>
    <xf numFmtId="14" fontId="28" fillId="0" borderId="38" xfId="0" applyNumberFormat="1" applyFont="1" applyBorder="1" applyAlignment="1">
      <alignment horizontal="left"/>
    </xf>
    <xf numFmtId="1" fontId="14" fillId="0" borderId="0" xfId="0" applyNumberFormat="1" applyFont="1" applyAlignment="1">
      <alignment horizontal="center" vertical="center" wrapText="1"/>
    </xf>
    <xf numFmtId="20" fontId="23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center" wrapText="1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9" fillId="0" borderId="0" xfId="0" applyFont="1" applyAlignment="1">
      <alignment horizontal="center"/>
    </xf>
    <xf numFmtId="20" fontId="0" fillId="0" borderId="0" xfId="0" applyNumberFormat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14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0" borderId="3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5" xfId="0" applyBorder="1" applyAlignment="1">
      <alignment horizontal="left" vertical="center"/>
    </xf>
    <xf numFmtId="1" fontId="0" fillId="0" borderId="34" xfId="0" applyNumberForma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14" fontId="28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14" fontId="37" fillId="0" borderId="0" xfId="0" applyNumberFormat="1" applyFont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3" fillId="14" borderId="12" xfId="0" applyFont="1" applyFill="1" applyBorder="1" applyAlignment="1">
      <alignment horizontal="center" vertical="center"/>
    </xf>
    <xf numFmtId="0" fontId="37" fillId="14" borderId="0" xfId="0" applyFont="1" applyFill="1" applyAlignment="1">
      <alignment horizontal="center" vertical="center"/>
    </xf>
    <xf numFmtId="9" fontId="0" fillId="0" borderId="35" xfId="0" applyNumberFormat="1" applyBorder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34" xfId="0" applyFont="1" applyBorder="1" applyAlignment="1">
      <alignment horizontal="center" vertical="center"/>
    </xf>
    <xf numFmtId="0" fontId="40" fillId="0" borderId="35" xfId="0" applyFont="1" applyBorder="1" applyAlignment="1">
      <alignment horizontal="center" vertical="center"/>
    </xf>
    <xf numFmtId="0" fontId="1" fillId="0" borderId="45" xfId="1" applyBorder="1" applyAlignment="1">
      <alignment horizontal="center" vertical="center" wrapText="1"/>
    </xf>
    <xf numFmtId="0" fontId="0" fillId="20" borderId="33" xfId="0" applyFill="1" applyBorder="1" applyAlignment="1">
      <alignment horizontal="center" vertical="center"/>
    </xf>
    <xf numFmtId="0" fontId="0" fillId="20" borderId="36" xfId="0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8" fillId="20" borderId="0" xfId="0" applyFont="1" applyFill="1" applyAlignment="1">
      <alignment horizontal="center" vertical="center"/>
    </xf>
    <xf numFmtId="0" fontId="28" fillId="17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20" fillId="14" borderId="0" xfId="0" applyFont="1" applyFill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20" fontId="0" fillId="0" borderId="16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20" fontId="0" fillId="0" borderId="14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40" fillId="0" borderId="16" xfId="0" applyFon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40" fillId="0" borderId="14" xfId="0" applyFont="1" applyBorder="1" applyAlignment="1">
      <alignment horizontal="center" vertical="center"/>
    </xf>
    <xf numFmtId="9" fontId="42" fillId="0" borderId="0" xfId="0" applyNumberFormat="1" applyFont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28" fillId="27" borderId="0" xfId="0" applyFont="1" applyFill="1" applyAlignment="1">
      <alignment horizontal="center" vertical="center"/>
    </xf>
    <xf numFmtId="0" fontId="37" fillId="28" borderId="0" xfId="0" applyFont="1" applyFill="1" applyAlignment="1">
      <alignment horizontal="center" vertical="center"/>
    </xf>
    <xf numFmtId="0" fontId="20" fillId="28" borderId="0" xfId="0" applyFont="1" applyFill="1" applyAlignment="1">
      <alignment horizontal="center" vertical="center"/>
    </xf>
    <xf numFmtId="0" fontId="28" fillId="28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8" fillId="4" borderId="0" xfId="0" applyFont="1" applyFill="1" applyAlignment="1">
      <alignment horizontal="center" vertical="center"/>
    </xf>
    <xf numFmtId="0" fontId="28" fillId="29" borderId="0" xfId="0" applyFont="1" applyFill="1" applyAlignment="1">
      <alignment horizontal="center" vertical="center"/>
    </xf>
    <xf numFmtId="9" fontId="0" fillId="0" borderId="16" xfId="0" applyNumberFormat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32" borderId="0" xfId="0" applyFont="1" applyFill="1" applyAlignment="1">
      <alignment horizontal="center" vertical="center"/>
    </xf>
    <xf numFmtId="0" fontId="9" fillId="30" borderId="0" xfId="0" applyFont="1" applyFill="1" applyAlignment="1">
      <alignment horizontal="center" vertical="center"/>
    </xf>
    <xf numFmtId="0" fontId="9" fillId="31" borderId="0" xfId="0" applyFont="1" applyFill="1" applyAlignment="1">
      <alignment horizontal="center" vertical="center"/>
    </xf>
    <xf numFmtId="0" fontId="9" fillId="20" borderId="0" xfId="0" applyFont="1" applyFill="1" applyAlignment="1">
      <alignment horizontal="center" vertical="center"/>
    </xf>
    <xf numFmtId="0" fontId="9" fillId="17" borderId="0" xfId="0" applyFont="1" applyFill="1" applyAlignment="1">
      <alignment horizontal="center" vertical="center"/>
    </xf>
    <xf numFmtId="0" fontId="9" fillId="27" borderId="0" xfId="0" applyFont="1" applyFill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30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24" fillId="32" borderId="0" xfId="0" applyFont="1" applyFill="1" applyAlignment="1">
      <alignment horizontal="center" vertical="center"/>
    </xf>
    <xf numFmtId="0" fontId="24" fillId="30" borderId="0" xfId="0" applyFont="1" applyFill="1" applyAlignment="1">
      <alignment horizontal="center" vertical="center"/>
    </xf>
    <xf numFmtId="0" fontId="24" fillId="31" borderId="0" xfId="0" applyFont="1" applyFill="1" applyAlignment="1">
      <alignment horizontal="center" vertical="center"/>
    </xf>
    <xf numFmtId="0" fontId="24" fillId="20" borderId="0" xfId="0" applyFont="1" applyFill="1" applyAlignment="1">
      <alignment horizontal="center" vertical="center"/>
    </xf>
    <xf numFmtId="0" fontId="24" fillId="17" borderId="0" xfId="0" applyFont="1" applyFill="1" applyAlignment="1">
      <alignment horizontal="center" vertical="center"/>
    </xf>
    <xf numFmtId="0" fontId="24" fillId="27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45" fillId="27" borderId="0" xfId="0" applyFont="1" applyFill="1" applyAlignment="1">
      <alignment horizontal="center" vertical="center"/>
    </xf>
    <xf numFmtId="9" fontId="1" fillId="0" borderId="34" xfId="1" applyNumberFormat="1" applyBorder="1" applyAlignment="1">
      <alignment horizontal="center" vertical="center" wrapText="1"/>
    </xf>
    <xf numFmtId="20" fontId="0" fillId="0" borderId="36" xfId="0" applyNumberForma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 wrapText="1"/>
    </xf>
    <xf numFmtId="0" fontId="0" fillId="0" borderId="36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62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26" fillId="0" borderId="36" xfId="0" applyFont="1" applyBorder="1" applyAlignment="1">
      <alignment horizontal="center" vertical="center"/>
    </xf>
    <xf numFmtId="0" fontId="31" fillId="0" borderId="0" xfId="0" applyFont="1" applyAlignment="1">
      <alignment horizontal="left"/>
    </xf>
    <xf numFmtId="0" fontId="22" fillId="0" borderId="35" xfId="0" applyFont="1" applyBorder="1"/>
    <xf numFmtId="0" fontId="28" fillId="25" borderId="0" xfId="0" applyFont="1" applyFill="1" applyAlignment="1">
      <alignment horizontal="center" vertical="center"/>
    </xf>
    <xf numFmtId="0" fontId="40" fillId="0" borderId="38" xfId="0" applyFont="1" applyBorder="1" applyAlignment="1">
      <alignment horizontal="center" vertical="center"/>
    </xf>
    <xf numFmtId="0" fontId="40" fillId="0" borderId="20" xfId="0" applyFont="1" applyBorder="1" applyAlignment="1">
      <alignment horizontal="center" vertical="center"/>
    </xf>
    <xf numFmtId="0" fontId="40" fillId="0" borderId="33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27" borderId="0" xfId="0" applyFont="1" applyFill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9" borderId="1" xfId="2" applyFont="1" applyFill="1" applyBorder="1" applyAlignment="1">
      <alignment horizontal="center"/>
    </xf>
    <xf numFmtId="0" fontId="1" fillId="0" borderId="18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4" fillId="10" borderId="1" xfId="2" applyFont="1" applyFill="1" applyBorder="1" applyAlignment="1">
      <alignment horizontal="center"/>
    </xf>
    <xf numFmtId="0" fontId="4" fillId="5" borderId="1" xfId="2" applyFont="1" applyFill="1" applyBorder="1" applyAlignment="1">
      <alignment horizontal="center"/>
    </xf>
    <xf numFmtId="0" fontId="4" fillId="7" borderId="52" xfId="2" applyFont="1" applyFill="1" applyBorder="1" applyAlignment="1">
      <alignment horizontal="center"/>
    </xf>
    <xf numFmtId="0" fontId="4" fillId="7" borderId="53" xfId="2" applyFont="1" applyFill="1" applyBorder="1" applyAlignment="1">
      <alignment horizontal="center"/>
    </xf>
    <xf numFmtId="0" fontId="33" fillId="0" borderId="15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3" fillId="7" borderId="16" xfId="0" applyFont="1" applyFill="1" applyBorder="1" applyAlignment="1">
      <alignment horizontal="center" vertical="center"/>
    </xf>
    <xf numFmtId="0" fontId="33" fillId="7" borderId="14" xfId="0" applyFont="1" applyFill="1" applyBorder="1" applyAlignment="1">
      <alignment horizontal="center" vertical="center"/>
    </xf>
    <xf numFmtId="0" fontId="33" fillId="10" borderId="18" xfId="0" applyFont="1" applyFill="1" applyBorder="1" applyAlignment="1">
      <alignment horizontal="center" vertical="center"/>
    </xf>
    <xf numFmtId="0" fontId="33" fillId="10" borderId="19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4" fillId="19" borderId="0" xfId="0" applyFont="1" applyFill="1" applyAlignment="1">
      <alignment horizontal="center" vertical="center"/>
    </xf>
    <xf numFmtId="0" fontId="4" fillId="12" borderId="1" xfId="2" applyFont="1" applyFill="1" applyBorder="1" applyAlignment="1">
      <alignment horizontal="center"/>
    </xf>
    <xf numFmtId="0" fontId="4" fillId="6" borderId="1" xfId="2" applyFont="1" applyFill="1" applyBorder="1" applyAlignment="1">
      <alignment horizontal="center"/>
    </xf>
    <xf numFmtId="0" fontId="4" fillId="11" borderId="1" xfId="2" applyFont="1" applyFill="1" applyBorder="1" applyAlignment="1">
      <alignment horizontal="center"/>
    </xf>
    <xf numFmtId="0" fontId="4" fillId="7" borderId="1" xfId="2" applyFont="1" applyFill="1" applyBorder="1" applyAlignment="1">
      <alignment horizontal="center"/>
    </xf>
    <xf numFmtId="0" fontId="4" fillId="4" borderId="1" xfId="2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8" borderId="1" xfId="2" applyFont="1" applyFill="1" applyBorder="1" applyAlignment="1">
      <alignment horizontal="center"/>
    </xf>
    <xf numFmtId="0" fontId="10" fillId="0" borderId="15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8" fillId="0" borderId="15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11" fillId="0" borderId="17" xfId="0" applyFont="1" applyBorder="1" applyAlignment="1">
      <alignment horizontal="left" vertical="center"/>
    </xf>
    <xf numFmtId="0" fontId="11" fillId="0" borderId="19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4" fillId="9" borderId="15" xfId="2" applyFont="1" applyFill="1" applyBorder="1" applyAlignment="1">
      <alignment horizontal="center"/>
    </xf>
    <xf numFmtId="0" fontId="4" fillId="9" borderId="18" xfId="2" applyFont="1" applyFill="1" applyBorder="1" applyAlignment="1">
      <alignment horizontal="center"/>
    </xf>
    <xf numFmtId="0" fontId="7" fillId="0" borderId="15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8" fillId="0" borderId="18" xfId="1" applyFont="1" applyBorder="1" applyAlignment="1">
      <alignment horizontal="center" vertical="center"/>
    </xf>
    <xf numFmtId="0" fontId="10" fillId="0" borderId="16" xfId="0" applyFont="1" applyBorder="1" applyAlignment="1">
      <alignment vertical="center"/>
    </xf>
    <xf numFmtId="0" fontId="7" fillId="0" borderId="15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9" fillId="0" borderId="0" xfId="0" applyFont="1" applyAlignment="1">
      <alignment horizontal="center"/>
    </xf>
    <xf numFmtId="0" fontId="9" fillId="0" borderId="13" xfId="0" applyFont="1" applyBorder="1" applyAlignment="1">
      <alignment horizontal="center"/>
    </xf>
    <xf numFmtId="0" fontId="4" fillId="10" borderId="15" xfId="2" applyFont="1" applyFill="1" applyBorder="1" applyAlignment="1">
      <alignment horizontal="center"/>
    </xf>
    <xf numFmtId="0" fontId="4" fillId="10" borderId="18" xfId="2" applyFont="1" applyFill="1" applyBorder="1" applyAlignment="1">
      <alignment horizontal="center"/>
    </xf>
    <xf numFmtId="0" fontId="4" fillId="6" borderId="15" xfId="2" applyFont="1" applyFill="1" applyBorder="1" applyAlignment="1">
      <alignment horizontal="center"/>
    </xf>
    <xf numFmtId="0" fontId="4" fillId="6" borderId="18" xfId="2" applyFont="1" applyFill="1" applyBorder="1" applyAlignment="1">
      <alignment horizontal="center"/>
    </xf>
    <xf numFmtId="0" fontId="4" fillId="12" borderId="15" xfId="2" applyFont="1" applyFill="1" applyBorder="1" applyAlignment="1">
      <alignment horizontal="center"/>
    </xf>
    <xf numFmtId="0" fontId="4" fillId="12" borderId="18" xfId="2" applyFont="1" applyFill="1" applyBorder="1" applyAlignment="1">
      <alignment horizontal="center"/>
    </xf>
    <xf numFmtId="0" fontId="8" fillId="0" borderId="0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1" fillId="0" borderId="16" xfId="0" applyFont="1" applyBorder="1" applyAlignment="1">
      <alignment vertical="center"/>
    </xf>
    <xf numFmtId="0" fontId="4" fillId="8" borderId="15" xfId="2" applyFont="1" applyFill="1" applyBorder="1" applyAlignment="1">
      <alignment horizontal="center"/>
    </xf>
    <xf numFmtId="0" fontId="4" fillId="8" borderId="18" xfId="2" applyFont="1" applyFill="1" applyBorder="1" applyAlignment="1">
      <alignment horizontal="center"/>
    </xf>
    <xf numFmtId="0" fontId="4" fillId="7" borderId="15" xfId="2" applyFont="1" applyFill="1" applyBorder="1" applyAlignment="1">
      <alignment horizontal="center"/>
    </xf>
    <xf numFmtId="0" fontId="4" fillId="7" borderId="18" xfId="2" applyFont="1" applyFill="1" applyBorder="1" applyAlignment="1">
      <alignment horizontal="center"/>
    </xf>
    <xf numFmtId="0" fontId="4" fillId="11" borderId="15" xfId="2" applyFont="1" applyFill="1" applyBorder="1" applyAlignment="1">
      <alignment horizontal="center"/>
    </xf>
    <xf numFmtId="0" fontId="4" fillId="11" borderId="18" xfId="2" applyFont="1" applyFill="1" applyBorder="1" applyAlignment="1">
      <alignment horizontal="center"/>
    </xf>
    <xf numFmtId="0" fontId="4" fillId="4" borderId="15" xfId="2" applyFont="1" applyFill="1" applyBorder="1" applyAlignment="1">
      <alignment horizontal="center"/>
    </xf>
    <xf numFmtId="0" fontId="4" fillId="4" borderId="18" xfId="2" applyFont="1" applyFill="1" applyBorder="1" applyAlignment="1">
      <alignment horizontal="center"/>
    </xf>
    <xf numFmtId="0" fontId="4" fillId="3" borderId="15" xfId="2" applyFont="1" applyFill="1" applyBorder="1" applyAlignment="1">
      <alignment horizontal="center"/>
    </xf>
    <xf numFmtId="0" fontId="4" fillId="3" borderId="18" xfId="2" applyFont="1" applyFill="1" applyBorder="1" applyAlignment="1">
      <alignment horizontal="center"/>
    </xf>
  </cellXfs>
  <cellStyles count="3">
    <cellStyle name="Accent5" xfId="2" builtinId="45"/>
    <cellStyle name="Heading 1" xfId="1" builtinId="16"/>
    <cellStyle name="Normal" xfId="0" builtinId="0"/>
  </cellStyles>
  <dxfs count="44"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ont>
        <color rgb="FF332BC2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ont>
        <color theme="1"/>
      </font>
      <fill>
        <patternFill>
          <bgColor rgb="FF7DFFF6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rgb="FFFFA6AB"/>
        </patternFill>
      </fill>
    </dxf>
    <dxf>
      <font>
        <color theme="1"/>
      </font>
      <fill>
        <patternFill>
          <bgColor rgb="FFDDBEFF"/>
        </patternFill>
      </fill>
    </dxf>
    <dxf>
      <font>
        <color theme="1"/>
      </font>
      <fill>
        <patternFill>
          <bgColor rgb="FFFDFBA4"/>
        </patternFill>
      </fill>
    </dxf>
    <dxf>
      <font>
        <color theme="1"/>
      </font>
      <fill>
        <patternFill>
          <bgColor rgb="FFA4FFAC"/>
        </patternFill>
      </fill>
    </dxf>
    <dxf>
      <font>
        <color theme="1"/>
      </font>
      <fill>
        <patternFill>
          <bgColor rgb="FFB4C9FF"/>
        </patternFill>
      </fill>
    </dxf>
    <dxf>
      <font>
        <color theme="1"/>
      </font>
      <fill>
        <patternFill>
          <bgColor rgb="FFFFDEF4"/>
        </patternFill>
      </fill>
    </dxf>
    <dxf>
      <font>
        <color theme="0"/>
      </font>
      <fill>
        <patternFill patternType="solid">
          <bgColor theme="2" tint="-0.749992370372631"/>
        </patternFill>
      </fill>
    </dxf>
    <dxf>
      <font>
        <color theme="1"/>
      </font>
      <fill>
        <patternFill patternType="solid">
          <bgColor rgb="FFF4ADFF"/>
        </patternFill>
      </fill>
    </dxf>
  </dxfs>
  <tableStyles count="0" defaultTableStyle="TableStyleMedium2" defaultPivotStyle="PivotStyleLight16"/>
  <colors>
    <mruColors>
      <color rgb="FFF58282"/>
      <color rgb="FF8880FF"/>
      <color rgb="FFF2F1CE"/>
      <color rgb="FFEDF2CE"/>
      <color rgb="FFF2CECE"/>
      <color rgb="FFF7C736"/>
      <color rgb="FFB4C9FF"/>
      <color rgb="FFDDBEFF"/>
      <color rgb="FFF7ECE6"/>
      <color rgb="FFF4A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3F26-608E-104D-B3E3-33ABA997D90D}">
  <dimension ref="A1:S825"/>
  <sheetViews>
    <sheetView workbookViewId="0">
      <pane xSplit="1" ySplit="1" topLeftCell="B494" activePane="bottomRight" state="frozen"/>
      <selection pane="topRight"/>
      <selection pane="bottomLeft"/>
      <selection pane="bottomRight" activeCell="A149" sqref="A149"/>
    </sheetView>
  </sheetViews>
  <sheetFormatPr baseColWidth="10" defaultColWidth="10.83203125" defaultRowHeight="15.75" customHeight="1" x14ac:dyDescent="0.2"/>
  <cols>
    <col min="1" max="1" width="18" style="7" customWidth="1"/>
    <col min="2" max="2" width="54.5" style="7" customWidth="1"/>
    <col min="3" max="3" width="14.5" style="7" customWidth="1"/>
    <col min="4" max="7" width="14" style="7" customWidth="1"/>
    <col min="8" max="8" width="10.83203125" style="7" customWidth="1"/>
    <col min="9" max="9" width="13.33203125" style="7" customWidth="1"/>
    <col min="10" max="17" width="10.83203125" style="7" customWidth="1"/>
    <col min="18" max="18" width="14.6640625" style="7" customWidth="1"/>
    <col min="19" max="19" width="18.5" style="7" customWidth="1"/>
    <col min="20" max="16384" width="10.83203125" style="7"/>
  </cols>
  <sheetData>
    <row r="1" spans="1:19" s="11" customFormat="1" ht="43" customHeight="1" x14ac:dyDescent="0.2">
      <c r="A1" s="11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1" t="s">
        <v>7</v>
      </c>
      <c r="I1" s="19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</row>
    <row r="2" spans="1:19" s="13" customFormat="1" ht="16" x14ac:dyDescent="0.2">
      <c r="A2" s="10" t="s">
        <v>19</v>
      </c>
      <c r="B2" s="143" t="s">
        <v>20</v>
      </c>
      <c r="C2" s="13">
        <v>60</v>
      </c>
      <c r="D2" s="13" t="s">
        <v>21</v>
      </c>
      <c r="E2" s="13" t="s">
        <v>22</v>
      </c>
      <c r="G2" s="13" t="s">
        <v>22</v>
      </c>
      <c r="H2" s="13" t="s">
        <v>23</v>
      </c>
      <c r="I2" s="7" t="s">
        <v>24</v>
      </c>
      <c r="J2" s="13" t="s">
        <v>25</v>
      </c>
      <c r="K2" s="13" t="s">
        <v>26</v>
      </c>
      <c r="L2" s="13" t="s">
        <v>27</v>
      </c>
      <c r="M2" s="13" t="s">
        <v>28</v>
      </c>
      <c r="N2" s="13" t="s">
        <v>28</v>
      </c>
    </row>
    <row r="3" spans="1:19" ht="16" x14ac:dyDescent="0.2">
      <c r="A3" s="14" t="s">
        <v>29</v>
      </c>
      <c r="B3" s="144" t="s">
        <v>30</v>
      </c>
      <c r="C3" s="7">
        <v>60</v>
      </c>
      <c r="D3" s="7" t="s">
        <v>21</v>
      </c>
      <c r="E3" s="7" t="s">
        <v>22</v>
      </c>
      <c r="G3" s="7" t="s">
        <v>22</v>
      </c>
      <c r="H3" s="7" t="s">
        <v>23</v>
      </c>
      <c r="I3" s="7" t="s">
        <v>31</v>
      </c>
      <c r="J3" s="7" t="s">
        <v>25</v>
      </c>
      <c r="K3" s="7" t="s">
        <v>32</v>
      </c>
      <c r="L3" s="7" t="s">
        <v>27</v>
      </c>
      <c r="O3" s="7" t="s">
        <v>33</v>
      </c>
    </row>
    <row r="4" spans="1:19" ht="16" x14ac:dyDescent="0.2">
      <c r="A4" s="14" t="s">
        <v>34</v>
      </c>
      <c r="B4" s="144" t="s">
        <v>30</v>
      </c>
      <c r="C4" s="7">
        <v>60</v>
      </c>
      <c r="D4" s="7" t="s">
        <v>21</v>
      </c>
      <c r="E4" s="7" t="s">
        <v>22</v>
      </c>
      <c r="G4" s="7" t="s">
        <v>22</v>
      </c>
      <c r="H4" s="7" t="s">
        <v>23</v>
      </c>
      <c r="I4" s="7" t="s">
        <v>35</v>
      </c>
      <c r="J4" s="7" t="s">
        <v>25</v>
      </c>
      <c r="L4" s="7" t="s">
        <v>27</v>
      </c>
    </row>
    <row r="5" spans="1:19" ht="16" x14ac:dyDescent="0.2">
      <c r="A5" s="14" t="s">
        <v>36</v>
      </c>
      <c r="B5" s="144" t="s">
        <v>30</v>
      </c>
      <c r="C5" s="7">
        <v>60</v>
      </c>
      <c r="D5" s="7" t="s">
        <v>21</v>
      </c>
      <c r="E5" s="7" t="s">
        <v>22</v>
      </c>
      <c r="G5" s="7" t="s">
        <v>22</v>
      </c>
      <c r="H5" s="7" t="s">
        <v>23</v>
      </c>
      <c r="I5" s="7" t="s">
        <v>35</v>
      </c>
      <c r="J5" s="7" t="s">
        <v>25</v>
      </c>
      <c r="L5" s="7" t="s">
        <v>27</v>
      </c>
      <c r="M5" s="7" t="s">
        <v>28</v>
      </c>
      <c r="O5" s="7" t="s">
        <v>37</v>
      </c>
    </row>
    <row r="6" spans="1:19" ht="16" x14ac:dyDescent="0.2">
      <c r="A6" s="14" t="s">
        <v>38</v>
      </c>
      <c r="B6" s="144" t="s">
        <v>30</v>
      </c>
      <c r="C6" s="7">
        <v>60</v>
      </c>
      <c r="D6" s="7" t="s">
        <v>21</v>
      </c>
      <c r="E6" s="7" t="s">
        <v>22</v>
      </c>
      <c r="G6" s="7" t="s">
        <v>22</v>
      </c>
      <c r="H6" s="7" t="s">
        <v>23</v>
      </c>
      <c r="I6" s="7" t="s">
        <v>31</v>
      </c>
      <c r="J6" s="7" t="s">
        <v>25</v>
      </c>
      <c r="K6" s="7" t="s">
        <v>32</v>
      </c>
      <c r="L6" s="7" t="s">
        <v>27</v>
      </c>
    </row>
    <row r="7" spans="1:19" s="16" customFormat="1" ht="16" x14ac:dyDescent="0.2">
      <c r="A7" s="15" t="s">
        <v>39</v>
      </c>
      <c r="B7" s="145" t="s">
        <v>30</v>
      </c>
      <c r="C7" s="16">
        <v>60</v>
      </c>
      <c r="D7" s="16" t="s">
        <v>21</v>
      </c>
      <c r="E7" s="16" t="s">
        <v>22</v>
      </c>
      <c r="G7" s="16" t="s">
        <v>22</v>
      </c>
      <c r="H7" s="16" t="s">
        <v>23</v>
      </c>
      <c r="I7" s="7" t="s">
        <v>24</v>
      </c>
      <c r="J7" s="16" t="s">
        <v>25</v>
      </c>
      <c r="K7" s="16" t="s">
        <v>26</v>
      </c>
      <c r="L7" s="16" t="s">
        <v>27</v>
      </c>
      <c r="M7" s="16" t="s">
        <v>28</v>
      </c>
      <c r="N7" s="16" t="s">
        <v>37</v>
      </c>
    </row>
    <row r="8" spans="1:19" s="13" customFormat="1" ht="16" x14ac:dyDescent="0.2">
      <c r="A8" s="10" t="s">
        <v>40</v>
      </c>
      <c r="B8" s="143" t="s">
        <v>41</v>
      </c>
      <c r="C8" s="13">
        <v>30</v>
      </c>
      <c r="D8" s="13" t="s">
        <v>21</v>
      </c>
      <c r="E8" s="13" t="s">
        <v>22</v>
      </c>
      <c r="G8" s="13" t="s">
        <v>22</v>
      </c>
      <c r="H8" s="13" t="s">
        <v>23</v>
      </c>
      <c r="I8" s="7" t="s">
        <v>42</v>
      </c>
      <c r="L8" s="13" t="s">
        <v>27</v>
      </c>
    </row>
    <row r="9" spans="1:19" ht="16" x14ac:dyDescent="0.2">
      <c r="A9" s="14" t="s">
        <v>43</v>
      </c>
      <c r="B9" s="144" t="s">
        <v>41</v>
      </c>
      <c r="C9" s="7">
        <v>30</v>
      </c>
      <c r="D9" s="7" t="s">
        <v>21</v>
      </c>
      <c r="E9" s="7" t="s">
        <v>22</v>
      </c>
      <c r="G9" s="7" t="s">
        <v>22</v>
      </c>
      <c r="H9" s="7" t="s">
        <v>23</v>
      </c>
      <c r="I9" s="7" t="s">
        <v>35</v>
      </c>
      <c r="J9" s="7" t="s">
        <v>25</v>
      </c>
      <c r="L9" s="7" t="s">
        <v>27</v>
      </c>
      <c r="M9" s="7" t="s">
        <v>28</v>
      </c>
    </row>
    <row r="10" spans="1:19" ht="16" x14ac:dyDescent="0.2">
      <c r="A10" s="14" t="s">
        <v>44</v>
      </c>
      <c r="B10" s="144" t="s">
        <v>41</v>
      </c>
      <c r="C10" s="7">
        <v>30</v>
      </c>
      <c r="D10" s="7" t="s">
        <v>21</v>
      </c>
      <c r="E10" s="7" t="s">
        <v>22</v>
      </c>
      <c r="G10" s="7" t="s">
        <v>22</v>
      </c>
      <c r="H10" s="7" t="s">
        <v>23</v>
      </c>
      <c r="I10" s="7" t="s">
        <v>42</v>
      </c>
      <c r="L10" s="7" t="s">
        <v>27</v>
      </c>
    </row>
    <row r="11" spans="1:19" s="16" customFormat="1" ht="16" x14ac:dyDescent="0.2">
      <c r="A11" s="15" t="s">
        <v>45</v>
      </c>
      <c r="B11" s="145" t="s">
        <v>41</v>
      </c>
      <c r="C11" s="16">
        <v>30</v>
      </c>
      <c r="D11" s="16" t="s">
        <v>21</v>
      </c>
      <c r="E11" s="16" t="s">
        <v>22</v>
      </c>
      <c r="G11" s="16" t="s">
        <v>22</v>
      </c>
      <c r="H11" s="16" t="s">
        <v>23</v>
      </c>
      <c r="I11" s="7" t="s">
        <v>42</v>
      </c>
      <c r="L11" s="16" t="s">
        <v>27</v>
      </c>
    </row>
    <row r="12" spans="1:19" s="13" customFormat="1" ht="16" x14ac:dyDescent="0.2">
      <c r="A12" s="10" t="s">
        <v>46</v>
      </c>
      <c r="B12" s="143" t="s">
        <v>47</v>
      </c>
      <c r="C12" s="13">
        <v>12</v>
      </c>
      <c r="D12" s="13" t="s">
        <v>21</v>
      </c>
      <c r="E12" s="13" t="s">
        <v>22</v>
      </c>
      <c r="G12" s="13" t="s">
        <v>22</v>
      </c>
      <c r="H12" s="13" t="s">
        <v>23</v>
      </c>
      <c r="I12" s="7" t="s">
        <v>31</v>
      </c>
      <c r="J12" s="13" t="s">
        <v>48</v>
      </c>
      <c r="L12" s="13" t="s">
        <v>27</v>
      </c>
      <c r="R12" s="13" t="s">
        <v>28</v>
      </c>
    </row>
    <row r="13" spans="1:19" ht="16" x14ac:dyDescent="0.2">
      <c r="A13" s="14" t="s">
        <v>49</v>
      </c>
      <c r="B13" s="144" t="s">
        <v>47</v>
      </c>
      <c r="C13" s="7">
        <v>12</v>
      </c>
      <c r="D13" s="7" t="s">
        <v>21</v>
      </c>
      <c r="E13" s="7" t="s">
        <v>22</v>
      </c>
      <c r="G13" s="7" t="s">
        <v>22</v>
      </c>
      <c r="H13" s="7" t="s">
        <v>23</v>
      </c>
      <c r="I13" s="7" t="s">
        <v>42</v>
      </c>
      <c r="J13" s="7" t="s">
        <v>25</v>
      </c>
      <c r="L13" s="7" t="s">
        <v>27</v>
      </c>
      <c r="M13" s="7" t="s">
        <v>28</v>
      </c>
    </row>
    <row r="14" spans="1:19" ht="16" x14ac:dyDescent="0.2">
      <c r="A14" s="14" t="s">
        <v>50</v>
      </c>
      <c r="B14" s="144" t="s">
        <v>47</v>
      </c>
      <c r="C14" s="7">
        <v>12</v>
      </c>
      <c r="D14" s="7" t="s">
        <v>21</v>
      </c>
      <c r="E14" s="7" t="s">
        <v>22</v>
      </c>
      <c r="G14" s="7" t="s">
        <v>22</v>
      </c>
      <c r="H14" s="7" t="s">
        <v>23</v>
      </c>
      <c r="I14" s="7" t="s">
        <v>31</v>
      </c>
      <c r="J14" s="7" t="s">
        <v>48</v>
      </c>
      <c r="L14" s="7" t="s">
        <v>27</v>
      </c>
      <c r="R14" s="13" t="s">
        <v>28</v>
      </c>
    </row>
    <row r="15" spans="1:19" s="16" customFormat="1" ht="16" x14ac:dyDescent="0.2">
      <c r="A15" s="15" t="s">
        <v>51</v>
      </c>
      <c r="B15" s="145" t="s">
        <v>47</v>
      </c>
      <c r="C15" s="16">
        <v>12</v>
      </c>
      <c r="D15" s="16" t="s">
        <v>21</v>
      </c>
      <c r="E15" s="16" t="s">
        <v>22</v>
      </c>
      <c r="G15" s="16" t="s">
        <v>22</v>
      </c>
      <c r="H15" s="16" t="s">
        <v>23</v>
      </c>
      <c r="I15" s="7" t="s">
        <v>31</v>
      </c>
      <c r="J15" s="16" t="s">
        <v>48</v>
      </c>
      <c r="L15" s="16" t="s">
        <v>27</v>
      </c>
      <c r="R15" s="13" t="s">
        <v>28</v>
      </c>
    </row>
    <row r="16" spans="1:19" ht="16" x14ac:dyDescent="0.2">
      <c r="A16" s="7" t="s">
        <v>52</v>
      </c>
      <c r="B16" s="144" t="s">
        <v>53</v>
      </c>
      <c r="C16" s="7">
        <v>60</v>
      </c>
      <c r="D16" s="7" t="s">
        <v>21</v>
      </c>
      <c r="E16" s="7" t="s">
        <v>22</v>
      </c>
      <c r="F16" s="7" t="s">
        <v>5</v>
      </c>
      <c r="G16" s="7" t="s">
        <v>22</v>
      </c>
      <c r="H16" s="7" t="s">
        <v>23</v>
      </c>
      <c r="I16" s="7" t="s">
        <v>35</v>
      </c>
      <c r="J16" s="7" t="s">
        <v>25</v>
      </c>
      <c r="L16" s="7" t="s">
        <v>27</v>
      </c>
    </row>
    <row r="17" spans="1:18" ht="16" x14ac:dyDescent="0.2">
      <c r="A17" s="7" t="s">
        <v>54</v>
      </c>
      <c r="B17" s="144" t="s">
        <v>53</v>
      </c>
      <c r="C17" s="7">
        <v>60</v>
      </c>
      <c r="D17" s="7" t="s">
        <v>21</v>
      </c>
      <c r="E17" s="7" t="s">
        <v>22</v>
      </c>
      <c r="F17" s="7" t="s">
        <v>5</v>
      </c>
      <c r="G17" s="7" t="s">
        <v>22</v>
      </c>
      <c r="H17" s="7" t="s">
        <v>23</v>
      </c>
      <c r="I17" s="7" t="s">
        <v>35</v>
      </c>
      <c r="J17" s="7" t="s">
        <v>25</v>
      </c>
      <c r="L17" s="7" t="s">
        <v>27</v>
      </c>
    </row>
    <row r="18" spans="1:18" ht="16" x14ac:dyDescent="0.2">
      <c r="A18" s="7" t="s">
        <v>55</v>
      </c>
      <c r="B18" s="144" t="s">
        <v>53</v>
      </c>
      <c r="C18" s="7">
        <v>60</v>
      </c>
      <c r="D18" s="7" t="s">
        <v>21</v>
      </c>
      <c r="E18" s="7" t="s">
        <v>22</v>
      </c>
      <c r="F18" s="7" t="s">
        <v>5</v>
      </c>
      <c r="G18" s="7" t="s">
        <v>22</v>
      </c>
      <c r="H18" s="7" t="s">
        <v>23</v>
      </c>
      <c r="I18" s="7" t="s">
        <v>24</v>
      </c>
      <c r="J18" s="7" t="s">
        <v>25</v>
      </c>
      <c r="K18" s="7" t="s">
        <v>26</v>
      </c>
      <c r="L18" s="7" t="s">
        <v>27</v>
      </c>
      <c r="N18" s="7" t="s">
        <v>37</v>
      </c>
    </row>
    <row r="19" spans="1:18" ht="16" x14ac:dyDescent="0.2">
      <c r="A19" s="7" t="s">
        <v>56</v>
      </c>
      <c r="B19" s="144" t="s">
        <v>53</v>
      </c>
      <c r="C19" s="7">
        <v>60</v>
      </c>
      <c r="D19" s="7" t="s">
        <v>21</v>
      </c>
      <c r="E19" s="7" t="s">
        <v>22</v>
      </c>
      <c r="F19" s="7" t="s">
        <v>5</v>
      </c>
      <c r="G19" s="7" t="s">
        <v>22</v>
      </c>
      <c r="H19" s="7" t="s">
        <v>23</v>
      </c>
      <c r="I19" s="7" t="s">
        <v>35</v>
      </c>
      <c r="J19" s="7" t="s">
        <v>25</v>
      </c>
      <c r="L19" s="7" t="s">
        <v>27</v>
      </c>
      <c r="M19" s="7" t="s">
        <v>28</v>
      </c>
    </row>
    <row r="20" spans="1:18" ht="16" x14ac:dyDescent="0.2">
      <c r="A20" s="7" t="s">
        <v>57</v>
      </c>
      <c r="B20" s="144" t="s">
        <v>53</v>
      </c>
      <c r="C20" s="7">
        <v>60</v>
      </c>
      <c r="D20" s="7" t="s">
        <v>21</v>
      </c>
      <c r="E20" s="7" t="s">
        <v>22</v>
      </c>
      <c r="F20" s="7" t="s">
        <v>5</v>
      </c>
      <c r="G20" s="7" t="s">
        <v>22</v>
      </c>
      <c r="H20" s="7" t="s">
        <v>23</v>
      </c>
      <c r="I20" s="7" t="s">
        <v>58</v>
      </c>
      <c r="L20" s="7" t="s">
        <v>27</v>
      </c>
    </row>
    <row r="21" spans="1:18" ht="16" x14ac:dyDescent="0.2">
      <c r="A21" s="7" t="s">
        <v>59</v>
      </c>
      <c r="B21" s="144" t="s">
        <v>53</v>
      </c>
      <c r="C21" s="7">
        <v>60</v>
      </c>
      <c r="D21" s="7" t="s">
        <v>21</v>
      </c>
      <c r="E21" s="7" t="s">
        <v>22</v>
      </c>
      <c r="F21" s="7" t="s">
        <v>5</v>
      </c>
      <c r="G21" s="7" t="s">
        <v>22</v>
      </c>
      <c r="H21" s="7" t="s">
        <v>23</v>
      </c>
      <c r="I21" s="7" t="s">
        <v>35</v>
      </c>
      <c r="J21" s="7" t="s">
        <v>25</v>
      </c>
      <c r="L21" s="7" t="s">
        <v>27</v>
      </c>
      <c r="M21" s="7" t="s">
        <v>28</v>
      </c>
    </row>
    <row r="22" spans="1:18" s="13" customFormat="1" ht="16" x14ac:dyDescent="0.2">
      <c r="A22" s="10" t="s">
        <v>60</v>
      </c>
      <c r="B22" s="143" t="s">
        <v>61</v>
      </c>
      <c r="C22" s="13">
        <v>30</v>
      </c>
      <c r="D22" s="13" t="s">
        <v>21</v>
      </c>
      <c r="E22" s="13" t="s">
        <v>22</v>
      </c>
      <c r="F22" s="13" t="s">
        <v>5</v>
      </c>
      <c r="G22" s="13" t="s">
        <v>22</v>
      </c>
      <c r="H22" s="13" t="s">
        <v>23</v>
      </c>
      <c r="I22" s="7" t="s">
        <v>31</v>
      </c>
      <c r="J22" s="13" t="s">
        <v>25</v>
      </c>
      <c r="K22" s="13" t="s">
        <v>32</v>
      </c>
      <c r="L22" s="13" t="s">
        <v>27</v>
      </c>
      <c r="O22" s="13" t="s">
        <v>33</v>
      </c>
    </row>
    <row r="23" spans="1:18" ht="16" x14ac:dyDescent="0.2">
      <c r="A23" s="14" t="s">
        <v>62</v>
      </c>
      <c r="B23" s="144" t="s">
        <v>61</v>
      </c>
      <c r="C23" s="7">
        <v>30</v>
      </c>
      <c r="D23" s="7" t="s">
        <v>21</v>
      </c>
      <c r="E23" s="7" t="s">
        <v>22</v>
      </c>
      <c r="F23" s="7" t="s">
        <v>5</v>
      </c>
      <c r="G23" s="7" t="s">
        <v>22</v>
      </c>
      <c r="H23" s="7" t="s">
        <v>23</v>
      </c>
      <c r="I23" s="7" t="s">
        <v>31</v>
      </c>
      <c r="J23" s="7" t="s">
        <v>25</v>
      </c>
      <c r="K23" s="7" t="s">
        <v>32</v>
      </c>
      <c r="L23" s="7" t="s">
        <v>27</v>
      </c>
      <c r="M23" s="7" t="s">
        <v>28</v>
      </c>
      <c r="O23" s="7" t="s">
        <v>33</v>
      </c>
    </row>
    <row r="24" spans="1:18" ht="16" x14ac:dyDescent="0.2">
      <c r="A24" s="14" t="s">
        <v>63</v>
      </c>
      <c r="B24" s="144" t="s">
        <v>61</v>
      </c>
      <c r="C24" s="7">
        <v>30</v>
      </c>
      <c r="D24" s="7" t="s">
        <v>21</v>
      </c>
      <c r="E24" s="7" t="s">
        <v>22</v>
      </c>
      <c r="F24" s="7" t="s">
        <v>5</v>
      </c>
      <c r="G24" s="7" t="s">
        <v>22</v>
      </c>
      <c r="H24" s="7" t="s">
        <v>23</v>
      </c>
      <c r="I24" s="7" t="s">
        <v>42</v>
      </c>
      <c r="L24" s="7" t="s">
        <v>27</v>
      </c>
    </row>
    <row r="25" spans="1:18" s="16" customFormat="1" ht="16" x14ac:dyDescent="0.2">
      <c r="A25" s="15" t="s">
        <v>64</v>
      </c>
      <c r="B25" s="145" t="s">
        <v>61</v>
      </c>
      <c r="C25" s="16">
        <v>30</v>
      </c>
      <c r="D25" s="16" t="s">
        <v>21</v>
      </c>
      <c r="E25" s="16" t="s">
        <v>22</v>
      </c>
      <c r="F25" s="16" t="s">
        <v>5</v>
      </c>
      <c r="G25" s="16" t="s">
        <v>22</v>
      </c>
      <c r="H25" s="16" t="s">
        <v>23</v>
      </c>
      <c r="I25" s="7" t="s">
        <v>42</v>
      </c>
      <c r="L25" s="16" t="s">
        <v>27</v>
      </c>
    </row>
    <row r="26" spans="1:18" ht="16" x14ac:dyDescent="0.2">
      <c r="A26" s="7" t="s">
        <v>65</v>
      </c>
      <c r="B26" s="144" t="s">
        <v>66</v>
      </c>
      <c r="C26" s="7">
        <v>12</v>
      </c>
      <c r="D26" s="7" t="s">
        <v>21</v>
      </c>
      <c r="E26" s="7" t="s">
        <v>22</v>
      </c>
      <c r="F26" s="7" t="s">
        <v>5</v>
      </c>
      <c r="G26" s="7" t="s">
        <v>22</v>
      </c>
      <c r="H26" s="7" t="s">
        <v>23</v>
      </c>
      <c r="I26" s="7" t="s">
        <v>31</v>
      </c>
      <c r="J26" s="7" t="s">
        <v>25</v>
      </c>
      <c r="K26" s="7" t="s">
        <v>32</v>
      </c>
      <c r="L26" s="7" t="s">
        <v>27</v>
      </c>
      <c r="O26" s="7" t="s">
        <v>33</v>
      </c>
      <c r="R26" s="7" t="s">
        <v>37</v>
      </c>
    </row>
    <row r="27" spans="1:18" ht="16" x14ac:dyDescent="0.2">
      <c r="A27" s="7" t="s">
        <v>67</v>
      </c>
      <c r="B27" s="144" t="s">
        <v>66</v>
      </c>
      <c r="C27" s="7">
        <v>12</v>
      </c>
      <c r="D27" s="7" t="s">
        <v>21</v>
      </c>
      <c r="E27" s="7" t="s">
        <v>22</v>
      </c>
      <c r="F27" s="7" t="s">
        <v>5</v>
      </c>
      <c r="G27" s="7" t="s">
        <v>22</v>
      </c>
      <c r="H27" s="7" t="s">
        <v>23</v>
      </c>
      <c r="J27" s="7" t="s">
        <v>25</v>
      </c>
      <c r="K27" s="7" t="s">
        <v>32</v>
      </c>
      <c r="L27" s="7" t="s">
        <v>27</v>
      </c>
      <c r="O27" s="7" t="s">
        <v>33</v>
      </c>
    </row>
    <row r="28" spans="1:18" ht="16" x14ac:dyDescent="0.2">
      <c r="A28" s="7" t="s">
        <v>68</v>
      </c>
      <c r="B28" s="221" t="s">
        <v>69</v>
      </c>
      <c r="C28" s="7">
        <v>12</v>
      </c>
      <c r="D28" s="7" t="s">
        <v>21</v>
      </c>
      <c r="E28" s="7" t="s">
        <v>22</v>
      </c>
      <c r="F28" s="7" t="s">
        <v>5</v>
      </c>
      <c r="G28" s="7" t="s">
        <v>22</v>
      </c>
      <c r="H28" s="7" t="s">
        <v>23</v>
      </c>
      <c r="I28" s="7" t="s">
        <v>31</v>
      </c>
      <c r="J28" s="7" t="s">
        <v>48</v>
      </c>
      <c r="L28" s="7" t="s">
        <v>27</v>
      </c>
      <c r="R28" s="13" t="s">
        <v>28</v>
      </c>
    </row>
    <row r="29" spans="1:18" ht="16" x14ac:dyDescent="0.2">
      <c r="A29" s="7" t="s">
        <v>70</v>
      </c>
      <c r="B29" s="144" t="s">
        <v>66</v>
      </c>
      <c r="C29" s="7">
        <v>12</v>
      </c>
      <c r="D29" s="7" t="s">
        <v>21</v>
      </c>
      <c r="E29" s="7" t="s">
        <v>22</v>
      </c>
      <c r="F29" s="7" t="s">
        <v>5</v>
      </c>
      <c r="G29" s="7" t="s">
        <v>22</v>
      </c>
      <c r="H29" s="7" t="s">
        <v>23</v>
      </c>
      <c r="I29" s="7" t="s">
        <v>31</v>
      </c>
      <c r="J29" s="7" t="s">
        <v>25</v>
      </c>
      <c r="K29" s="7" t="s">
        <v>32</v>
      </c>
      <c r="L29" s="7" t="s">
        <v>27</v>
      </c>
      <c r="M29" s="7" t="s">
        <v>28</v>
      </c>
      <c r="O29" s="7" t="s">
        <v>37</v>
      </c>
    </row>
    <row r="30" spans="1:18" s="13" customFormat="1" ht="16" x14ac:dyDescent="0.2">
      <c r="A30" s="10" t="s">
        <v>71</v>
      </c>
      <c r="B30" s="143" t="s">
        <v>72</v>
      </c>
      <c r="C30" s="13">
        <v>60</v>
      </c>
      <c r="D30" s="13" t="s">
        <v>21</v>
      </c>
      <c r="E30" s="13" t="s">
        <v>22</v>
      </c>
      <c r="G30" s="13" t="s">
        <v>22</v>
      </c>
      <c r="H30" s="13" t="s">
        <v>23</v>
      </c>
      <c r="I30" s="7" t="s">
        <v>42</v>
      </c>
      <c r="L30" s="13" t="s">
        <v>27</v>
      </c>
    </row>
    <row r="31" spans="1:18" ht="16" x14ac:dyDescent="0.2">
      <c r="A31" s="14" t="s">
        <v>73</v>
      </c>
      <c r="B31" s="144" t="s">
        <v>72</v>
      </c>
      <c r="C31" s="7">
        <v>60</v>
      </c>
      <c r="D31" s="7" t="s">
        <v>21</v>
      </c>
      <c r="E31" s="7" t="s">
        <v>22</v>
      </c>
      <c r="G31" s="7" t="s">
        <v>22</v>
      </c>
      <c r="H31" s="7" t="s">
        <v>23</v>
      </c>
      <c r="I31" s="7" t="s">
        <v>24</v>
      </c>
      <c r="J31" s="7" t="s">
        <v>25</v>
      </c>
      <c r="K31" s="7" t="s">
        <v>74</v>
      </c>
      <c r="L31" s="7" t="s">
        <v>27</v>
      </c>
      <c r="M31" s="7" t="s">
        <v>28</v>
      </c>
      <c r="N31" s="7" t="s">
        <v>28</v>
      </c>
    </row>
    <row r="32" spans="1:18" ht="16" x14ac:dyDescent="0.2">
      <c r="A32" s="14" t="s">
        <v>75</v>
      </c>
      <c r="B32" s="144" t="s">
        <v>72</v>
      </c>
      <c r="C32" s="7">
        <v>60</v>
      </c>
      <c r="D32" s="7" t="s">
        <v>21</v>
      </c>
      <c r="E32" s="7" t="s">
        <v>22</v>
      </c>
      <c r="G32" s="7" t="s">
        <v>22</v>
      </c>
      <c r="H32" s="7" t="s">
        <v>23</v>
      </c>
      <c r="I32" s="7" t="s">
        <v>31</v>
      </c>
      <c r="K32" s="7" t="s">
        <v>32</v>
      </c>
      <c r="L32" s="7" t="s">
        <v>27</v>
      </c>
      <c r="O32" s="7" t="s">
        <v>37</v>
      </c>
    </row>
    <row r="33" spans="1:18" ht="16" x14ac:dyDescent="0.2">
      <c r="A33" s="14" t="s">
        <v>76</v>
      </c>
      <c r="B33" s="144" t="s">
        <v>72</v>
      </c>
      <c r="C33" s="7">
        <v>60</v>
      </c>
      <c r="D33" s="7" t="s">
        <v>21</v>
      </c>
      <c r="E33" s="7" t="s">
        <v>22</v>
      </c>
      <c r="G33" s="7" t="s">
        <v>22</v>
      </c>
      <c r="H33" s="7" t="s">
        <v>23</v>
      </c>
      <c r="I33" s="7" t="s">
        <v>24</v>
      </c>
      <c r="J33" s="7" t="s">
        <v>25</v>
      </c>
      <c r="K33" s="7" t="s">
        <v>26</v>
      </c>
      <c r="L33" s="7" t="s">
        <v>27</v>
      </c>
      <c r="M33" s="7" t="s">
        <v>28</v>
      </c>
      <c r="N33" s="7" t="s">
        <v>28</v>
      </c>
    </row>
    <row r="34" spans="1:18" ht="16" x14ac:dyDescent="0.2">
      <c r="A34" s="14" t="s">
        <v>77</v>
      </c>
      <c r="B34" s="144" t="s">
        <v>72</v>
      </c>
      <c r="C34" s="7">
        <v>60</v>
      </c>
      <c r="D34" s="7" t="s">
        <v>21</v>
      </c>
      <c r="E34" s="7" t="s">
        <v>22</v>
      </c>
      <c r="G34" s="7" t="s">
        <v>22</v>
      </c>
      <c r="H34" s="7" t="s">
        <v>23</v>
      </c>
      <c r="I34" s="7" t="s">
        <v>31</v>
      </c>
      <c r="J34" s="7" t="s">
        <v>25</v>
      </c>
      <c r="K34" s="7" t="s">
        <v>32</v>
      </c>
      <c r="L34" s="7" t="s">
        <v>27</v>
      </c>
    </row>
    <row r="35" spans="1:18" s="16" customFormat="1" ht="16" x14ac:dyDescent="0.2">
      <c r="A35" s="15" t="s">
        <v>78</v>
      </c>
      <c r="B35" s="145" t="s">
        <v>72</v>
      </c>
      <c r="C35" s="16">
        <v>60</v>
      </c>
      <c r="D35" s="16" t="s">
        <v>21</v>
      </c>
      <c r="E35" s="16" t="s">
        <v>22</v>
      </c>
      <c r="G35" s="16" t="s">
        <v>22</v>
      </c>
      <c r="H35" s="16" t="s">
        <v>23</v>
      </c>
      <c r="I35" s="7" t="s">
        <v>42</v>
      </c>
      <c r="L35" s="16" t="s">
        <v>27</v>
      </c>
    </row>
    <row r="36" spans="1:18" s="13" customFormat="1" ht="16" x14ac:dyDescent="0.2">
      <c r="A36" s="10" t="s">
        <v>79</v>
      </c>
      <c r="B36" s="143" t="s">
        <v>80</v>
      </c>
      <c r="C36" s="13">
        <v>30</v>
      </c>
      <c r="D36" s="13" t="s">
        <v>21</v>
      </c>
      <c r="E36" s="13" t="s">
        <v>22</v>
      </c>
      <c r="G36" s="13" t="s">
        <v>22</v>
      </c>
      <c r="H36" s="13" t="s">
        <v>23</v>
      </c>
      <c r="I36" s="7" t="s">
        <v>42</v>
      </c>
      <c r="L36" s="13" t="s">
        <v>27</v>
      </c>
    </row>
    <row r="37" spans="1:18" ht="16" x14ac:dyDescent="0.2">
      <c r="A37" s="14" t="s">
        <v>81</v>
      </c>
      <c r="B37" s="144" t="s">
        <v>80</v>
      </c>
      <c r="C37" s="7">
        <v>30</v>
      </c>
      <c r="D37" s="7" t="s">
        <v>21</v>
      </c>
      <c r="E37" s="7" t="s">
        <v>22</v>
      </c>
      <c r="G37" s="7" t="s">
        <v>22</v>
      </c>
      <c r="H37" s="7" t="s">
        <v>23</v>
      </c>
      <c r="I37" s="7" t="s">
        <v>31</v>
      </c>
      <c r="J37" s="7" t="s">
        <v>25</v>
      </c>
      <c r="K37" s="7" t="s">
        <v>32</v>
      </c>
      <c r="L37" s="7" t="s">
        <v>27</v>
      </c>
      <c r="M37" s="7" t="s">
        <v>28</v>
      </c>
      <c r="O37" s="7" t="s">
        <v>37</v>
      </c>
    </row>
    <row r="38" spans="1:18" ht="16" x14ac:dyDescent="0.2">
      <c r="A38" s="14" t="s">
        <v>82</v>
      </c>
      <c r="B38" s="144" t="s">
        <v>80</v>
      </c>
      <c r="C38" s="7">
        <v>30</v>
      </c>
      <c r="D38" s="7" t="s">
        <v>21</v>
      </c>
      <c r="E38" s="7" t="s">
        <v>22</v>
      </c>
      <c r="G38" s="7" t="s">
        <v>22</v>
      </c>
      <c r="H38" s="7" t="s">
        <v>23</v>
      </c>
      <c r="I38" s="7" t="s">
        <v>42</v>
      </c>
      <c r="L38" s="7" t="s">
        <v>27</v>
      </c>
    </row>
    <row r="39" spans="1:18" s="16" customFormat="1" ht="16" x14ac:dyDescent="0.2">
      <c r="A39" s="15" t="s">
        <v>83</v>
      </c>
      <c r="B39" s="145" t="s">
        <v>80</v>
      </c>
      <c r="C39" s="16">
        <v>30</v>
      </c>
      <c r="D39" s="16" t="s">
        <v>21</v>
      </c>
      <c r="E39" s="16" t="s">
        <v>22</v>
      </c>
      <c r="G39" s="16" t="s">
        <v>22</v>
      </c>
      <c r="H39" s="16" t="s">
        <v>23</v>
      </c>
      <c r="I39" s="7" t="s">
        <v>42</v>
      </c>
      <c r="L39" s="16" t="s">
        <v>27</v>
      </c>
    </row>
    <row r="40" spans="1:18" s="13" customFormat="1" ht="16" x14ac:dyDescent="0.2">
      <c r="A40" s="10" t="s">
        <v>84</v>
      </c>
      <c r="B40" s="143" t="s">
        <v>85</v>
      </c>
      <c r="C40" s="13">
        <v>12</v>
      </c>
      <c r="D40" s="13" t="s">
        <v>21</v>
      </c>
      <c r="E40" s="13" t="s">
        <v>22</v>
      </c>
      <c r="G40" s="13" t="s">
        <v>22</v>
      </c>
      <c r="H40" s="13" t="s">
        <v>23</v>
      </c>
      <c r="I40" s="7" t="s">
        <v>35</v>
      </c>
      <c r="J40" s="13" t="s">
        <v>25</v>
      </c>
      <c r="L40" s="13" t="s">
        <v>27</v>
      </c>
      <c r="R40" s="13" t="s">
        <v>37</v>
      </c>
    </row>
    <row r="41" spans="1:18" ht="16" x14ac:dyDescent="0.2">
      <c r="A41" s="14" t="s">
        <v>86</v>
      </c>
      <c r="B41" s="144" t="s">
        <v>85</v>
      </c>
      <c r="C41" s="7">
        <v>12</v>
      </c>
      <c r="D41" s="7" t="s">
        <v>21</v>
      </c>
      <c r="E41" s="7" t="s">
        <v>22</v>
      </c>
      <c r="G41" s="7" t="s">
        <v>22</v>
      </c>
      <c r="H41" s="7" t="s">
        <v>23</v>
      </c>
      <c r="I41" s="7" t="s">
        <v>42</v>
      </c>
      <c r="L41" s="7" t="s">
        <v>27</v>
      </c>
    </row>
    <row r="42" spans="1:18" ht="16" x14ac:dyDescent="0.2">
      <c r="A42" s="14" t="s">
        <v>87</v>
      </c>
      <c r="B42" s="144" t="s">
        <v>85</v>
      </c>
      <c r="C42" s="7">
        <v>12</v>
      </c>
      <c r="D42" s="7" t="s">
        <v>21</v>
      </c>
      <c r="E42" s="7" t="s">
        <v>22</v>
      </c>
      <c r="G42" s="7" t="s">
        <v>22</v>
      </c>
      <c r="H42" s="7" t="s">
        <v>23</v>
      </c>
      <c r="I42" s="7" t="s">
        <v>35</v>
      </c>
      <c r="J42" s="7" t="s">
        <v>25</v>
      </c>
      <c r="L42" s="7" t="s">
        <v>27</v>
      </c>
      <c r="M42" s="7" t="s">
        <v>28</v>
      </c>
    </row>
    <row r="43" spans="1:18" s="16" customFormat="1" ht="16" x14ac:dyDescent="0.2">
      <c r="A43" s="15" t="s">
        <v>88</v>
      </c>
      <c r="B43" s="145" t="s">
        <v>85</v>
      </c>
      <c r="C43" s="16">
        <v>12</v>
      </c>
      <c r="D43" s="16" t="s">
        <v>21</v>
      </c>
      <c r="E43" s="16" t="s">
        <v>22</v>
      </c>
      <c r="G43" s="16" t="s">
        <v>22</v>
      </c>
      <c r="H43" s="16" t="s">
        <v>23</v>
      </c>
      <c r="I43" s="7" t="s">
        <v>42</v>
      </c>
      <c r="L43" s="16" t="s">
        <v>27</v>
      </c>
    </row>
    <row r="44" spans="1:18" s="13" customFormat="1" ht="16" x14ac:dyDescent="0.2">
      <c r="A44" s="10" t="s">
        <v>89</v>
      </c>
      <c r="B44" s="143" t="s">
        <v>90</v>
      </c>
      <c r="C44" s="13">
        <v>60</v>
      </c>
      <c r="D44" s="13" t="s">
        <v>21</v>
      </c>
      <c r="E44" s="13" t="s">
        <v>22</v>
      </c>
      <c r="G44" s="13" t="s">
        <v>22</v>
      </c>
      <c r="H44" s="13" t="s">
        <v>23</v>
      </c>
      <c r="I44" s="7" t="s">
        <v>31</v>
      </c>
      <c r="J44" s="13" t="s">
        <v>25</v>
      </c>
      <c r="K44" s="13" t="s">
        <v>32</v>
      </c>
      <c r="L44" s="13" t="s">
        <v>27</v>
      </c>
      <c r="O44" s="13" t="s">
        <v>33</v>
      </c>
    </row>
    <row r="45" spans="1:18" ht="16" x14ac:dyDescent="0.2">
      <c r="A45" s="14" t="s">
        <v>91</v>
      </c>
      <c r="B45" s="144" t="s">
        <v>90</v>
      </c>
      <c r="C45" s="7">
        <v>60</v>
      </c>
      <c r="D45" s="7" t="s">
        <v>21</v>
      </c>
      <c r="E45" s="7" t="s">
        <v>22</v>
      </c>
      <c r="G45" s="7" t="s">
        <v>22</v>
      </c>
      <c r="H45" s="7" t="s">
        <v>23</v>
      </c>
      <c r="I45" s="7" t="s">
        <v>24</v>
      </c>
      <c r="J45" s="7" t="s">
        <v>25</v>
      </c>
      <c r="K45" s="7" t="s">
        <v>26</v>
      </c>
      <c r="L45" s="7" t="s">
        <v>27</v>
      </c>
      <c r="M45" s="7" t="s">
        <v>28</v>
      </c>
      <c r="N45" s="7" t="s">
        <v>28</v>
      </c>
    </row>
    <row r="46" spans="1:18" ht="16" x14ac:dyDescent="0.2">
      <c r="A46" s="14" t="s">
        <v>92</v>
      </c>
      <c r="B46" s="144" t="s">
        <v>90</v>
      </c>
      <c r="C46" s="7">
        <v>60</v>
      </c>
      <c r="D46" s="7" t="s">
        <v>21</v>
      </c>
      <c r="E46" s="7" t="s">
        <v>22</v>
      </c>
      <c r="G46" s="7" t="s">
        <v>22</v>
      </c>
      <c r="H46" s="7" t="s">
        <v>23</v>
      </c>
      <c r="I46" s="7" t="s">
        <v>35</v>
      </c>
      <c r="J46" s="7" t="s">
        <v>25</v>
      </c>
      <c r="L46" s="7" t="s">
        <v>27</v>
      </c>
      <c r="M46" s="7" t="s">
        <v>28</v>
      </c>
    </row>
    <row r="47" spans="1:18" ht="16" x14ac:dyDescent="0.2">
      <c r="A47" s="14" t="s">
        <v>93</v>
      </c>
      <c r="B47" s="144" t="s">
        <v>90</v>
      </c>
      <c r="C47" s="7">
        <v>60</v>
      </c>
      <c r="D47" s="7" t="s">
        <v>21</v>
      </c>
      <c r="E47" s="7" t="s">
        <v>22</v>
      </c>
      <c r="G47" s="7" t="s">
        <v>22</v>
      </c>
      <c r="H47" s="7" t="s">
        <v>23</v>
      </c>
      <c r="I47" s="7" t="s">
        <v>42</v>
      </c>
      <c r="L47" s="7" t="s">
        <v>27</v>
      </c>
    </row>
    <row r="48" spans="1:18" ht="16" x14ac:dyDescent="0.2">
      <c r="A48" s="14" t="s">
        <v>94</v>
      </c>
      <c r="B48" s="144" t="s">
        <v>90</v>
      </c>
      <c r="C48" s="7">
        <v>60</v>
      </c>
      <c r="D48" s="7" t="s">
        <v>21</v>
      </c>
      <c r="E48" s="7" t="s">
        <v>22</v>
      </c>
      <c r="G48" s="7" t="s">
        <v>22</v>
      </c>
      <c r="H48" s="7" t="s">
        <v>23</v>
      </c>
      <c r="I48" s="7" t="s">
        <v>42</v>
      </c>
      <c r="L48" s="7" t="s">
        <v>27</v>
      </c>
    </row>
    <row r="49" spans="1:18" s="16" customFormat="1" ht="16" x14ac:dyDescent="0.2">
      <c r="A49" s="15" t="s">
        <v>95</v>
      </c>
      <c r="B49" s="145" t="s">
        <v>90</v>
      </c>
      <c r="C49" s="16">
        <v>60</v>
      </c>
      <c r="D49" s="16" t="s">
        <v>21</v>
      </c>
      <c r="E49" s="16" t="s">
        <v>22</v>
      </c>
      <c r="G49" s="16" t="s">
        <v>22</v>
      </c>
      <c r="H49" s="16" t="s">
        <v>23</v>
      </c>
      <c r="I49" s="7" t="s">
        <v>42</v>
      </c>
      <c r="L49" s="16" t="s">
        <v>27</v>
      </c>
    </row>
    <row r="50" spans="1:18" s="13" customFormat="1" ht="16" x14ac:dyDescent="0.2">
      <c r="A50" s="10" t="s">
        <v>96</v>
      </c>
      <c r="B50" s="143" t="s">
        <v>97</v>
      </c>
      <c r="C50" s="13">
        <v>30</v>
      </c>
      <c r="D50" s="13" t="s">
        <v>21</v>
      </c>
      <c r="E50" s="13" t="s">
        <v>22</v>
      </c>
      <c r="G50" s="13" t="s">
        <v>22</v>
      </c>
      <c r="H50" s="13" t="s">
        <v>23</v>
      </c>
      <c r="I50" s="7" t="s">
        <v>35</v>
      </c>
      <c r="J50" s="13" t="s">
        <v>25</v>
      </c>
      <c r="L50" s="13" t="s">
        <v>27</v>
      </c>
    </row>
    <row r="51" spans="1:18" ht="16" x14ac:dyDescent="0.2">
      <c r="A51" s="14" t="s">
        <v>98</v>
      </c>
      <c r="B51" s="144" t="s">
        <v>97</v>
      </c>
      <c r="C51" s="7">
        <v>30</v>
      </c>
      <c r="D51" s="7" t="s">
        <v>21</v>
      </c>
      <c r="E51" s="7" t="s">
        <v>22</v>
      </c>
      <c r="G51" s="7" t="s">
        <v>22</v>
      </c>
      <c r="H51" s="7" t="s">
        <v>23</v>
      </c>
      <c r="I51" s="7" t="s">
        <v>58</v>
      </c>
      <c r="J51" s="7" t="s">
        <v>25</v>
      </c>
      <c r="L51" s="7" t="s">
        <v>27</v>
      </c>
    </row>
    <row r="52" spans="1:18" ht="16" x14ac:dyDescent="0.2">
      <c r="A52" s="14" t="s">
        <v>99</v>
      </c>
      <c r="B52" s="144" t="s">
        <v>97</v>
      </c>
      <c r="C52" s="7">
        <v>30</v>
      </c>
      <c r="D52" s="7" t="s">
        <v>21</v>
      </c>
      <c r="E52" s="7" t="s">
        <v>22</v>
      </c>
      <c r="G52" s="7" t="s">
        <v>22</v>
      </c>
      <c r="H52" s="7" t="s">
        <v>23</v>
      </c>
      <c r="I52" s="7" t="s">
        <v>35</v>
      </c>
      <c r="J52" s="7" t="s">
        <v>25</v>
      </c>
      <c r="L52" s="7" t="s">
        <v>27</v>
      </c>
      <c r="M52" s="7" t="s">
        <v>28</v>
      </c>
      <c r="R52" s="7" t="s">
        <v>100</v>
      </c>
    </row>
    <row r="53" spans="1:18" s="16" customFormat="1" ht="16" x14ac:dyDescent="0.2">
      <c r="A53" s="15" t="s">
        <v>101</v>
      </c>
      <c r="B53" s="145" t="s">
        <v>97</v>
      </c>
      <c r="C53" s="16">
        <v>30</v>
      </c>
      <c r="D53" s="16" t="s">
        <v>21</v>
      </c>
      <c r="E53" s="16" t="s">
        <v>22</v>
      </c>
      <c r="G53" s="16" t="s">
        <v>22</v>
      </c>
      <c r="H53" s="16" t="s">
        <v>23</v>
      </c>
      <c r="I53" s="7" t="s">
        <v>42</v>
      </c>
      <c r="J53" s="16" t="s">
        <v>25</v>
      </c>
      <c r="L53" s="16" t="s">
        <v>27</v>
      </c>
      <c r="R53" s="16" t="s">
        <v>100</v>
      </c>
    </row>
    <row r="54" spans="1:18" s="13" customFormat="1" ht="16" x14ac:dyDescent="0.2">
      <c r="A54" s="10" t="s">
        <v>102</v>
      </c>
      <c r="B54" s="143" t="s">
        <v>103</v>
      </c>
      <c r="C54" s="13">
        <v>12</v>
      </c>
      <c r="D54" s="13" t="s">
        <v>21</v>
      </c>
      <c r="E54" s="13" t="s">
        <v>22</v>
      </c>
      <c r="G54" s="13" t="s">
        <v>22</v>
      </c>
      <c r="H54" s="13" t="s">
        <v>23</v>
      </c>
      <c r="I54" s="7" t="s">
        <v>35</v>
      </c>
      <c r="J54" s="13" t="s">
        <v>25</v>
      </c>
      <c r="L54" s="13" t="s">
        <v>27</v>
      </c>
      <c r="M54" s="13" t="s">
        <v>28</v>
      </c>
      <c r="R54" s="13" t="s">
        <v>37</v>
      </c>
    </row>
    <row r="55" spans="1:18" ht="16" x14ac:dyDescent="0.2">
      <c r="A55" s="14" t="s">
        <v>104</v>
      </c>
      <c r="B55" s="144" t="s">
        <v>103</v>
      </c>
      <c r="C55" s="7">
        <v>12</v>
      </c>
      <c r="D55" s="7" t="s">
        <v>21</v>
      </c>
      <c r="E55" s="7" t="s">
        <v>22</v>
      </c>
      <c r="G55" s="7" t="s">
        <v>22</v>
      </c>
      <c r="H55" s="7" t="s">
        <v>23</v>
      </c>
      <c r="I55" s="7" t="s">
        <v>35</v>
      </c>
      <c r="J55" s="7" t="s">
        <v>25</v>
      </c>
      <c r="L55" s="7" t="s">
        <v>27</v>
      </c>
      <c r="M55" s="7" t="s">
        <v>28</v>
      </c>
    </row>
    <row r="56" spans="1:18" ht="16" x14ac:dyDescent="0.2">
      <c r="A56" s="14" t="s">
        <v>105</v>
      </c>
      <c r="B56" s="144" t="s">
        <v>103</v>
      </c>
      <c r="C56" s="7">
        <v>12</v>
      </c>
      <c r="D56" s="7" t="s">
        <v>21</v>
      </c>
      <c r="E56" s="7" t="s">
        <v>22</v>
      </c>
      <c r="G56" s="7" t="s">
        <v>22</v>
      </c>
      <c r="H56" s="7" t="s">
        <v>23</v>
      </c>
      <c r="I56" s="7" t="s">
        <v>35</v>
      </c>
      <c r="J56" s="7" t="s">
        <v>25</v>
      </c>
      <c r="L56" s="7" t="s">
        <v>27</v>
      </c>
    </row>
    <row r="57" spans="1:18" s="16" customFormat="1" ht="16" x14ac:dyDescent="0.2">
      <c r="A57" s="15" t="s">
        <v>106</v>
      </c>
      <c r="B57" s="145" t="s">
        <v>107</v>
      </c>
      <c r="C57" s="16">
        <v>12</v>
      </c>
      <c r="D57" s="16" t="s">
        <v>21</v>
      </c>
      <c r="E57" s="16" t="s">
        <v>22</v>
      </c>
      <c r="G57" s="16" t="s">
        <v>22</v>
      </c>
      <c r="H57" s="16" t="s">
        <v>23</v>
      </c>
      <c r="I57" s="7" t="s">
        <v>42</v>
      </c>
    </row>
    <row r="58" spans="1:18" s="13" customFormat="1" ht="16" x14ac:dyDescent="0.2">
      <c r="A58" s="10" t="s">
        <v>108</v>
      </c>
      <c r="B58" s="13" t="s">
        <v>109</v>
      </c>
      <c r="C58" s="13">
        <v>60</v>
      </c>
      <c r="D58" s="13" t="s">
        <v>21</v>
      </c>
      <c r="E58" s="13" t="s">
        <v>110</v>
      </c>
      <c r="G58" s="13" t="s">
        <v>111</v>
      </c>
      <c r="H58" s="13" t="s">
        <v>23</v>
      </c>
      <c r="I58" s="7" t="s">
        <v>58</v>
      </c>
      <c r="K58" s="13" t="s">
        <v>112</v>
      </c>
      <c r="M58" s="13" t="s">
        <v>37</v>
      </c>
      <c r="N58" s="13" t="s">
        <v>37</v>
      </c>
    </row>
    <row r="59" spans="1:18" ht="16" x14ac:dyDescent="0.2">
      <c r="A59" s="14" t="s">
        <v>113</v>
      </c>
      <c r="B59" s="7" t="s">
        <v>114</v>
      </c>
      <c r="C59" s="7">
        <v>60</v>
      </c>
      <c r="D59" s="7" t="s">
        <v>21</v>
      </c>
      <c r="E59" s="7" t="s">
        <v>110</v>
      </c>
      <c r="G59" s="7" t="s">
        <v>111</v>
      </c>
      <c r="H59" s="7" t="s">
        <v>23</v>
      </c>
      <c r="I59" s="7" t="s">
        <v>58</v>
      </c>
      <c r="K59" s="13" t="s">
        <v>112</v>
      </c>
      <c r="O59" s="7" t="s">
        <v>37</v>
      </c>
    </row>
    <row r="60" spans="1:18" s="16" customFormat="1" ht="16" x14ac:dyDescent="0.2">
      <c r="A60" s="15" t="s">
        <v>115</v>
      </c>
      <c r="B60" s="16" t="s">
        <v>114</v>
      </c>
      <c r="C60" s="16">
        <v>60</v>
      </c>
      <c r="D60" s="16" t="s">
        <v>21</v>
      </c>
      <c r="E60" s="16" t="s">
        <v>110</v>
      </c>
      <c r="G60" s="16" t="s">
        <v>111</v>
      </c>
      <c r="H60" s="16" t="s">
        <v>23</v>
      </c>
      <c r="I60" s="7" t="s">
        <v>58</v>
      </c>
      <c r="K60" s="13" t="s">
        <v>112</v>
      </c>
    </row>
    <row r="61" spans="1:18" s="13" customFormat="1" ht="16" x14ac:dyDescent="0.2">
      <c r="A61" s="10" t="s">
        <v>116</v>
      </c>
      <c r="B61" s="13" t="s">
        <v>117</v>
      </c>
      <c r="C61" s="13">
        <v>100</v>
      </c>
      <c r="D61" s="13" t="s">
        <v>21</v>
      </c>
      <c r="E61" s="13" t="s">
        <v>110</v>
      </c>
      <c r="G61" s="13" t="s">
        <v>111</v>
      </c>
      <c r="H61" s="13" t="s">
        <v>23</v>
      </c>
      <c r="I61" s="7" t="s">
        <v>58</v>
      </c>
      <c r="J61" s="13" t="s">
        <v>25</v>
      </c>
      <c r="K61" s="13" t="s">
        <v>112</v>
      </c>
    </row>
    <row r="62" spans="1:18" ht="16" x14ac:dyDescent="0.2">
      <c r="A62" s="14" t="s">
        <v>118</v>
      </c>
      <c r="B62" s="7" t="s">
        <v>117</v>
      </c>
      <c r="C62" s="7">
        <v>100</v>
      </c>
      <c r="D62" s="7" t="s">
        <v>21</v>
      </c>
      <c r="E62" s="7" t="s">
        <v>110</v>
      </c>
      <c r="G62" s="7" t="s">
        <v>111</v>
      </c>
      <c r="H62" s="7" t="s">
        <v>23</v>
      </c>
      <c r="I62" s="7" t="s">
        <v>58</v>
      </c>
      <c r="J62" s="7" t="s">
        <v>25</v>
      </c>
      <c r="K62" s="13" t="s">
        <v>112</v>
      </c>
    </row>
    <row r="63" spans="1:18" s="16" customFormat="1" ht="16" x14ac:dyDescent="0.2">
      <c r="A63" s="15" t="s">
        <v>119</v>
      </c>
      <c r="B63" s="16" t="s">
        <v>117</v>
      </c>
      <c r="C63" s="16">
        <v>100</v>
      </c>
      <c r="D63" s="16" t="s">
        <v>21</v>
      </c>
      <c r="E63" s="16" t="s">
        <v>110</v>
      </c>
      <c r="G63" s="16" t="s">
        <v>111</v>
      </c>
      <c r="H63" s="16" t="s">
        <v>23</v>
      </c>
      <c r="I63" s="7" t="s">
        <v>58</v>
      </c>
      <c r="J63" s="16" t="s">
        <v>25</v>
      </c>
      <c r="K63" s="13" t="s">
        <v>112</v>
      </c>
    </row>
    <row r="64" spans="1:18" s="17" customFormat="1" ht="16" x14ac:dyDescent="0.2">
      <c r="A64" s="9" t="s">
        <v>120</v>
      </c>
      <c r="B64" s="17" t="s">
        <v>121</v>
      </c>
      <c r="C64" s="17">
        <v>60</v>
      </c>
      <c r="D64" s="17" t="s">
        <v>21</v>
      </c>
      <c r="E64" s="17" t="s">
        <v>110</v>
      </c>
      <c r="G64" s="17" t="s">
        <v>122</v>
      </c>
      <c r="H64" s="17" t="s">
        <v>23</v>
      </c>
      <c r="I64" s="7" t="s">
        <v>58</v>
      </c>
      <c r="J64" s="17" t="s">
        <v>25</v>
      </c>
      <c r="K64" s="13" t="s">
        <v>112</v>
      </c>
    </row>
    <row r="65" spans="1:19" s="17" customFormat="1" ht="16" x14ac:dyDescent="0.2">
      <c r="A65" s="9" t="s">
        <v>123</v>
      </c>
      <c r="B65" s="17" t="s">
        <v>124</v>
      </c>
      <c r="C65" s="17">
        <v>100</v>
      </c>
      <c r="D65" s="17" t="s">
        <v>21</v>
      </c>
      <c r="E65" s="17" t="s">
        <v>110</v>
      </c>
      <c r="G65" s="17" t="s">
        <v>122</v>
      </c>
      <c r="H65" s="17" t="s">
        <v>23</v>
      </c>
      <c r="I65" s="7" t="s">
        <v>58</v>
      </c>
      <c r="J65" s="17" t="s">
        <v>25</v>
      </c>
      <c r="K65" s="13" t="s">
        <v>112</v>
      </c>
    </row>
    <row r="66" spans="1:19" s="13" customFormat="1" ht="16" x14ac:dyDescent="0.2">
      <c r="A66" s="10" t="s">
        <v>125</v>
      </c>
      <c r="B66" s="13" t="s">
        <v>126</v>
      </c>
      <c r="C66" s="13">
        <v>500</v>
      </c>
      <c r="D66" s="13" t="s">
        <v>21</v>
      </c>
      <c r="E66" s="13" t="s">
        <v>110</v>
      </c>
      <c r="G66" s="13" t="s">
        <v>122</v>
      </c>
      <c r="H66" s="13" t="s">
        <v>23</v>
      </c>
      <c r="I66" s="7" t="s">
        <v>58</v>
      </c>
      <c r="J66" s="13" t="s">
        <v>48</v>
      </c>
      <c r="K66" s="13" t="s">
        <v>112</v>
      </c>
    </row>
    <row r="67" spans="1:19" ht="16" x14ac:dyDescent="0.2">
      <c r="A67" s="14" t="s">
        <v>127</v>
      </c>
      <c r="B67" s="7" t="s">
        <v>126</v>
      </c>
      <c r="C67" s="7">
        <v>500</v>
      </c>
      <c r="D67" s="7" t="s">
        <v>21</v>
      </c>
      <c r="E67" s="7" t="s">
        <v>110</v>
      </c>
      <c r="G67" s="7" t="s">
        <v>122</v>
      </c>
      <c r="H67" s="7" t="s">
        <v>23</v>
      </c>
      <c r="I67" s="7" t="s">
        <v>58</v>
      </c>
      <c r="J67" s="7" t="s">
        <v>25</v>
      </c>
      <c r="K67" s="13" t="s">
        <v>112</v>
      </c>
    </row>
    <row r="68" spans="1:19" s="16" customFormat="1" ht="16" x14ac:dyDescent="0.2">
      <c r="A68" s="15" t="s">
        <v>128</v>
      </c>
      <c r="B68" s="16" t="s">
        <v>126</v>
      </c>
      <c r="C68" s="16">
        <v>500</v>
      </c>
      <c r="D68" s="16" t="s">
        <v>21</v>
      </c>
      <c r="E68" s="16" t="s">
        <v>110</v>
      </c>
      <c r="G68" s="16" t="s">
        <v>122</v>
      </c>
      <c r="H68" s="16" t="s">
        <v>23</v>
      </c>
      <c r="I68" s="7" t="s">
        <v>58</v>
      </c>
      <c r="J68" s="16" t="s">
        <v>25</v>
      </c>
      <c r="K68" s="13" t="s">
        <v>112</v>
      </c>
    </row>
    <row r="69" spans="1:19" s="13" customFormat="1" ht="16" x14ac:dyDescent="0.2">
      <c r="A69" s="10" t="s">
        <v>129</v>
      </c>
      <c r="B69" s="13" t="s">
        <v>130</v>
      </c>
      <c r="C69" s="13">
        <v>60</v>
      </c>
      <c r="D69" s="13" t="s">
        <v>21</v>
      </c>
      <c r="E69" s="13" t="s">
        <v>110</v>
      </c>
      <c r="G69" s="13" t="s">
        <v>122</v>
      </c>
      <c r="H69" s="13" t="s">
        <v>23</v>
      </c>
      <c r="I69" s="7" t="s">
        <v>58</v>
      </c>
      <c r="J69" s="13" t="s">
        <v>25</v>
      </c>
      <c r="K69" s="13" t="s">
        <v>112</v>
      </c>
      <c r="S69" s="13" t="s">
        <v>28</v>
      </c>
    </row>
    <row r="70" spans="1:19" ht="16" x14ac:dyDescent="0.2">
      <c r="A70" s="14" t="s">
        <v>131</v>
      </c>
      <c r="B70" s="7" t="s">
        <v>130</v>
      </c>
      <c r="C70" s="7">
        <v>60</v>
      </c>
      <c r="D70" s="7" t="s">
        <v>21</v>
      </c>
      <c r="E70" s="7" t="s">
        <v>110</v>
      </c>
      <c r="G70" s="7" t="s">
        <v>122</v>
      </c>
      <c r="H70" s="7" t="s">
        <v>23</v>
      </c>
      <c r="I70" s="7" t="s">
        <v>58</v>
      </c>
      <c r="K70" s="13" t="s">
        <v>112</v>
      </c>
    </row>
    <row r="71" spans="1:19" s="16" customFormat="1" ht="16" x14ac:dyDescent="0.2">
      <c r="A71" s="15" t="s">
        <v>132</v>
      </c>
      <c r="B71" s="16" t="s">
        <v>130</v>
      </c>
      <c r="C71" s="16">
        <v>60</v>
      </c>
      <c r="D71" s="16" t="s">
        <v>21</v>
      </c>
      <c r="E71" s="16" t="s">
        <v>110</v>
      </c>
      <c r="G71" s="16" t="s">
        <v>122</v>
      </c>
      <c r="H71" s="16" t="s">
        <v>23</v>
      </c>
      <c r="I71" s="7" t="s">
        <v>58</v>
      </c>
      <c r="K71" s="13" t="s">
        <v>112</v>
      </c>
    </row>
    <row r="72" spans="1:19" s="13" customFormat="1" ht="16" x14ac:dyDescent="0.2">
      <c r="A72" s="10" t="s">
        <v>133</v>
      </c>
      <c r="B72" s="13" t="s">
        <v>134</v>
      </c>
      <c r="C72" s="13">
        <v>60</v>
      </c>
      <c r="D72" s="13" t="s">
        <v>21</v>
      </c>
      <c r="E72" s="13" t="s">
        <v>110</v>
      </c>
      <c r="G72" s="13" t="s">
        <v>122</v>
      </c>
      <c r="H72" s="13" t="s">
        <v>23</v>
      </c>
      <c r="I72" s="7" t="s">
        <v>58</v>
      </c>
      <c r="K72" s="13" t="s">
        <v>112</v>
      </c>
    </row>
    <row r="73" spans="1:19" ht="16" x14ac:dyDescent="0.2">
      <c r="A73" s="14" t="s">
        <v>135</v>
      </c>
      <c r="B73" s="7" t="s">
        <v>134</v>
      </c>
      <c r="C73" s="7">
        <v>60</v>
      </c>
      <c r="D73" s="7" t="s">
        <v>21</v>
      </c>
      <c r="E73" s="7" t="s">
        <v>110</v>
      </c>
      <c r="G73" s="7" t="s">
        <v>122</v>
      </c>
      <c r="H73" s="7" t="s">
        <v>23</v>
      </c>
      <c r="I73" s="7" t="s">
        <v>58</v>
      </c>
      <c r="J73" s="7" t="s">
        <v>25</v>
      </c>
      <c r="K73" s="13" t="s">
        <v>112</v>
      </c>
      <c r="M73" s="7" t="s">
        <v>28</v>
      </c>
    </row>
    <row r="74" spans="1:19" s="16" customFormat="1" ht="16" x14ac:dyDescent="0.2">
      <c r="A74" s="15" t="s">
        <v>136</v>
      </c>
      <c r="B74" s="16" t="s">
        <v>134</v>
      </c>
      <c r="C74" s="16">
        <v>60</v>
      </c>
      <c r="D74" s="16" t="s">
        <v>21</v>
      </c>
      <c r="E74" s="16" t="s">
        <v>110</v>
      </c>
      <c r="G74" s="16" t="s">
        <v>122</v>
      </c>
      <c r="H74" s="16" t="s">
        <v>23</v>
      </c>
      <c r="I74" s="7" t="s">
        <v>58</v>
      </c>
      <c r="K74" s="13" t="s">
        <v>112</v>
      </c>
    </row>
    <row r="75" spans="1:19" s="13" customFormat="1" ht="16" x14ac:dyDescent="0.2">
      <c r="A75" s="10" t="s">
        <v>137</v>
      </c>
      <c r="B75" s="13" t="s">
        <v>138</v>
      </c>
      <c r="C75" s="13">
        <v>60</v>
      </c>
      <c r="D75" s="13" t="s">
        <v>21</v>
      </c>
      <c r="E75" s="13" t="s">
        <v>110</v>
      </c>
      <c r="G75" s="13" t="s">
        <v>111</v>
      </c>
      <c r="H75" s="13" t="s">
        <v>23</v>
      </c>
      <c r="I75" s="7" t="s">
        <v>58</v>
      </c>
      <c r="J75" s="13" t="s">
        <v>25</v>
      </c>
      <c r="K75" s="13" t="s">
        <v>112</v>
      </c>
      <c r="M75" s="13" t="s">
        <v>28</v>
      </c>
    </row>
    <row r="76" spans="1:19" ht="16" x14ac:dyDescent="0.2">
      <c r="A76" s="14" t="s">
        <v>139</v>
      </c>
      <c r="B76" s="7" t="s">
        <v>140</v>
      </c>
      <c r="C76" s="7">
        <v>60</v>
      </c>
      <c r="D76" s="7" t="s">
        <v>21</v>
      </c>
      <c r="E76" s="7" t="s">
        <v>110</v>
      </c>
      <c r="G76" s="7" t="s">
        <v>111</v>
      </c>
      <c r="H76" s="7" t="s">
        <v>23</v>
      </c>
      <c r="I76" s="7" t="s">
        <v>58</v>
      </c>
      <c r="J76" s="7" t="s">
        <v>25</v>
      </c>
      <c r="K76" s="13" t="s">
        <v>112</v>
      </c>
      <c r="M76" s="7" t="s">
        <v>28</v>
      </c>
    </row>
    <row r="77" spans="1:19" s="16" customFormat="1" ht="16" x14ac:dyDescent="0.2">
      <c r="A77" s="15" t="s">
        <v>141</v>
      </c>
      <c r="B77" s="16" t="s">
        <v>140</v>
      </c>
      <c r="C77" s="16">
        <v>60</v>
      </c>
      <c r="D77" s="16" t="s">
        <v>21</v>
      </c>
      <c r="E77" s="16" t="s">
        <v>110</v>
      </c>
      <c r="G77" s="16" t="s">
        <v>111</v>
      </c>
      <c r="H77" s="16" t="s">
        <v>23</v>
      </c>
      <c r="I77" s="7" t="s">
        <v>58</v>
      </c>
      <c r="K77" s="13" t="s">
        <v>112</v>
      </c>
    </row>
    <row r="78" spans="1:19" s="13" customFormat="1" ht="16" x14ac:dyDescent="0.2">
      <c r="A78" s="10" t="s">
        <v>142</v>
      </c>
      <c r="B78" s="13" t="s">
        <v>143</v>
      </c>
      <c r="C78" s="13">
        <v>60</v>
      </c>
      <c r="D78" s="13" t="s">
        <v>21</v>
      </c>
      <c r="E78" s="13" t="s">
        <v>110</v>
      </c>
      <c r="G78" s="13" t="s">
        <v>122</v>
      </c>
      <c r="H78" s="13" t="s">
        <v>23</v>
      </c>
      <c r="I78" s="7" t="s">
        <v>58</v>
      </c>
      <c r="K78" s="13" t="s">
        <v>112</v>
      </c>
    </row>
    <row r="79" spans="1:19" ht="16" x14ac:dyDescent="0.2">
      <c r="A79" s="14" t="s">
        <v>144</v>
      </c>
      <c r="B79" s="7" t="s">
        <v>143</v>
      </c>
      <c r="C79" s="7">
        <v>60</v>
      </c>
      <c r="D79" s="7" t="s">
        <v>21</v>
      </c>
      <c r="E79" s="7" t="s">
        <v>110</v>
      </c>
      <c r="G79" s="7" t="s">
        <v>122</v>
      </c>
      <c r="H79" s="7" t="s">
        <v>23</v>
      </c>
      <c r="I79" s="7" t="s">
        <v>58</v>
      </c>
      <c r="K79" s="13" t="s">
        <v>112</v>
      </c>
    </row>
    <row r="80" spans="1:19" s="16" customFormat="1" ht="16" x14ac:dyDescent="0.2">
      <c r="A80" s="15" t="s">
        <v>145</v>
      </c>
      <c r="B80" s="16" t="s">
        <v>143</v>
      </c>
      <c r="C80" s="16">
        <v>60</v>
      </c>
      <c r="D80" s="16" t="s">
        <v>21</v>
      </c>
      <c r="E80" s="16" t="s">
        <v>110</v>
      </c>
      <c r="G80" s="16" t="s">
        <v>122</v>
      </c>
      <c r="H80" s="16" t="s">
        <v>23</v>
      </c>
      <c r="I80" s="7" t="s">
        <v>58</v>
      </c>
      <c r="K80" s="13" t="s">
        <v>112</v>
      </c>
    </row>
    <row r="81" spans="1:15" s="13" customFormat="1" ht="16" x14ac:dyDescent="0.2">
      <c r="A81" s="10" t="s">
        <v>146</v>
      </c>
      <c r="B81" s="13" t="s">
        <v>147</v>
      </c>
      <c r="C81" s="13">
        <v>60</v>
      </c>
      <c r="D81" s="13" t="s">
        <v>21</v>
      </c>
      <c r="E81" s="13" t="s">
        <v>110</v>
      </c>
      <c r="G81" s="13" t="s">
        <v>111</v>
      </c>
      <c r="H81" s="13" t="s">
        <v>23</v>
      </c>
      <c r="I81" s="7" t="s">
        <v>58</v>
      </c>
      <c r="K81" s="13" t="s">
        <v>112</v>
      </c>
    </row>
    <row r="82" spans="1:15" ht="16" x14ac:dyDescent="0.2">
      <c r="A82" s="14" t="s">
        <v>148</v>
      </c>
      <c r="B82" s="7" t="s">
        <v>149</v>
      </c>
      <c r="C82" s="7">
        <v>60</v>
      </c>
      <c r="D82" s="7" t="s">
        <v>21</v>
      </c>
      <c r="E82" s="7" t="s">
        <v>110</v>
      </c>
      <c r="G82" s="7" t="s">
        <v>111</v>
      </c>
      <c r="H82" s="7" t="s">
        <v>23</v>
      </c>
      <c r="I82" s="7" t="s">
        <v>58</v>
      </c>
      <c r="K82" s="13" t="s">
        <v>112</v>
      </c>
    </row>
    <row r="83" spans="1:15" s="16" customFormat="1" ht="16" x14ac:dyDescent="0.2">
      <c r="A83" s="15" t="s">
        <v>150</v>
      </c>
      <c r="B83" s="16" t="s">
        <v>149</v>
      </c>
      <c r="C83" s="16">
        <v>60</v>
      </c>
      <c r="D83" s="16" t="s">
        <v>21</v>
      </c>
      <c r="E83" s="16" t="s">
        <v>110</v>
      </c>
      <c r="G83" s="16" t="s">
        <v>111</v>
      </c>
      <c r="H83" s="16" t="s">
        <v>23</v>
      </c>
      <c r="I83" s="7" t="s">
        <v>58</v>
      </c>
      <c r="K83" s="13" t="s">
        <v>112</v>
      </c>
    </row>
    <row r="84" spans="1:15" s="13" customFormat="1" ht="16" x14ac:dyDescent="0.2">
      <c r="A84" s="10" t="s">
        <v>151</v>
      </c>
      <c r="B84" s="13" t="s">
        <v>152</v>
      </c>
      <c r="C84" s="13">
        <v>60</v>
      </c>
      <c r="D84" s="13" t="s">
        <v>21</v>
      </c>
      <c r="E84" s="13" t="s">
        <v>110</v>
      </c>
      <c r="G84" s="13" t="s">
        <v>122</v>
      </c>
      <c r="H84" s="13" t="s">
        <v>23</v>
      </c>
      <c r="I84" s="7" t="s">
        <v>58</v>
      </c>
      <c r="K84" s="13" t="s">
        <v>112</v>
      </c>
    </row>
    <row r="85" spans="1:15" ht="16" x14ac:dyDescent="0.2">
      <c r="A85" s="14" t="s">
        <v>153</v>
      </c>
      <c r="B85" s="7" t="s">
        <v>152</v>
      </c>
      <c r="C85" s="7">
        <v>60</v>
      </c>
      <c r="D85" s="7" t="s">
        <v>21</v>
      </c>
      <c r="E85" s="7" t="s">
        <v>110</v>
      </c>
      <c r="G85" s="7" t="s">
        <v>122</v>
      </c>
      <c r="H85" s="7" t="s">
        <v>23</v>
      </c>
      <c r="I85" s="7" t="s">
        <v>58</v>
      </c>
      <c r="J85" s="7" t="s">
        <v>25</v>
      </c>
      <c r="K85" s="13" t="s">
        <v>112</v>
      </c>
      <c r="M85" s="7" t="s">
        <v>28</v>
      </c>
    </row>
    <row r="86" spans="1:15" s="16" customFormat="1" ht="16" x14ac:dyDescent="0.2">
      <c r="A86" s="15" t="s">
        <v>154</v>
      </c>
      <c r="B86" s="16" t="s">
        <v>152</v>
      </c>
      <c r="C86" s="16">
        <v>60</v>
      </c>
      <c r="D86" s="16" t="s">
        <v>21</v>
      </c>
      <c r="E86" s="16" t="s">
        <v>110</v>
      </c>
      <c r="G86" s="16" t="s">
        <v>122</v>
      </c>
      <c r="H86" s="16" t="s">
        <v>23</v>
      </c>
      <c r="I86" s="7" t="s">
        <v>58</v>
      </c>
      <c r="K86" s="13" t="s">
        <v>112</v>
      </c>
    </row>
    <row r="87" spans="1:15" s="13" customFormat="1" ht="16" x14ac:dyDescent="0.2">
      <c r="A87" s="10" t="s">
        <v>155</v>
      </c>
      <c r="B87" s="13" t="s">
        <v>156</v>
      </c>
      <c r="C87" s="13">
        <v>60</v>
      </c>
      <c r="D87" s="13" t="s">
        <v>21</v>
      </c>
      <c r="E87" s="13" t="s">
        <v>110</v>
      </c>
      <c r="G87" s="13" t="s">
        <v>111</v>
      </c>
      <c r="H87" s="13" t="s">
        <v>23</v>
      </c>
      <c r="I87" s="7" t="s">
        <v>58</v>
      </c>
      <c r="K87" s="13" t="s">
        <v>112</v>
      </c>
    </row>
    <row r="88" spans="1:15" ht="16" x14ac:dyDescent="0.2">
      <c r="A88" s="14" t="s">
        <v>157</v>
      </c>
      <c r="B88" s="7" t="s">
        <v>158</v>
      </c>
      <c r="C88" s="7">
        <v>60</v>
      </c>
      <c r="D88" s="7" t="s">
        <v>21</v>
      </c>
      <c r="E88" s="7" t="s">
        <v>110</v>
      </c>
      <c r="G88" s="7" t="s">
        <v>111</v>
      </c>
      <c r="H88" s="7" t="s">
        <v>23</v>
      </c>
      <c r="I88" s="7" t="s">
        <v>58</v>
      </c>
      <c r="K88" s="13" t="s">
        <v>112</v>
      </c>
    </row>
    <row r="89" spans="1:15" s="16" customFormat="1" ht="16" x14ac:dyDescent="0.2">
      <c r="A89" s="15" t="s">
        <v>159</v>
      </c>
      <c r="B89" s="16" t="s">
        <v>158</v>
      </c>
      <c r="C89" s="16">
        <v>60</v>
      </c>
      <c r="D89" s="16" t="s">
        <v>21</v>
      </c>
      <c r="E89" s="16" t="s">
        <v>110</v>
      </c>
      <c r="G89" s="16" t="s">
        <v>111</v>
      </c>
      <c r="H89" s="16" t="s">
        <v>23</v>
      </c>
      <c r="I89" s="7" t="s">
        <v>58</v>
      </c>
      <c r="K89" s="13" t="s">
        <v>112</v>
      </c>
    </row>
    <row r="90" spans="1:15" s="13" customFormat="1" ht="16" x14ac:dyDescent="0.2">
      <c r="A90" s="10" t="s">
        <v>160</v>
      </c>
      <c r="B90" s="13" t="s">
        <v>161</v>
      </c>
      <c r="C90" s="13">
        <v>60</v>
      </c>
      <c r="D90" s="13" t="s">
        <v>21</v>
      </c>
      <c r="E90" s="13" t="s">
        <v>162</v>
      </c>
      <c r="G90" s="13" t="s">
        <v>163</v>
      </c>
      <c r="H90" s="13" t="s">
        <v>23</v>
      </c>
      <c r="I90" s="7" t="s">
        <v>24</v>
      </c>
      <c r="K90" s="13" t="s">
        <v>26</v>
      </c>
      <c r="N90" s="13" t="s">
        <v>37</v>
      </c>
    </row>
    <row r="91" spans="1:15" ht="16" x14ac:dyDescent="0.2">
      <c r="A91" s="14" t="s">
        <v>164</v>
      </c>
      <c r="B91" s="7" t="s">
        <v>161</v>
      </c>
      <c r="C91" s="7">
        <v>60</v>
      </c>
      <c r="D91" s="7" t="s">
        <v>21</v>
      </c>
      <c r="E91" s="7" t="s">
        <v>162</v>
      </c>
      <c r="G91" s="7" t="s">
        <v>163</v>
      </c>
      <c r="H91" s="7" t="s">
        <v>23</v>
      </c>
      <c r="I91" s="7" t="s">
        <v>31</v>
      </c>
    </row>
    <row r="92" spans="1:15" s="16" customFormat="1" ht="16" x14ac:dyDescent="0.2">
      <c r="A92" s="15" t="s">
        <v>165</v>
      </c>
      <c r="B92" s="16" t="s">
        <v>161</v>
      </c>
      <c r="C92" s="16">
        <v>60</v>
      </c>
      <c r="D92" s="16" t="s">
        <v>21</v>
      </c>
      <c r="E92" s="16" t="s">
        <v>162</v>
      </c>
      <c r="G92" s="16" t="s">
        <v>163</v>
      </c>
      <c r="H92" s="16" t="s">
        <v>23</v>
      </c>
      <c r="I92" s="7" t="s">
        <v>24</v>
      </c>
      <c r="K92" s="16" t="s">
        <v>166</v>
      </c>
      <c r="N92" s="16" t="s">
        <v>37</v>
      </c>
    </row>
    <row r="93" spans="1:15" s="13" customFormat="1" ht="16" x14ac:dyDescent="0.2">
      <c r="A93" s="10" t="s">
        <v>167</v>
      </c>
      <c r="B93" s="13" t="s">
        <v>161</v>
      </c>
      <c r="C93" s="13">
        <v>60</v>
      </c>
      <c r="D93" s="13" t="s">
        <v>21</v>
      </c>
      <c r="E93" s="13" t="s">
        <v>162</v>
      </c>
      <c r="G93" s="13" t="s">
        <v>163</v>
      </c>
      <c r="H93" s="13" t="s">
        <v>23</v>
      </c>
      <c r="I93" s="7"/>
      <c r="K93" s="13" t="s">
        <v>32</v>
      </c>
      <c r="O93" s="13" t="s">
        <v>37</v>
      </c>
    </row>
    <row r="94" spans="1:15" ht="16" x14ac:dyDescent="0.2">
      <c r="A94" s="14" t="s">
        <v>168</v>
      </c>
      <c r="B94" s="7" t="s">
        <v>161</v>
      </c>
      <c r="C94" s="7">
        <v>60</v>
      </c>
      <c r="D94" s="7" t="s">
        <v>21</v>
      </c>
      <c r="E94" s="7" t="s">
        <v>162</v>
      </c>
      <c r="G94" s="7" t="s">
        <v>163</v>
      </c>
      <c r="H94" s="7" t="s">
        <v>23</v>
      </c>
      <c r="I94" s="7" t="s">
        <v>31</v>
      </c>
      <c r="K94" s="7" t="s">
        <v>32</v>
      </c>
      <c r="O94" s="7" t="s">
        <v>37</v>
      </c>
    </row>
    <row r="95" spans="1:15" s="16" customFormat="1" ht="16" x14ac:dyDescent="0.2">
      <c r="A95" s="15" t="s">
        <v>169</v>
      </c>
      <c r="B95" s="16" t="s">
        <v>161</v>
      </c>
      <c r="C95" s="16">
        <v>60</v>
      </c>
      <c r="D95" s="16" t="s">
        <v>21</v>
      </c>
      <c r="E95" s="16" t="s">
        <v>162</v>
      </c>
      <c r="G95" s="16" t="s">
        <v>163</v>
      </c>
      <c r="H95" s="16" t="s">
        <v>23</v>
      </c>
      <c r="I95" s="7" t="s">
        <v>24</v>
      </c>
      <c r="K95" s="16" t="s">
        <v>26</v>
      </c>
      <c r="M95" s="16" t="s">
        <v>37</v>
      </c>
      <c r="N95" s="16" t="s">
        <v>37</v>
      </c>
    </row>
    <row r="96" spans="1:15" s="13" customFormat="1" ht="16" x14ac:dyDescent="0.2">
      <c r="A96" s="10" t="s">
        <v>170</v>
      </c>
      <c r="B96" s="13" t="s">
        <v>171</v>
      </c>
      <c r="C96" s="13">
        <v>60</v>
      </c>
      <c r="D96" s="13" t="s">
        <v>21</v>
      </c>
      <c r="E96" s="13" t="s">
        <v>172</v>
      </c>
      <c r="G96" s="13" t="s">
        <v>173</v>
      </c>
      <c r="H96" s="13" t="s">
        <v>23</v>
      </c>
      <c r="I96" s="7" t="s">
        <v>58</v>
      </c>
    </row>
    <row r="97" spans="1:13" ht="16" x14ac:dyDescent="0.2">
      <c r="A97" s="14" t="s">
        <v>174</v>
      </c>
      <c r="B97" s="7" t="s">
        <v>175</v>
      </c>
      <c r="C97" s="7">
        <v>60</v>
      </c>
      <c r="D97" s="7" t="s">
        <v>21</v>
      </c>
      <c r="E97" s="7" t="s">
        <v>172</v>
      </c>
      <c r="G97" s="7" t="s">
        <v>173</v>
      </c>
      <c r="H97" s="7" t="s">
        <v>23</v>
      </c>
      <c r="I97" s="7" t="s">
        <v>58</v>
      </c>
    </row>
    <row r="98" spans="1:13" s="16" customFormat="1" ht="16" x14ac:dyDescent="0.2">
      <c r="A98" s="15" t="s">
        <v>176</v>
      </c>
      <c r="B98" s="16" t="s">
        <v>177</v>
      </c>
      <c r="C98" s="16">
        <v>60</v>
      </c>
      <c r="D98" s="16" t="s">
        <v>21</v>
      </c>
      <c r="E98" s="16" t="s">
        <v>172</v>
      </c>
      <c r="G98" s="16" t="s">
        <v>173</v>
      </c>
      <c r="H98" s="16" t="s">
        <v>23</v>
      </c>
      <c r="I98" s="7" t="s">
        <v>35</v>
      </c>
      <c r="J98" s="16" t="s">
        <v>25</v>
      </c>
      <c r="M98" s="16" t="s">
        <v>28</v>
      </c>
    </row>
    <row r="99" spans="1:13" s="13" customFormat="1" ht="16" x14ac:dyDescent="0.2">
      <c r="A99" s="10" t="s">
        <v>178</v>
      </c>
      <c r="B99" s="13" t="s">
        <v>177</v>
      </c>
      <c r="C99" s="13">
        <v>60</v>
      </c>
      <c r="D99" s="13" t="s">
        <v>21</v>
      </c>
      <c r="E99" s="13" t="s">
        <v>172</v>
      </c>
      <c r="G99" s="13" t="s">
        <v>173</v>
      </c>
      <c r="H99" s="13" t="s">
        <v>23</v>
      </c>
      <c r="I99" s="7" t="s">
        <v>35</v>
      </c>
      <c r="L99" s="13" t="s">
        <v>179</v>
      </c>
    </row>
    <row r="100" spans="1:13" s="16" customFormat="1" ht="16" x14ac:dyDescent="0.2">
      <c r="A100" s="15" t="s">
        <v>180</v>
      </c>
      <c r="B100" s="16" t="s">
        <v>177</v>
      </c>
      <c r="C100" s="16">
        <v>60</v>
      </c>
      <c r="D100" s="16" t="s">
        <v>21</v>
      </c>
      <c r="E100" s="16" t="s">
        <v>172</v>
      </c>
      <c r="G100" s="16" t="s">
        <v>173</v>
      </c>
      <c r="H100" s="16" t="s">
        <v>23</v>
      </c>
      <c r="I100" s="7" t="s">
        <v>35</v>
      </c>
      <c r="J100" s="16" t="s">
        <v>25</v>
      </c>
      <c r="M100" s="16" t="s">
        <v>28</v>
      </c>
    </row>
    <row r="101" spans="1:13" s="13" customFormat="1" ht="16" x14ac:dyDescent="0.2">
      <c r="A101" s="10" t="s">
        <v>181</v>
      </c>
      <c r="B101" s="13" t="s">
        <v>182</v>
      </c>
      <c r="C101" s="13">
        <v>60</v>
      </c>
      <c r="D101" s="13" t="s">
        <v>21</v>
      </c>
      <c r="E101" s="13" t="s">
        <v>172</v>
      </c>
      <c r="G101" s="13" t="s">
        <v>173</v>
      </c>
      <c r="H101" s="13" t="s">
        <v>23</v>
      </c>
      <c r="I101" s="7" t="s">
        <v>31</v>
      </c>
    </row>
    <row r="102" spans="1:13" ht="16" x14ac:dyDescent="0.2">
      <c r="A102" s="14" t="s">
        <v>183</v>
      </c>
      <c r="B102" s="7" t="s">
        <v>182</v>
      </c>
      <c r="C102" s="7">
        <v>60</v>
      </c>
      <c r="D102" s="7" t="s">
        <v>21</v>
      </c>
      <c r="E102" s="7" t="s">
        <v>172</v>
      </c>
      <c r="G102" s="7" t="s">
        <v>173</v>
      </c>
      <c r="H102" s="7" t="s">
        <v>23</v>
      </c>
      <c r="I102" s="7" t="s">
        <v>31</v>
      </c>
    </row>
    <row r="103" spans="1:13" s="16" customFormat="1" ht="16" x14ac:dyDescent="0.2">
      <c r="A103" s="15" t="s">
        <v>184</v>
      </c>
      <c r="B103" s="16" t="s">
        <v>182</v>
      </c>
      <c r="C103" s="16">
        <v>60</v>
      </c>
      <c r="D103" s="16" t="s">
        <v>21</v>
      </c>
      <c r="E103" s="16" t="s">
        <v>172</v>
      </c>
      <c r="G103" s="16" t="s">
        <v>173</v>
      </c>
      <c r="H103" s="16" t="s">
        <v>23</v>
      </c>
      <c r="I103" s="7" t="s">
        <v>185</v>
      </c>
    </row>
    <row r="104" spans="1:13" s="13" customFormat="1" ht="16" x14ac:dyDescent="0.2">
      <c r="A104" s="10" t="s">
        <v>186</v>
      </c>
      <c r="B104" s="13" t="s">
        <v>187</v>
      </c>
      <c r="C104" s="13">
        <v>60</v>
      </c>
      <c r="D104" s="13" t="s">
        <v>21</v>
      </c>
      <c r="E104" s="13" t="s">
        <v>172</v>
      </c>
      <c r="G104" s="13" t="s">
        <v>188</v>
      </c>
      <c r="H104" s="13" t="s">
        <v>23</v>
      </c>
      <c r="I104" s="7" t="s">
        <v>35</v>
      </c>
      <c r="J104" s="13" t="s">
        <v>25</v>
      </c>
      <c r="M104" s="13" t="s">
        <v>28</v>
      </c>
    </row>
    <row r="105" spans="1:13" ht="16" x14ac:dyDescent="0.2">
      <c r="A105" s="14" t="s">
        <v>189</v>
      </c>
      <c r="B105" s="7" t="s">
        <v>190</v>
      </c>
      <c r="C105" s="7">
        <v>60</v>
      </c>
      <c r="D105" s="7" t="s">
        <v>21</v>
      </c>
      <c r="E105" s="7" t="s">
        <v>172</v>
      </c>
      <c r="G105" s="7" t="s">
        <v>188</v>
      </c>
      <c r="H105" s="7" t="s">
        <v>23</v>
      </c>
      <c r="I105" s="7" t="s">
        <v>58</v>
      </c>
      <c r="J105" s="7" t="s">
        <v>25</v>
      </c>
      <c r="M105" s="7" t="s">
        <v>28</v>
      </c>
    </row>
    <row r="106" spans="1:13" s="16" customFormat="1" ht="16" x14ac:dyDescent="0.2">
      <c r="A106" s="15" t="s">
        <v>191</v>
      </c>
      <c r="B106" s="16" t="s">
        <v>190</v>
      </c>
      <c r="C106" s="16">
        <v>60</v>
      </c>
      <c r="D106" s="16" t="s">
        <v>21</v>
      </c>
      <c r="E106" s="16" t="s">
        <v>172</v>
      </c>
      <c r="G106" s="16" t="s">
        <v>188</v>
      </c>
      <c r="H106" s="16" t="s">
        <v>23</v>
      </c>
      <c r="I106" s="7" t="s">
        <v>58</v>
      </c>
    </row>
    <row r="107" spans="1:13" s="13" customFormat="1" ht="16" x14ac:dyDescent="0.2">
      <c r="A107" s="10" t="s">
        <v>192</v>
      </c>
      <c r="B107" s="13" t="s">
        <v>190</v>
      </c>
      <c r="C107" s="13">
        <v>60</v>
      </c>
      <c r="D107" s="13" t="s">
        <v>21</v>
      </c>
      <c r="E107" s="13" t="s">
        <v>172</v>
      </c>
      <c r="G107" s="13" t="s">
        <v>188</v>
      </c>
      <c r="H107" s="13" t="s">
        <v>23</v>
      </c>
      <c r="I107" s="7" t="s">
        <v>35</v>
      </c>
      <c r="J107" s="13" t="s">
        <v>25</v>
      </c>
      <c r="M107" s="13" t="s">
        <v>28</v>
      </c>
    </row>
    <row r="108" spans="1:13" ht="16" x14ac:dyDescent="0.2">
      <c r="A108" s="14" t="s">
        <v>193</v>
      </c>
      <c r="B108" s="7" t="s">
        <v>190</v>
      </c>
      <c r="C108" s="7">
        <v>60</v>
      </c>
      <c r="D108" s="7" t="s">
        <v>21</v>
      </c>
      <c r="E108" s="7" t="s">
        <v>172</v>
      </c>
      <c r="G108" s="7" t="s">
        <v>188</v>
      </c>
      <c r="H108" s="7" t="s">
        <v>23</v>
      </c>
      <c r="I108" s="7" t="s">
        <v>185</v>
      </c>
    </row>
    <row r="109" spans="1:13" s="16" customFormat="1" ht="16" x14ac:dyDescent="0.2">
      <c r="A109" s="15" t="s">
        <v>194</v>
      </c>
      <c r="B109" s="16" t="s">
        <v>190</v>
      </c>
      <c r="C109" s="16">
        <v>60</v>
      </c>
      <c r="D109" s="16" t="s">
        <v>21</v>
      </c>
      <c r="E109" s="16" t="s">
        <v>172</v>
      </c>
      <c r="G109" s="16" t="s">
        <v>188</v>
      </c>
      <c r="H109" s="16" t="s">
        <v>23</v>
      </c>
      <c r="I109" s="7" t="s">
        <v>185</v>
      </c>
    </row>
    <row r="110" spans="1:13" s="13" customFormat="1" ht="16" x14ac:dyDescent="0.2">
      <c r="A110" s="10" t="s">
        <v>195</v>
      </c>
      <c r="B110" s="13" t="s">
        <v>196</v>
      </c>
      <c r="C110" s="13">
        <v>60</v>
      </c>
      <c r="D110" s="13" t="s">
        <v>21</v>
      </c>
      <c r="E110" s="13" t="s">
        <v>172</v>
      </c>
      <c r="G110" s="13" t="s">
        <v>197</v>
      </c>
      <c r="H110" s="13" t="s">
        <v>23</v>
      </c>
      <c r="I110" s="7" t="s">
        <v>35</v>
      </c>
    </row>
    <row r="111" spans="1:13" ht="16" x14ac:dyDescent="0.2">
      <c r="A111" s="14" t="s">
        <v>198</v>
      </c>
      <c r="B111" s="7" t="s">
        <v>199</v>
      </c>
      <c r="C111" s="7">
        <v>60</v>
      </c>
      <c r="D111" s="7" t="s">
        <v>21</v>
      </c>
      <c r="E111" s="7" t="s">
        <v>172</v>
      </c>
      <c r="G111" s="7" t="s">
        <v>197</v>
      </c>
      <c r="H111" s="7" t="s">
        <v>23</v>
      </c>
      <c r="I111" s="7" t="s">
        <v>185</v>
      </c>
    </row>
    <row r="112" spans="1:13" s="16" customFormat="1" ht="16" x14ac:dyDescent="0.2">
      <c r="A112" s="15" t="s">
        <v>200</v>
      </c>
      <c r="B112" s="16" t="s">
        <v>199</v>
      </c>
      <c r="C112" s="16">
        <v>60</v>
      </c>
      <c r="D112" s="16" t="s">
        <v>21</v>
      </c>
      <c r="E112" s="16" t="s">
        <v>172</v>
      </c>
      <c r="G112" s="16" t="s">
        <v>197</v>
      </c>
      <c r="H112" s="16" t="s">
        <v>23</v>
      </c>
      <c r="I112" s="7" t="s">
        <v>35</v>
      </c>
    </row>
    <row r="113" spans="1:15" s="13" customFormat="1" ht="16" x14ac:dyDescent="0.2">
      <c r="A113" s="10" t="s">
        <v>201</v>
      </c>
      <c r="B113" s="13" t="s">
        <v>199</v>
      </c>
      <c r="C113" s="13">
        <v>60</v>
      </c>
      <c r="D113" s="13" t="s">
        <v>21</v>
      </c>
      <c r="E113" s="13" t="s">
        <v>172</v>
      </c>
      <c r="G113" s="13" t="s">
        <v>197</v>
      </c>
      <c r="H113" s="13" t="s">
        <v>23</v>
      </c>
      <c r="I113" s="7" t="s">
        <v>35</v>
      </c>
      <c r="J113" s="13" t="s">
        <v>25</v>
      </c>
      <c r="K113" s="13" t="s">
        <v>26</v>
      </c>
      <c r="L113" s="13" t="s">
        <v>202</v>
      </c>
      <c r="M113" s="13" t="s">
        <v>28</v>
      </c>
      <c r="N113" s="13" t="s">
        <v>37</v>
      </c>
    </row>
    <row r="114" spans="1:15" ht="16" x14ac:dyDescent="0.2">
      <c r="A114" s="14" t="s">
        <v>203</v>
      </c>
      <c r="B114" s="7" t="s">
        <v>199</v>
      </c>
      <c r="C114" s="7">
        <v>60</v>
      </c>
      <c r="D114" s="7" t="s">
        <v>21</v>
      </c>
      <c r="E114" s="7" t="s">
        <v>172</v>
      </c>
      <c r="G114" s="7" t="s">
        <v>197</v>
      </c>
      <c r="H114" s="7" t="s">
        <v>23</v>
      </c>
      <c r="I114" s="7" t="s">
        <v>58</v>
      </c>
    </row>
    <row r="115" spans="1:15" s="16" customFormat="1" ht="16" x14ac:dyDescent="0.2">
      <c r="A115" s="15" t="s">
        <v>204</v>
      </c>
      <c r="B115" s="16" t="s">
        <v>199</v>
      </c>
      <c r="C115" s="16">
        <v>60</v>
      </c>
      <c r="D115" s="16" t="s">
        <v>21</v>
      </c>
      <c r="E115" s="16" t="s">
        <v>172</v>
      </c>
      <c r="G115" s="16" t="s">
        <v>197</v>
      </c>
      <c r="H115" s="16" t="s">
        <v>23</v>
      </c>
      <c r="I115" s="7" t="s">
        <v>35</v>
      </c>
    </row>
    <row r="116" spans="1:15" s="13" customFormat="1" ht="16" x14ac:dyDescent="0.2">
      <c r="A116" s="10" t="s">
        <v>205</v>
      </c>
      <c r="B116" s="13" t="s">
        <v>206</v>
      </c>
      <c r="C116" s="13">
        <v>60</v>
      </c>
      <c r="D116" s="13" t="s">
        <v>21</v>
      </c>
      <c r="E116" s="13" t="s">
        <v>162</v>
      </c>
      <c r="G116" s="13" t="s">
        <v>163</v>
      </c>
      <c r="H116" s="13" t="s">
        <v>23</v>
      </c>
      <c r="I116" s="7" t="s">
        <v>58</v>
      </c>
      <c r="M116" s="13" t="s">
        <v>37</v>
      </c>
    </row>
    <row r="117" spans="1:15" ht="16" x14ac:dyDescent="0.2">
      <c r="A117" s="14" t="s">
        <v>207</v>
      </c>
      <c r="B117" s="7" t="s">
        <v>206</v>
      </c>
      <c r="C117" s="7">
        <v>60</v>
      </c>
      <c r="D117" s="7" t="s">
        <v>21</v>
      </c>
      <c r="E117" s="7" t="s">
        <v>162</v>
      </c>
      <c r="G117" s="7" t="s">
        <v>163</v>
      </c>
      <c r="H117" s="7" t="s">
        <v>23</v>
      </c>
      <c r="I117" s="7" t="s">
        <v>58</v>
      </c>
      <c r="O117" s="7" t="s">
        <v>37</v>
      </c>
    </row>
    <row r="118" spans="1:15" s="16" customFormat="1" ht="16" x14ac:dyDescent="0.2">
      <c r="A118" s="15" t="s">
        <v>208</v>
      </c>
      <c r="B118" s="16" t="s">
        <v>206</v>
      </c>
      <c r="C118" s="16">
        <v>60</v>
      </c>
      <c r="D118" s="16" t="s">
        <v>21</v>
      </c>
      <c r="E118" s="16" t="s">
        <v>162</v>
      </c>
      <c r="G118" s="16" t="s">
        <v>163</v>
      </c>
      <c r="H118" s="16" t="s">
        <v>23</v>
      </c>
      <c r="I118" s="7" t="s">
        <v>24</v>
      </c>
      <c r="K118" s="16" t="s">
        <v>26</v>
      </c>
      <c r="N118" s="16" t="s">
        <v>37</v>
      </c>
    </row>
    <row r="119" spans="1:15" s="13" customFormat="1" ht="16" x14ac:dyDescent="0.2">
      <c r="A119" s="10" t="s">
        <v>209</v>
      </c>
      <c r="B119" s="13" t="s">
        <v>210</v>
      </c>
      <c r="C119" s="13">
        <v>60</v>
      </c>
      <c r="D119" s="13" t="s">
        <v>21</v>
      </c>
      <c r="E119" s="13" t="s">
        <v>162</v>
      </c>
      <c r="G119" s="13" t="s">
        <v>211</v>
      </c>
      <c r="H119" s="13" t="s">
        <v>23</v>
      </c>
      <c r="I119" s="7" t="s">
        <v>31</v>
      </c>
      <c r="J119" s="13" t="s">
        <v>25</v>
      </c>
      <c r="K119" s="13" t="s">
        <v>32</v>
      </c>
      <c r="O119" s="13" t="s">
        <v>37</v>
      </c>
    </row>
    <row r="120" spans="1:15" ht="16" x14ac:dyDescent="0.2">
      <c r="A120" s="14" t="s">
        <v>212</v>
      </c>
      <c r="B120" s="7" t="s">
        <v>213</v>
      </c>
      <c r="C120" s="7">
        <v>60</v>
      </c>
      <c r="D120" s="7" t="s">
        <v>21</v>
      </c>
      <c r="E120" s="7" t="s">
        <v>162</v>
      </c>
      <c r="G120" s="7" t="s">
        <v>211</v>
      </c>
      <c r="H120" s="7" t="s">
        <v>23</v>
      </c>
      <c r="I120" s="7" t="s">
        <v>31</v>
      </c>
      <c r="K120" s="7" t="s">
        <v>32</v>
      </c>
      <c r="O120" s="7" t="s">
        <v>37</v>
      </c>
    </row>
    <row r="121" spans="1:15" s="16" customFormat="1" ht="16" x14ac:dyDescent="0.2">
      <c r="A121" s="15" t="s">
        <v>214</v>
      </c>
      <c r="B121" s="16" t="s">
        <v>213</v>
      </c>
      <c r="C121" s="16">
        <v>60</v>
      </c>
      <c r="D121" s="16" t="s">
        <v>21</v>
      </c>
      <c r="E121" s="16" t="s">
        <v>162</v>
      </c>
      <c r="G121" s="16" t="s">
        <v>211</v>
      </c>
      <c r="H121" s="16" t="s">
        <v>23</v>
      </c>
      <c r="I121" s="7" t="s">
        <v>24</v>
      </c>
      <c r="K121" s="16" t="s">
        <v>26</v>
      </c>
      <c r="N121" s="16" t="s">
        <v>37</v>
      </c>
    </row>
    <row r="122" spans="1:15" s="13" customFormat="1" ht="16" x14ac:dyDescent="0.2">
      <c r="A122" s="10" t="s">
        <v>215</v>
      </c>
      <c r="B122" s="13" t="s">
        <v>213</v>
      </c>
      <c r="C122" s="13">
        <v>60</v>
      </c>
      <c r="D122" s="13" t="s">
        <v>21</v>
      </c>
      <c r="E122" s="13" t="s">
        <v>162</v>
      </c>
      <c r="G122" s="13" t="s">
        <v>211</v>
      </c>
      <c r="H122" s="13" t="s">
        <v>23</v>
      </c>
      <c r="I122" s="7" t="s">
        <v>24</v>
      </c>
      <c r="K122" s="13" t="s">
        <v>26</v>
      </c>
      <c r="N122" s="13" t="s">
        <v>37</v>
      </c>
    </row>
    <row r="123" spans="1:15" ht="16" x14ac:dyDescent="0.2">
      <c r="A123" s="14" t="s">
        <v>216</v>
      </c>
      <c r="B123" s="7" t="s">
        <v>213</v>
      </c>
      <c r="C123" s="7">
        <v>60</v>
      </c>
      <c r="D123" s="7" t="s">
        <v>21</v>
      </c>
      <c r="E123" s="7" t="s">
        <v>162</v>
      </c>
      <c r="G123" s="7" t="s">
        <v>211</v>
      </c>
      <c r="H123" s="7" t="s">
        <v>23</v>
      </c>
      <c r="I123" s="7" t="s">
        <v>185</v>
      </c>
      <c r="M123" s="7" t="s">
        <v>37</v>
      </c>
    </row>
    <row r="124" spans="1:15" s="16" customFormat="1" ht="16" x14ac:dyDescent="0.2">
      <c r="A124" s="15" t="s">
        <v>217</v>
      </c>
      <c r="B124" s="16" t="s">
        <v>213</v>
      </c>
      <c r="C124" s="16">
        <v>60</v>
      </c>
      <c r="D124" s="16" t="s">
        <v>21</v>
      </c>
      <c r="E124" s="16" t="s">
        <v>162</v>
      </c>
      <c r="G124" s="16" t="s">
        <v>211</v>
      </c>
      <c r="H124" s="16" t="s">
        <v>23</v>
      </c>
      <c r="I124" s="7"/>
      <c r="K124" s="16" t="s">
        <v>32</v>
      </c>
      <c r="O124" s="16" t="s">
        <v>37</v>
      </c>
    </row>
    <row r="125" spans="1:15" s="13" customFormat="1" ht="16" x14ac:dyDescent="0.2">
      <c r="A125" s="10" t="s">
        <v>218</v>
      </c>
      <c r="B125" s="13" t="s">
        <v>219</v>
      </c>
      <c r="C125" s="13">
        <v>60</v>
      </c>
      <c r="D125" s="13" t="s">
        <v>21</v>
      </c>
      <c r="E125" s="13" t="s">
        <v>172</v>
      </c>
      <c r="G125" s="13" t="s">
        <v>188</v>
      </c>
      <c r="H125" s="13" t="s">
        <v>23</v>
      </c>
      <c r="I125" s="7" t="s">
        <v>35</v>
      </c>
      <c r="J125" s="13" t="s">
        <v>25</v>
      </c>
      <c r="M125" s="13" t="s">
        <v>28</v>
      </c>
    </row>
    <row r="126" spans="1:15" ht="16" x14ac:dyDescent="0.2">
      <c r="A126" s="14" t="s">
        <v>220</v>
      </c>
      <c r="B126" s="7" t="s">
        <v>219</v>
      </c>
      <c r="C126" s="7">
        <v>60</v>
      </c>
      <c r="D126" s="7" t="s">
        <v>21</v>
      </c>
      <c r="E126" s="7" t="s">
        <v>172</v>
      </c>
      <c r="G126" s="7" t="s">
        <v>188</v>
      </c>
      <c r="H126" s="7" t="s">
        <v>23</v>
      </c>
      <c r="I126" s="7" t="s">
        <v>185</v>
      </c>
    </row>
    <row r="127" spans="1:15" ht="16" x14ac:dyDescent="0.2">
      <c r="A127" s="14" t="s">
        <v>221</v>
      </c>
      <c r="B127" s="7" t="s">
        <v>219</v>
      </c>
      <c r="C127" s="7">
        <v>60</v>
      </c>
      <c r="D127" s="7" t="s">
        <v>21</v>
      </c>
      <c r="E127" s="7" t="s">
        <v>172</v>
      </c>
      <c r="G127" s="7" t="s">
        <v>188</v>
      </c>
      <c r="H127" s="7" t="s">
        <v>23</v>
      </c>
      <c r="I127" s="7" t="s">
        <v>185</v>
      </c>
    </row>
    <row r="128" spans="1:15" s="16" customFormat="1" ht="16" x14ac:dyDescent="0.2">
      <c r="A128" s="15" t="s">
        <v>222</v>
      </c>
      <c r="B128" s="16" t="s">
        <v>219</v>
      </c>
      <c r="C128" s="16">
        <v>60</v>
      </c>
      <c r="D128" s="16" t="s">
        <v>21</v>
      </c>
      <c r="E128" s="16" t="s">
        <v>172</v>
      </c>
      <c r="G128" s="16" t="s">
        <v>188</v>
      </c>
      <c r="H128" s="16" t="s">
        <v>23</v>
      </c>
      <c r="I128" s="7" t="s">
        <v>185</v>
      </c>
    </row>
    <row r="129" spans="1:18" s="13" customFormat="1" ht="16" x14ac:dyDescent="0.2">
      <c r="A129" s="10" t="s">
        <v>223</v>
      </c>
      <c r="B129" s="13" t="s">
        <v>224</v>
      </c>
      <c r="C129" s="13">
        <v>60</v>
      </c>
      <c r="D129" s="13" t="s">
        <v>21</v>
      </c>
      <c r="E129" s="13" t="s">
        <v>172</v>
      </c>
      <c r="G129" s="13" t="s">
        <v>188</v>
      </c>
      <c r="H129" s="13" t="s">
        <v>23</v>
      </c>
      <c r="I129" s="7" t="s">
        <v>185</v>
      </c>
    </row>
    <row r="130" spans="1:18" ht="16" x14ac:dyDescent="0.2">
      <c r="A130" s="14" t="s">
        <v>225</v>
      </c>
      <c r="B130" s="7" t="s">
        <v>224</v>
      </c>
      <c r="C130" s="7">
        <v>60</v>
      </c>
      <c r="D130" s="7" t="s">
        <v>21</v>
      </c>
      <c r="E130" s="7" t="s">
        <v>172</v>
      </c>
      <c r="G130" s="7" t="s">
        <v>188</v>
      </c>
      <c r="H130" s="7" t="s">
        <v>23</v>
      </c>
      <c r="I130" s="7" t="s">
        <v>185</v>
      </c>
    </row>
    <row r="131" spans="1:18" ht="16" x14ac:dyDescent="0.2">
      <c r="A131" s="14" t="s">
        <v>226</v>
      </c>
      <c r="B131" s="7" t="s">
        <v>224</v>
      </c>
      <c r="C131" s="7">
        <v>60</v>
      </c>
      <c r="D131" s="7" t="s">
        <v>21</v>
      </c>
      <c r="E131" s="7" t="s">
        <v>172</v>
      </c>
      <c r="G131" s="7" t="s">
        <v>188</v>
      </c>
      <c r="H131" s="7" t="s">
        <v>23</v>
      </c>
      <c r="I131" s="7" t="s">
        <v>185</v>
      </c>
    </row>
    <row r="132" spans="1:18" s="16" customFormat="1" ht="16" x14ac:dyDescent="0.2">
      <c r="A132" s="15" t="s">
        <v>227</v>
      </c>
      <c r="B132" s="16" t="s">
        <v>224</v>
      </c>
      <c r="C132" s="16">
        <v>60</v>
      </c>
      <c r="D132" s="16" t="s">
        <v>21</v>
      </c>
      <c r="E132" s="16" t="s">
        <v>172</v>
      </c>
      <c r="G132" s="16" t="s">
        <v>188</v>
      </c>
      <c r="H132" s="16" t="s">
        <v>23</v>
      </c>
      <c r="I132" s="7" t="s">
        <v>185</v>
      </c>
    </row>
    <row r="133" spans="1:18" s="13" customFormat="1" ht="16" x14ac:dyDescent="0.2">
      <c r="A133" s="10" t="s">
        <v>228</v>
      </c>
      <c r="B133" s="13" t="s">
        <v>229</v>
      </c>
      <c r="C133" s="13">
        <v>60</v>
      </c>
      <c r="D133" s="13" t="s">
        <v>21</v>
      </c>
      <c r="E133" s="13" t="s">
        <v>172</v>
      </c>
      <c r="G133" s="13" t="s">
        <v>197</v>
      </c>
      <c r="H133" s="13" t="s">
        <v>23</v>
      </c>
      <c r="I133" s="7" t="s">
        <v>35</v>
      </c>
      <c r="J133" s="13" t="s">
        <v>25</v>
      </c>
      <c r="M133" s="13" t="s">
        <v>28</v>
      </c>
    </row>
    <row r="134" spans="1:18" ht="16" x14ac:dyDescent="0.2">
      <c r="A134" s="14" t="s">
        <v>230</v>
      </c>
      <c r="B134" s="7" t="s">
        <v>231</v>
      </c>
      <c r="C134" s="7">
        <v>60</v>
      </c>
      <c r="D134" s="7" t="s">
        <v>21</v>
      </c>
      <c r="E134" s="7" t="s">
        <v>172</v>
      </c>
      <c r="G134" s="7" t="s">
        <v>197</v>
      </c>
      <c r="H134" s="7" t="s">
        <v>23</v>
      </c>
      <c r="I134" s="7" t="s">
        <v>35</v>
      </c>
    </row>
    <row r="135" spans="1:18" ht="16" x14ac:dyDescent="0.2">
      <c r="A135" s="14" t="s">
        <v>232</v>
      </c>
      <c r="B135" s="7" t="s">
        <v>231</v>
      </c>
      <c r="C135" s="7">
        <v>60</v>
      </c>
      <c r="D135" s="7" t="s">
        <v>21</v>
      </c>
      <c r="E135" s="7" t="s">
        <v>172</v>
      </c>
      <c r="G135" s="7" t="s">
        <v>197</v>
      </c>
      <c r="H135" s="7" t="s">
        <v>23</v>
      </c>
      <c r="I135" s="7" t="s">
        <v>185</v>
      </c>
    </row>
    <row r="136" spans="1:18" s="16" customFormat="1" ht="16" x14ac:dyDescent="0.2">
      <c r="A136" s="15" t="s">
        <v>233</v>
      </c>
      <c r="B136" s="16" t="s">
        <v>231</v>
      </c>
      <c r="C136" s="16">
        <v>60</v>
      </c>
      <c r="D136" s="16" t="s">
        <v>21</v>
      </c>
      <c r="E136" s="16" t="s">
        <v>172</v>
      </c>
      <c r="G136" s="16" t="s">
        <v>197</v>
      </c>
      <c r="H136" s="16" t="s">
        <v>23</v>
      </c>
      <c r="I136" s="7" t="s">
        <v>185</v>
      </c>
    </row>
    <row r="137" spans="1:18" s="13" customFormat="1" ht="16" x14ac:dyDescent="0.2">
      <c r="A137" s="10" t="s">
        <v>234</v>
      </c>
      <c r="B137" s="13" t="s">
        <v>235</v>
      </c>
      <c r="C137" s="13">
        <v>60</v>
      </c>
      <c r="D137" s="13" t="s">
        <v>21</v>
      </c>
      <c r="E137" s="13" t="s">
        <v>172</v>
      </c>
      <c r="G137" s="13" t="s">
        <v>197</v>
      </c>
      <c r="H137" s="13" t="s">
        <v>23</v>
      </c>
      <c r="I137" s="7" t="s">
        <v>185</v>
      </c>
    </row>
    <row r="138" spans="1:18" ht="16" x14ac:dyDescent="0.2">
      <c r="A138" s="14" t="s">
        <v>236</v>
      </c>
      <c r="B138" s="7" t="s">
        <v>235</v>
      </c>
      <c r="C138" s="7">
        <v>60</v>
      </c>
      <c r="D138" s="7" t="s">
        <v>21</v>
      </c>
      <c r="E138" s="7" t="s">
        <v>172</v>
      </c>
      <c r="G138" s="7" t="s">
        <v>197</v>
      </c>
      <c r="H138" s="7" t="s">
        <v>23</v>
      </c>
      <c r="I138" s="7" t="s">
        <v>185</v>
      </c>
    </row>
    <row r="139" spans="1:18" s="16" customFormat="1" ht="16" x14ac:dyDescent="0.2">
      <c r="A139" s="15" t="s">
        <v>237</v>
      </c>
      <c r="B139" s="16" t="s">
        <v>235</v>
      </c>
      <c r="C139" s="16">
        <v>60</v>
      </c>
      <c r="D139" s="16" t="s">
        <v>21</v>
      </c>
      <c r="E139" s="16" t="s">
        <v>172</v>
      </c>
      <c r="G139" s="16" t="s">
        <v>197</v>
      </c>
      <c r="H139" s="16" t="s">
        <v>23</v>
      </c>
      <c r="I139" s="7" t="s">
        <v>185</v>
      </c>
    </row>
    <row r="140" spans="1:18" s="17" customFormat="1" ht="16" x14ac:dyDescent="0.2">
      <c r="A140" s="9" t="s">
        <v>238</v>
      </c>
      <c r="B140" s="17" t="s">
        <v>235</v>
      </c>
      <c r="C140" s="17">
        <v>60</v>
      </c>
      <c r="D140" s="17" t="s">
        <v>21</v>
      </c>
      <c r="E140" s="17" t="s">
        <v>172</v>
      </c>
      <c r="G140" s="17" t="s">
        <v>197</v>
      </c>
      <c r="H140" s="17" t="s">
        <v>23</v>
      </c>
      <c r="I140" s="7" t="s">
        <v>185</v>
      </c>
    </row>
    <row r="141" spans="1:18" s="13" customFormat="1" ht="16" x14ac:dyDescent="0.2">
      <c r="A141" s="10" t="s">
        <v>239</v>
      </c>
      <c r="B141" s="13" t="s">
        <v>235</v>
      </c>
      <c r="C141" s="13">
        <v>60</v>
      </c>
      <c r="D141" s="13" t="s">
        <v>21</v>
      </c>
      <c r="E141" s="13" t="s">
        <v>172</v>
      </c>
      <c r="G141" s="13" t="s">
        <v>197</v>
      </c>
      <c r="H141" s="13" t="s">
        <v>23</v>
      </c>
      <c r="I141" s="7" t="s">
        <v>185</v>
      </c>
    </row>
    <row r="142" spans="1:18" ht="16" x14ac:dyDescent="0.2">
      <c r="A142" s="14" t="s">
        <v>240</v>
      </c>
      <c r="B142" s="7" t="s">
        <v>235</v>
      </c>
      <c r="C142" s="7">
        <v>60</v>
      </c>
      <c r="D142" s="7" t="s">
        <v>21</v>
      </c>
      <c r="E142" s="7" t="s">
        <v>172</v>
      </c>
      <c r="G142" s="7" t="s">
        <v>197</v>
      </c>
      <c r="H142" s="7" t="s">
        <v>23</v>
      </c>
      <c r="I142" s="7" t="s">
        <v>185</v>
      </c>
    </row>
    <row r="143" spans="1:18" s="16" customFormat="1" ht="16" x14ac:dyDescent="0.2">
      <c r="A143" s="15" t="s">
        <v>241</v>
      </c>
      <c r="B143" s="16" t="s">
        <v>235</v>
      </c>
      <c r="C143" s="16">
        <v>60</v>
      </c>
      <c r="D143" s="16" t="s">
        <v>21</v>
      </c>
      <c r="E143" s="16" t="s">
        <v>172</v>
      </c>
      <c r="G143" s="16" t="s">
        <v>197</v>
      </c>
      <c r="H143" s="16" t="s">
        <v>23</v>
      </c>
      <c r="I143" s="7" t="s">
        <v>185</v>
      </c>
    </row>
    <row r="144" spans="1:18" s="13" customFormat="1" ht="16" x14ac:dyDescent="0.2">
      <c r="A144" s="10" t="s">
        <v>242</v>
      </c>
      <c r="B144" s="13" t="s">
        <v>243</v>
      </c>
      <c r="C144" s="13">
        <v>12</v>
      </c>
      <c r="D144" s="13" t="s">
        <v>21</v>
      </c>
      <c r="E144" s="13" t="s">
        <v>110</v>
      </c>
      <c r="F144" s="13" t="s">
        <v>5</v>
      </c>
      <c r="G144" s="13" t="s">
        <v>111</v>
      </c>
      <c r="H144" s="13" t="s">
        <v>23</v>
      </c>
      <c r="I144" s="159" t="s">
        <v>244</v>
      </c>
      <c r="R144" s="13" t="s">
        <v>37</v>
      </c>
    </row>
    <row r="145" spans="1:18" ht="16" x14ac:dyDescent="0.2">
      <c r="A145" s="14" t="s">
        <v>245</v>
      </c>
      <c r="B145" s="7" t="s">
        <v>243</v>
      </c>
      <c r="C145" s="7">
        <v>12</v>
      </c>
      <c r="D145" s="7" t="s">
        <v>21</v>
      </c>
      <c r="E145" s="7" t="s">
        <v>110</v>
      </c>
      <c r="F145" s="7" t="s">
        <v>5</v>
      </c>
      <c r="G145" s="7" t="s">
        <v>111</v>
      </c>
      <c r="H145" s="7" t="s">
        <v>23</v>
      </c>
      <c r="I145" s="159" t="s">
        <v>244</v>
      </c>
      <c r="O145" s="16" t="s">
        <v>37</v>
      </c>
      <c r="R145" s="7" t="s">
        <v>37</v>
      </c>
    </row>
    <row r="146" spans="1:18" ht="16" x14ac:dyDescent="0.2">
      <c r="A146" s="14" t="s">
        <v>246</v>
      </c>
      <c r="B146" s="7" t="s">
        <v>243</v>
      </c>
      <c r="C146" s="7">
        <v>60</v>
      </c>
      <c r="D146" s="7" t="s">
        <v>21</v>
      </c>
      <c r="E146" s="7" t="s">
        <v>110</v>
      </c>
      <c r="F146" s="7" t="s">
        <v>5</v>
      </c>
      <c r="G146" s="7" t="s">
        <v>111</v>
      </c>
      <c r="H146" s="7" t="s">
        <v>23</v>
      </c>
      <c r="I146" s="7" t="s">
        <v>247</v>
      </c>
      <c r="M146" s="7" t="s">
        <v>37</v>
      </c>
      <c r="N146" s="7" t="s">
        <v>37</v>
      </c>
      <c r="R146" s="7" t="s">
        <v>28</v>
      </c>
    </row>
    <row r="147" spans="1:18" s="16" customFormat="1" ht="16" x14ac:dyDescent="0.2">
      <c r="A147" s="15" t="s">
        <v>248</v>
      </c>
      <c r="B147" s="16" t="s">
        <v>243</v>
      </c>
      <c r="C147" s="16">
        <v>60</v>
      </c>
      <c r="D147" s="16" t="s">
        <v>21</v>
      </c>
      <c r="E147" s="16" t="s">
        <v>110</v>
      </c>
      <c r="F147" s="16" t="s">
        <v>5</v>
      </c>
      <c r="G147" s="16" t="s">
        <v>111</v>
      </c>
      <c r="H147" s="16" t="s">
        <v>23</v>
      </c>
      <c r="I147" s="7" t="s">
        <v>247</v>
      </c>
      <c r="R147" s="7" t="s">
        <v>28</v>
      </c>
    </row>
    <row r="148" spans="1:18" s="13" customFormat="1" ht="16" x14ac:dyDescent="0.2">
      <c r="A148" s="10" t="s">
        <v>249</v>
      </c>
      <c r="B148" s="13" t="s">
        <v>250</v>
      </c>
      <c r="C148" s="13">
        <v>12</v>
      </c>
      <c r="D148" s="13" t="s">
        <v>21</v>
      </c>
      <c r="E148" s="13" t="s">
        <v>110</v>
      </c>
      <c r="F148" s="13" t="s">
        <v>5</v>
      </c>
      <c r="G148" s="13" t="s">
        <v>251</v>
      </c>
      <c r="H148" s="13" t="s">
        <v>23</v>
      </c>
      <c r="I148" s="7" t="s">
        <v>247</v>
      </c>
      <c r="R148" s="13" t="s">
        <v>28</v>
      </c>
    </row>
    <row r="149" spans="1:18" ht="16" x14ac:dyDescent="0.2">
      <c r="A149" s="14" t="s">
        <v>252</v>
      </c>
      <c r="B149" s="7" t="s">
        <v>250</v>
      </c>
      <c r="C149" s="7">
        <v>12</v>
      </c>
      <c r="D149" s="7" t="s">
        <v>21</v>
      </c>
      <c r="E149" s="7" t="s">
        <v>110</v>
      </c>
      <c r="F149" s="7" t="s">
        <v>5</v>
      </c>
      <c r="G149" s="7" t="s">
        <v>251</v>
      </c>
      <c r="H149" s="7" t="s">
        <v>23</v>
      </c>
      <c r="I149" s="7" t="s">
        <v>35</v>
      </c>
      <c r="J149" s="7" t="s">
        <v>25</v>
      </c>
      <c r="K149" s="146"/>
      <c r="M149" s="7" t="s">
        <v>28</v>
      </c>
      <c r="R149" s="7" t="s">
        <v>37</v>
      </c>
    </row>
    <row r="150" spans="1:18" ht="16" x14ac:dyDescent="0.2">
      <c r="A150" s="14" t="s">
        <v>253</v>
      </c>
      <c r="B150" s="7" t="s">
        <v>250</v>
      </c>
      <c r="C150" s="7">
        <v>60</v>
      </c>
      <c r="D150" s="7" t="s">
        <v>21</v>
      </c>
      <c r="E150" s="7" t="s">
        <v>110</v>
      </c>
      <c r="F150" s="7" t="s">
        <v>5</v>
      </c>
      <c r="G150" s="7" t="s">
        <v>251</v>
      </c>
      <c r="H150" s="7" t="s">
        <v>23</v>
      </c>
      <c r="I150" s="160" t="s">
        <v>254</v>
      </c>
      <c r="J150" s="7" t="s">
        <v>48</v>
      </c>
      <c r="M150" s="7" t="s">
        <v>37</v>
      </c>
      <c r="N150" s="7" t="s">
        <v>37</v>
      </c>
    </row>
    <row r="151" spans="1:18" s="16" customFormat="1" ht="16" x14ac:dyDescent="0.2">
      <c r="A151" s="15" t="s">
        <v>255</v>
      </c>
      <c r="B151" s="16" t="s">
        <v>250</v>
      </c>
      <c r="C151" s="16">
        <v>60</v>
      </c>
      <c r="D151" s="16" t="s">
        <v>21</v>
      </c>
      <c r="E151" s="16" t="s">
        <v>110</v>
      </c>
      <c r="F151" s="16" t="s">
        <v>5</v>
      </c>
      <c r="G151" s="16" t="s">
        <v>251</v>
      </c>
      <c r="H151" s="16" t="s">
        <v>23</v>
      </c>
      <c r="I151" s="160" t="s">
        <v>254</v>
      </c>
      <c r="J151" s="16" t="s">
        <v>48</v>
      </c>
      <c r="O151" s="16" t="s">
        <v>37</v>
      </c>
    </row>
    <row r="152" spans="1:18" s="13" customFormat="1" ht="16" x14ac:dyDescent="0.2">
      <c r="A152" s="10" t="s">
        <v>256</v>
      </c>
      <c r="B152" s="13" t="s">
        <v>257</v>
      </c>
      <c r="C152" s="13">
        <v>12</v>
      </c>
      <c r="D152" s="13" t="s">
        <v>21</v>
      </c>
      <c r="E152" s="13" t="s">
        <v>110</v>
      </c>
      <c r="F152" s="13" t="s">
        <v>5</v>
      </c>
      <c r="G152" s="13" t="s">
        <v>251</v>
      </c>
      <c r="H152" s="13" t="s">
        <v>23</v>
      </c>
      <c r="I152" s="160" t="s">
        <v>254</v>
      </c>
      <c r="R152" s="13" t="s">
        <v>37</v>
      </c>
    </row>
    <row r="153" spans="1:18" ht="16" x14ac:dyDescent="0.2">
      <c r="A153" s="14" t="s">
        <v>258</v>
      </c>
      <c r="B153" s="7" t="s">
        <v>257</v>
      </c>
      <c r="C153" s="7">
        <v>12</v>
      </c>
      <c r="D153" s="7" t="s">
        <v>21</v>
      </c>
      <c r="E153" s="7" t="s">
        <v>110</v>
      </c>
      <c r="F153" s="7" t="s">
        <v>5</v>
      </c>
      <c r="G153" s="7" t="s">
        <v>251</v>
      </c>
      <c r="H153" s="7" t="s">
        <v>23</v>
      </c>
      <c r="I153" s="159" t="s">
        <v>58</v>
      </c>
      <c r="K153" s="7" t="s">
        <v>259</v>
      </c>
      <c r="R153" s="7" t="s">
        <v>37</v>
      </c>
    </row>
    <row r="154" spans="1:18" ht="16" x14ac:dyDescent="0.2">
      <c r="A154" s="14" t="s">
        <v>260</v>
      </c>
      <c r="B154" s="7" t="s">
        <v>257</v>
      </c>
      <c r="C154" s="7">
        <v>12</v>
      </c>
      <c r="D154" s="7" t="s">
        <v>21</v>
      </c>
      <c r="E154" s="7" t="s">
        <v>110</v>
      </c>
      <c r="F154" s="7" t="s">
        <v>5</v>
      </c>
      <c r="G154" s="7" t="s">
        <v>251</v>
      </c>
      <c r="H154" s="7" t="s">
        <v>23</v>
      </c>
      <c r="I154" s="7" t="s">
        <v>247</v>
      </c>
      <c r="R154" s="7" t="s">
        <v>28</v>
      </c>
    </row>
    <row r="155" spans="1:18" ht="16" x14ac:dyDescent="0.2">
      <c r="A155" s="14" t="s">
        <v>261</v>
      </c>
      <c r="B155" s="7" t="s">
        <v>257</v>
      </c>
      <c r="C155" s="7">
        <v>60</v>
      </c>
      <c r="D155" s="7" t="s">
        <v>21</v>
      </c>
      <c r="E155" s="7" t="s">
        <v>110</v>
      </c>
      <c r="F155" s="7" t="s">
        <v>5</v>
      </c>
      <c r="G155" s="7" t="s">
        <v>251</v>
      </c>
      <c r="H155" s="7" t="s">
        <v>23</v>
      </c>
      <c r="I155" s="160" t="s">
        <v>58</v>
      </c>
      <c r="J155" s="7" t="s">
        <v>48</v>
      </c>
      <c r="K155" s="7" t="s">
        <v>259</v>
      </c>
      <c r="M155" s="7" t="s">
        <v>37</v>
      </c>
      <c r="N155" s="7" t="s">
        <v>37</v>
      </c>
    </row>
    <row r="156" spans="1:18" s="16" customFormat="1" ht="16" x14ac:dyDescent="0.2">
      <c r="A156" s="15" t="s">
        <v>262</v>
      </c>
      <c r="B156" s="16" t="s">
        <v>257</v>
      </c>
      <c r="C156" s="16">
        <v>60</v>
      </c>
      <c r="D156" s="16" t="s">
        <v>21</v>
      </c>
      <c r="E156" s="16" t="s">
        <v>110</v>
      </c>
      <c r="F156" s="16" t="s">
        <v>5</v>
      </c>
      <c r="G156" s="16" t="s">
        <v>251</v>
      </c>
      <c r="H156" s="16" t="s">
        <v>23</v>
      </c>
      <c r="I156" s="160" t="s">
        <v>254</v>
      </c>
      <c r="J156" s="16" t="s">
        <v>48</v>
      </c>
      <c r="O156" s="16" t="s">
        <v>37</v>
      </c>
    </row>
    <row r="157" spans="1:18" s="13" customFormat="1" ht="16" x14ac:dyDescent="0.2">
      <c r="A157" s="10" t="s">
        <v>263</v>
      </c>
      <c r="B157" s="13" t="s">
        <v>264</v>
      </c>
      <c r="C157" s="13">
        <v>12</v>
      </c>
      <c r="D157" s="13" t="s">
        <v>21</v>
      </c>
      <c r="E157" s="13" t="s">
        <v>110</v>
      </c>
      <c r="F157" s="13" t="s">
        <v>5</v>
      </c>
      <c r="G157" s="13" t="s">
        <v>251</v>
      </c>
      <c r="H157" s="13" t="s">
        <v>23</v>
      </c>
      <c r="I157" s="159" t="s">
        <v>244</v>
      </c>
      <c r="R157" s="13" t="s">
        <v>37</v>
      </c>
    </row>
    <row r="158" spans="1:18" ht="16" x14ac:dyDescent="0.2">
      <c r="A158" s="14" t="s">
        <v>265</v>
      </c>
      <c r="B158" s="7" t="s">
        <v>264</v>
      </c>
      <c r="C158" s="7">
        <v>12</v>
      </c>
      <c r="D158" s="7" t="s">
        <v>21</v>
      </c>
      <c r="E158" s="7" t="s">
        <v>110</v>
      </c>
      <c r="F158" s="7" t="s">
        <v>5</v>
      </c>
      <c r="G158" s="7" t="s">
        <v>251</v>
      </c>
      <c r="H158" s="7" t="s">
        <v>23</v>
      </c>
      <c r="I158" s="159" t="s">
        <v>244</v>
      </c>
      <c r="R158" s="7" t="s">
        <v>37</v>
      </c>
    </row>
    <row r="159" spans="1:18" ht="16" x14ac:dyDescent="0.2">
      <c r="A159" s="14" t="s">
        <v>266</v>
      </c>
      <c r="B159" s="7" t="s">
        <v>264</v>
      </c>
      <c r="C159" s="7">
        <v>60</v>
      </c>
      <c r="D159" s="7" t="s">
        <v>21</v>
      </c>
      <c r="E159" s="7" t="s">
        <v>110</v>
      </c>
      <c r="F159" s="7" t="s">
        <v>5</v>
      </c>
      <c r="G159" s="7" t="s">
        <v>251</v>
      </c>
      <c r="H159" s="7" t="s">
        <v>23</v>
      </c>
      <c r="I159" s="7" t="s">
        <v>58</v>
      </c>
      <c r="J159" s="7" t="s">
        <v>25</v>
      </c>
      <c r="K159" s="146" t="s">
        <v>259</v>
      </c>
      <c r="M159" s="7" t="s">
        <v>28</v>
      </c>
      <c r="N159" s="7" t="s">
        <v>37</v>
      </c>
    </row>
    <row r="160" spans="1:18" s="16" customFormat="1" ht="16" x14ac:dyDescent="0.2">
      <c r="A160" s="15" t="s">
        <v>267</v>
      </c>
      <c r="B160" s="16" t="s">
        <v>264</v>
      </c>
      <c r="C160" s="16">
        <v>60</v>
      </c>
      <c r="D160" s="16" t="s">
        <v>21</v>
      </c>
      <c r="E160" s="16" t="s">
        <v>110</v>
      </c>
      <c r="F160" s="16" t="s">
        <v>5</v>
      </c>
      <c r="G160" s="16" t="s">
        <v>251</v>
      </c>
      <c r="H160" s="16" t="s">
        <v>23</v>
      </c>
      <c r="I160" s="159" t="s">
        <v>244</v>
      </c>
      <c r="O160" s="16" t="s">
        <v>37</v>
      </c>
    </row>
    <row r="161" spans="1:15" s="13" customFormat="1" ht="16" x14ac:dyDescent="0.2">
      <c r="A161" s="10" t="s">
        <v>268</v>
      </c>
      <c r="B161" s="13" t="s">
        <v>269</v>
      </c>
      <c r="C161" s="13">
        <v>60</v>
      </c>
      <c r="D161" s="13" t="s">
        <v>21</v>
      </c>
      <c r="E161" s="13" t="s">
        <v>270</v>
      </c>
      <c r="G161" s="13" t="s">
        <v>271</v>
      </c>
      <c r="H161" s="13" t="s">
        <v>272</v>
      </c>
      <c r="I161" s="7" t="s">
        <v>273</v>
      </c>
      <c r="M161" s="13" t="s">
        <v>37</v>
      </c>
      <c r="N161" s="13" t="s">
        <v>37</v>
      </c>
    </row>
    <row r="162" spans="1:15" ht="16" x14ac:dyDescent="0.2">
      <c r="A162" s="14" t="s">
        <v>274</v>
      </c>
      <c r="B162" s="7" t="s">
        <v>269</v>
      </c>
      <c r="C162" s="7">
        <v>60</v>
      </c>
      <c r="D162" s="7" t="s">
        <v>21</v>
      </c>
      <c r="E162" s="7" t="s">
        <v>270</v>
      </c>
      <c r="G162" s="7" t="s">
        <v>271</v>
      </c>
      <c r="H162" s="7" t="s">
        <v>272</v>
      </c>
      <c r="I162" s="7" t="s">
        <v>273</v>
      </c>
      <c r="M162" s="7" t="s">
        <v>37</v>
      </c>
      <c r="O162" s="7" t="s">
        <v>37</v>
      </c>
    </row>
    <row r="163" spans="1:15" s="16" customFormat="1" ht="16" x14ac:dyDescent="0.2">
      <c r="A163" s="15" t="s">
        <v>275</v>
      </c>
      <c r="B163" s="16" t="s">
        <v>269</v>
      </c>
      <c r="C163" s="16">
        <v>60</v>
      </c>
      <c r="D163" s="16" t="s">
        <v>21</v>
      </c>
      <c r="E163" s="16" t="s">
        <v>270</v>
      </c>
      <c r="G163" s="16" t="s">
        <v>271</v>
      </c>
      <c r="H163" s="16" t="s">
        <v>272</v>
      </c>
      <c r="I163" s="7" t="s">
        <v>273</v>
      </c>
      <c r="M163" s="16" t="s">
        <v>37</v>
      </c>
    </row>
    <row r="164" spans="1:15" s="13" customFormat="1" ht="16" x14ac:dyDescent="0.2">
      <c r="A164" s="10" t="s">
        <v>276</v>
      </c>
      <c r="B164" s="13" t="s">
        <v>277</v>
      </c>
      <c r="C164" s="13">
        <v>60</v>
      </c>
      <c r="D164" s="13" t="s">
        <v>21</v>
      </c>
      <c r="E164" s="13" t="s">
        <v>270</v>
      </c>
      <c r="G164" s="13" t="s">
        <v>278</v>
      </c>
      <c r="H164" s="13" t="s">
        <v>272</v>
      </c>
      <c r="I164" s="7" t="s">
        <v>273</v>
      </c>
      <c r="M164" s="13" t="s">
        <v>37</v>
      </c>
      <c r="N164" s="13" t="s">
        <v>37</v>
      </c>
    </row>
    <row r="165" spans="1:15" ht="16" x14ac:dyDescent="0.2">
      <c r="A165" s="14" t="s">
        <v>279</v>
      </c>
      <c r="B165" s="7" t="s">
        <v>277</v>
      </c>
      <c r="C165" s="7">
        <v>60</v>
      </c>
      <c r="D165" s="7" t="s">
        <v>21</v>
      </c>
      <c r="E165" s="7" t="s">
        <v>270</v>
      </c>
      <c r="G165" s="7" t="s">
        <v>278</v>
      </c>
      <c r="H165" s="7" t="s">
        <v>272</v>
      </c>
      <c r="I165" s="7" t="s">
        <v>273</v>
      </c>
      <c r="M165" s="7" t="s">
        <v>37</v>
      </c>
      <c r="O165" s="7" t="s">
        <v>37</v>
      </c>
    </row>
    <row r="166" spans="1:15" s="16" customFormat="1" ht="16" x14ac:dyDescent="0.2">
      <c r="A166" s="15" t="s">
        <v>280</v>
      </c>
      <c r="B166" s="16" t="s">
        <v>277</v>
      </c>
      <c r="C166" s="16">
        <v>60</v>
      </c>
      <c r="D166" s="16" t="s">
        <v>21</v>
      </c>
      <c r="E166" s="16" t="s">
        <v>270</v>
      </c>
      <c r="G166" s="16" t="s">
        <v>278</v>
      </c>
      <c r="H166" s="16" t="s">
        <v>272</v>
      </c>
      <c r="I166" s="7" t="s">
        <v>58</v>
      </c>
      <c r="J166" s="146" t="s">
        <v>25</v>
      </c>
      <c r="K166" s="146"/>
      <c r="L166" s="146"/>
      <c r="M166" s="146" t="s">
        <v>28</v>
      </c>
    </row>
    <row r="167" spans="1:15" s="13" customFormat="1" ht="16" x14ac:dyDescent="0.2">
      <c r="A167" s="10" t="s">
        <v>281</v>
      </c>
      <c r="B167" s="13" t="s">
        <v>282</v>
      </c>
      <c r="C167" s="13">
        <v>60</v>
      </c>
      <c r="D167" s="13" t="s">
        <v>21</v>
      </c>
      <c r="E167" s="13" t="s">
        <v>270</v>
      </c>
      <c r="G167" s="13" t="s">
        <v>283</v>
      </c>
      <c r="H167" s="13" t="s">
        <v>272</v>
      </c>
      <c r="I167" s="7" t="s">
        <v>273</v>
      </c>
      <c r="M167" s="13" t="s">
        <v>37</v>
      </c>
      <c r="N167" s="13" t="s">
        <v>37</v>
      </c>
    </row>
    <row r="168" spans="1:15" ht="16" x14ac:dyDescent="0.2">
      <c r="A168" s="14" t="s">
        <v>284</v>
      </c>
      <c r="B168" s="7" t="s">
        <v>282</v>
      </c>
      <c r="C168" s="7">
        <v>60</v>
      </c>
      <c r="D168" s="7" t="s">
        <v>21</v>
      </c>
      <c r="E168" s="7" t="s">
        <v>270</v>
      </c>
      <c r="G168" s="7" t="s">
        <v>283</v>
      </c>
      <c r="H168" s="7" t="s">
        <v>272</v>
      </c>
      <c r="I168" s="7" t="s">
        <v>273</v>
      </c>
      <c r="M168" s="7" t="s">
        <v>37</v>
      </c>
      <c r="O168" s="7" t="s">
        <v>37</v>
      </c>
    </row>
    <row r="169" spans="1:15" s="16" customFormat="1" ht="16" x14ac:dyDescent="0.2">
      <c r="A169" s="15" t="s">
        <v>285</v>
      </c>
      <c r="B169" s="16" t="s">
        <v>282</v>
      </c>
      <c r="C169" s="16">
        <v>60</v>
      </c>
      <c r="D169" s="16" t="s">
        <v>21</v>
      </c>
      <c r="E169" s="16" t="s">
        <v>270</v>
      </c>
      <c r="G169" s="16" t="s">
        <v>283</v>
      </c>
      <c r="H169" s="16" t="s">
        <v>272</v>
      </c>
      <c r="I169" s="7" t="s">
        <v>273</v>
      </c>
      <c r="M169" s="16" t="s">
        <v>37</v>
      </c>
    </row>
    <row r="170" spans="1:15" s="13" customFormat="1" ht="16" x14ac:dyDescent="0.2">
      <c r="A170" s="10" t="s">
        <v>286</v>
      </c>
      <c r="B170" s="13" t="s">
        <v>287</v>
      </c>
      <c r="C170" s="13">
        <v>60</v>
      </c>
      <c r="D170" s="13" t="s">
        <v>21</v>
      </c>
      <c r="E170" s="13" t="s">
        <v>270</v>
      </c>
      <c r="G170" s="13" t="s">
        <v>288</v>
      </c>
      <c r="H170" s="13" t="s">
        <v>272</v>
      </c>
      <c r="I170" s="7" t="s">
        <v>58</v>
      </c>
      <c r="J170" s="146" t="s">
        <v>25</v>
      </c>
      <c r="K170" s="146"/>
      <c r="L170" s="146"/>
      <c r="M170" s="146" t="s">
        <v>28</v>
      </c>
      <c r="N170" s="13" t="s">
        <v>37</v>
      </c>
    </row>
    <row r="171" spans="1:15" ht="16" x14ac:dyDescent="0.2">
      <c r="A171" s="14" t="s">
        <v>289</v>
      </c>
      <c r="B171" s="7" t="s">
        <v>287</v>
      </c>
      <c r="C171" s="7">
        <v>60</v>
      </c>
      <c r="D171" s="7" t="s">
        <v>21</v>
      </c>
      <c r="E171" s="7" t="s">
        <v>270</v>
      </c>
      <c r="G171" s="7" t="s">
        <v>288</v>
      </c>
      <c r="H171" s="7" t="s">
        <v>272</v>
      </c>
      <c r="I171" s="7" t="s">
        <v>273</v>
      </c>
      <c r="M171" s="7" t="s">
        <v>37</v>
      </c>
      <c r="O171" s="7" t="s">
        <v>37</v>
      </c>
    </row>
    <row r="172" spans="1:15" s="16" customFormat="1" ht="16" x14ac:dyDescent="0.2">
      <c r="A172" s="15" t="s">
        <v>290</v>
      </c>
      <c r="B172" s="16" t="s">
        <v>287</v>
      </c>
      <c r="C172" s="16">
        <v>60</v>
      </c>
      <c r="D172" s="16" t="s">
        <v>21</v>
      </c>
      <c r="E172" s="16" t="s">
        <v>270</v>
      </c>
      <c r="G172" s="16" t="s">
        <v>288</v>
      </c>
      <c r="H172" s="16" t="s">
        <v>272</v>
      </c>
      <c r="I172" s="7" t="s">
        <v>273</v>
      </c>
      <c r="M172" s="16" t="s">
        <v>37</v>
      </c>
    </row>
    <row r="173" spans="1:15" s="13" customFormat="1" ht="16" x14ac:dyDescent="0.2">
      <c r="A173" s="10" t="s">
        <v>291</v>
      </c>
      <c r="B173" s="13" t="s">
        <v>287</v>
      </c>
      <c r="C173" s="13">
        <v>60</v>
      </c>
      <c r="D173" s="13" t="s">
        <v>21</v>
      </c>
      <c r="E173" s="13" t="s">
        <v>270</v>
      </c>
      <c r="G173" s="13" t="s">
        <v>288</v>
      </c>
      <c r="H173" s="13" t="s">
        <v>272</v>
      </c>
      <c r="I173" s="7" t="s">
        <v>273</v>
      </c>
      <c r="M173" s="13" t="s">
        <v>37</v>
      </c>
      <c r="N173" s="13" t="s">
        <v>37</v>
      </c>
    </row>
    <row r="174" spans="1:15" ht="16" x14ac:dyDescent="0.2">
      <c r="A174" s="14" t="s">
        <v>292</v>
      </c>
      <c r="B174" s="7" t="s">
        <v>287</v>
      </c>
      <c r="C174" s="7">
        <v>60</v>
      </c>
      <c r="D174" s="7" t="s">
        <v>21</v>
      </c>
      <c r="E174" s="7" t="s">
        <v>270</v>
      </c>
      <c r="G174" s="7" t="s">
        <v>288</v>
      </c>
      <c r="H174" s="7" t="s">
        <v>272</v>
      </c>
      <c r="I174" s="7" t="s">
        <v>273</v>
      </c>
      <c r="M174" s="7" t="s">
        <v>37</v>
      </c>
      <c r="O174" s="7" t="s">
        <v>37</v>
      </c>
    </row>
    <row r="175" spans="1:15" s="16" customFormat="1" ht="16" x14ac:dyDescent="0.2">
      <c r="A175" s="15" t="s">
        <v>293</v>
      </c>
      <c r="B175" s="16" t="s">
        <v>287</v>
      </c>
      <c r="C175" s="16">
        <v>60</v>
      </c>
      <c r="D175" s="16" t="s">
        <v>21</v>
      </c>
      <c r="E175" s="16" t="s">
        <v>270</v>
      </c>
      <c r="G175" s="16" t="s">
        <v>288</v>
      </c>
      <c r="H175" s="16" t="s">
        <v>272</v>
      </c>
      <c r="I175" s="7" t="s">
        <v>58</v>
      </c>
      <c r="J175" s="146" t="s">
        <v>25</v>
      </c>
      <c r="K175" s="146"/>
      <c r="L175" s="146"/>
      <c r="M175" s="146" t="s">
        <v>28</v>
      </c>
    </row>
    <row r="176" spans="1:15" s="13" customFormat="1" ht="16" x14ac:dyDescent="0.2">
      <c r="A176" s="10" t="s">
        <v>294</v>
      </c>
      <c r="B176" s="13" t="s">
        <v>295</v>
      </c>
      <c r="C176" s="13">
        <v>12</v>
      </c>
      <c r="D176" s="13" t="s">
        <v>21</v>
      </c>
      <c r="E176" s="13" t="s">
        <v>296</v>
      </c>
      <c r="G176" s="13" t="s">
        <v>297</v>
      </c>
      <c r="H176" s="13" t="s">
        <v>23</v>
      </c>
      <c r="I176" s="161" t="s">
        <v>296</v>
      </c>
      <c r="J176" s="13" t="s">
        <v>48</v>
      </c>
      <c r="M176" s="13" t="s">
        <v>28</v>
      </c>
      <c r="N176" s="13" t="s">
        <v>37</v>
      </c>
    </row>
    <row r="177" spans="1:18" s="16" customFormat="1" ht="16" x14ac:dyDescent="0.2">
      <c r="A177" s="15" t="s">
        <v>298</v>
      </c>
      <c r="B177" s="16" t="s">
        <v>299</v>
      </c>
      <c r="C177" s="16">
        <v>12</v>
      </c>
      <c r="D177" s="16" t="s">
        <v>21</v>
      </c>
      <c r="E177" s="16" t="s">
        <v>296</v>
      </c>
      <c r="G177" s="16" t="s">
        <v>297</v>
      </c>
      <c r="H177" s="16" t="s">
        <v>23</v>
      </c>
      <c r="I177" s="161" t="s">
        <v>296</v>
      </c>
      <c r="J177" s="146"/>
      <c r="K177" s="146"/>
      <c r="L177" s="146"/>
      <c r="M177" s="146" t="s">
        <v>37</v>
      </c>
      <c r="O177" s="16" t="s">
        <v>37</v>
      </c>
      <c r="R177" s="16" t="s">
        <v>37</v>
      </c>
    </row>
    <row r="178" spans="1:18" s="13" customFormat="1" ht="16" x14ac:dyDescent="0.2">
      <c r="A178" s="10" t="s">
        <v>300</v>
      </c>
      <c r="B178" s="13" t="s">
        <v>301</v>
      </c>
      <c r="C178" s="13">
        <v>12</v>
      </c>
      <c r="D178" s="13" t="s">
        <v>21</v>
      </c>
      <c r="E178" s="13" t="s">
        <v>296</v>
      </c>
      <c r="G178" s="13" t="s">
        <v>297</v>
      </c>
      <c r="H178" s="13" t="s">
        <v>23</v>
      </c>
      <c r="I178" s="161" t="s">
        <v>296</v>
      </c>
      <c r="M178" s="13" t="s">
        <v>37</v>
      </c>
      <c r="N178" s="13" t="s">
        <v>37</v>
      </c>
    </row>
    <row r="179" spans="1:18" ht="16" x14ac:dyDescent="0.2">
      <c r="A179" s="14" t="s">
        <v>302</v>
      </c>
      <c r="B179" s="7" t="s">
        <v>303</v>
      </c>
      <c r="C179" s="7">
        <v>12</v>
      </c>
      <c r="D179" s="7" t="s">
        <v>21</v>
      </c>
      <c r="E179" s="7" t="s">
        <v>296</v>
      </c>
      <c r="G179" s="7" t="s">
        <v>297</v>
      </c>
      <c r="H179" s="7" t="s">
        <v>23</v>
      </c>
      <c r="I179" s="161" t="s">
        <v>296</v>
      </c>
      <c r="J179" s="146" t="s">
        <v>25</v>
      </c>
      <c r="K179" s="146"/>
      <c r="L179" s="146"/>
      <c r="M179" s="146" t="s">
        <v>28</v>
      </c>
      <c r="O179" s="7" t="s">
        <v>37</v>
      </c>
      <c r="R179" s="7" t="s">
        <v>37</v>
      </c>
    </row>
    <row r="180" spans="1:18" s="49" customFormat="1" ht="16" x14ac:dyDescent="0.2">
      <c r="A180" s="149" t="s">
        <v>304</v>
      </c>
      <c r="B180" s="49" t="s">
        <v>305</v>
      </c>
      <c r="C180" s="49">
        <v>12</v>
      </c>
      <c r="D180" s="49" t="s">
        <v>21</v>
      </c>
      <c r="E180" s="49" t="s">
        <v>296</v>
      </c>
      <c r="G180" s="49" t="s">
        <v>306</v>
      </c>
      <c r="H180" s="49" t="s">
        <v>23</v>
      </c>
      <c r="I180" s="161" t="s">
        <v>296</v>
      </c>
      <c r="J180" s="147" t="s">
        <v>25</v>
      </c>
      <c r="K180" s="147"/>
      <c r="L180" s="147"/>
      <c r="M180" s="147" t="s">
        <v>28</v>
      </c>
      <c r="N180" s="49" t="s">
        <v>37</v>
      </c>
    </row>
    <row r="181" spans="1:18" s="51" customFormat="1" ht="16" x14ac:dyDescent="0.2">
      <c r="A181" s="150" t="s">
        <v>307</v>
      </c>
      <c r="B181" s="51" t="s">
        <v>308</v>
      </c>
      <c r="C181" s="51">
        <v>12</v>
      </c>
      <c r="D181" s="51" t="s">
        <v>21</v>
      </c>
      <c r="E181" s="51" t="s">
        <v>296</v>
      </c>
      <c r="G181" s="51" t="s">
        <v>306</v>
      </c>
      <c r="H181" s="51" t="s">
        <v>23</v>
      </c>
      <c r="I181" s="161" t="s">
        <v>296</v>
      </c>
      <c r="M181" s="51" t="s">
        <v>37</v>
      </c>
      <c r="O181" s="51" t="s">
        <v>37</v>
      </c>
      <c r="R181" s="51" t="s">
        <v>37</v>
      </c>
    </row>
    <row r="182" spans="1:18" ht="16" x14ac:dyDescent="0.2">
      <c r="A182" s="14" t="s">
        <v>309</v>
      </c>
      <c r="B182" s="7" t="s">
        <v>310</v>
      </c>
      <c r="C182" s="7">
        <v>12</v>
      </c>
      <c r="D182" s="7" t="s">
        <v>21</v>
      </c>
      <c r="E182" s="7" t="s">
        <v>296</v>
      </c>
      <c r="G182" s="7" t="s">
        <v>306</v>
      </c>
      <c r="H182" s="7" t="s">
        <v>23</v>
      </c>
      <c r="I182" s="161" t="s">
        <v>296</v>
      </c>
      <c r="J182" s="146"/>
      <c r="K182" s="146"/>
      <c r="L182" s="146"/>
      <c r="M182" s="146" t="s">
        <v>37</v>
      </c>
      <c r="N182" s="7" t="s">
        <v>37</v>
      </c>
    </row>
    <row r="183" spans="1:18" s="16" customFormat="1" ht="16" x14ac:dyDescent="0.2">
      <c r="A183" s="15" t="s">
        <v>311</v>
      </c>
      <c r="B183" s="16" t="s">
        <v>312</v>
      </c>
      <c r="C183" s="16">
        <v>12</v>
      </c>
      <c r="D183" s="16" t="s">
        <v>21</v>
      </c>
      <c r="E183" s="16" t="s">
        <v>296</v>
      </c>
      <c r="G183" s="16" t="s">
        <v>306</v>
      </c>
      <c r="H183" s="16" t="s">
        <v>23</v>
      </c>
      <c r="I183" s="161" t="s">
        <v>296</v>
      </c>
      <c r="J183" s="16" t="s">
        <v>313</v>
      </c>
      <c r="M183" s="16" t="s">
        <v>28</v>
      </c>
      <c r="O183" s="16" t="s">
        <v>37</v>
      </c>
      <c r="R183" s="16" t="s">
        <v>37</v>
      </c>
    </row>
    <row r="184" spans="1:18" s="17" customFormat="1" ht="16" x14ac:dyDescent="0.2">
      <c r="A184" s="9" t="s">
        <v>314</v>
      </c>
      <c r="B184" s="17" t="s">
        <v>315</v>
      </c>
      <c r="C184" s="17">
        <v>12</v>
      </c>
      <c r="D184" s="17" t="s">
        <v>21</v>
      </c>
      <c r="E184" s="17" t="s">
        <v>162</v>
      </c>
      <c r="G184" s="17" t="s">
        <v>316</v>
      </c>
      <c r="H184" s="17" t="s">
        <v>23</v>
      </c>
      <c r="I184" s="162" t="s">
        <v>317</v>
      </c>
      <c r="M184" s="17" t="s">
        <v>37</v>
      </c>
    </row>
    <row r="185" spans="1:18" s="17" customFormat="1" ht="16" x14ac:dyDescent="0.2">
      <c r="A185" s="9" t="s">
        <v>318</v>
      </c>
      <c r="B185" s="17" t="s">
        <v>319</v>
      </c>
      <c r="C185" s="17">
        <v>12</v>
      </c>
      <c r="D185" s="17" t="s">
        <v>21</v>
      </c>
      <c r="E185" s="17" t="s">
        <v>162</v>
      </c>
      <c r="G185" s="17" t="s">
        <v>318</v>
      </c>
      <c r="H185" s="17" t="s">
        <v>23</v>
      </c>
      <c r="I185" s="162" t="s">
        <v>317</v>
      </c>
      <c r="M185" s="17" t="s">
        <v>37</v>
      </c>
    </row>
    <row r="186" spans="1:18" s="13" customFormat="1" ht="16" x14ac:dyDescent="0.2">
      <c r="A186" s="10" t="s">
        <v>320</v>
      </c>
      <c r="B186" s="13" t="s">
        <v>321</v>
      </c>
      <c r="C186" s="13">
        <v>500</v>
      </c>
      <c r="D186" s="13" t="s">
        <v>322</v>
      </c>
      <c r="E186" s="13" t="s">
        <v>162</v>
      </c>
      <c r="G186" s="13" t="s">
        <v>316</v>
      </c>
      <c r="H186" s="13" t="s">
        <v>23</v>
      </c>
      <c r="I186" s="7" t="s">
        <v>323</v>
      </c>
      <c r="J186" s="13" t="s">
        <v>25</v>
      </c>
      <c r="K186" s="13" t="s">
        <v>324</v>
      </c>
      <c r="L186" s="13" t="s">
        <v>325</v>
      </c>
      <c r="P186" s="13" t="s">
        <v>28</v>
      </c>
    </row>
    <row r="187" spans="1:18" ht="16" x14ac:dyDescent="0.2">
      <c r="A187" s="14" t="s">
        <v>326</v>
      </c>
      <c r="B187" s="7" t="s">
        <v>321</v>
      </c>
      <c r="C187" s="7">
        <v>500</v>
      </c>
      <c r="D187" s="7" t="s">
        <v>322</v>
      </c>
      <c r="E187" s="7" t="s">
        <v>162</v>
      </c>
      <c r="G187" s="7" t="s">
        <v>316</v>
      </c>
      <c r="H187" s="7" t="s">
        <v>23</v>
      </c>
    </row>
    <row r="188" spans="1:18" s="16" customFormat="1" ht="16" x14ac:dyDescent="0.2">
      <c r="A188" s="15" t="s">
        <v>327</v>
      </c>
      <c r="B188" s="16" t="s">
        <v>321</v>
      </c>
      <c r="C188" s="16">
        <v>500</v>
      </c>
      <c r="D188" s="16" t="s">
        <v>322</v>
      </c>
      <c r="E188" s="16" t="s">
        <v>162</v>
      </c>
      <c r="G188" s="16" t="s">
        <v>316</v>
      </c>
      <c r="H188" s="16" t="s">
        <v>23</v>
      </c>
      <c r="I188" s="7"/>
    </row>
    <row r="189" spans="1:18" s="13" customFormat="1" ht="16" x14ac:dyDescent="0.2">
      <c r="A189" s="10" t="s">
        <v>328</v>
      </c>
      <c r="B189" s="13" t="s">
        <v>329</v>
      </c>
      <c r="C189" s="13">
        <v>500</v>
      </c>
      <c r="D189" s="13" t="s">
        <v>322</v>
      </c>
      <c r="E189" s="13" t="s">
        <v>162</v>
      </c>
      <c r="G189" s="13" t="s">
        <v>316</v>
      </c>
      <c r="H189" s="13" t="s">
        <v>23</v>
      </c>
      <c r="I189" s="7" t="s">
        <v>330</v>
      </c>
      <c r="K189" s="146" t="s">
        <v>331</v>
      </c>
      <c r="L189" s="13" t="s">
        <v>332</v>
      </c>
      <c r="P189" s="13" t="s">
        <v>37</v>
      </c>
    </row>
    <row r="190" spans="1:18" ht="16" x14ac:dyDescent="0.2">
      <c r="A190" s="14" t="s">
        <v>333</v>
      </c>
      <c r="B190" s="7" t="s">
        <v>329</v>
      </c>
      <c r="C190" s="7">
        <v>500</v>
      </c>
      <c r="D190" s="7" t="s">
        <v>322</v>
      </c>
      <c r="E190" s="7" t="s">
        <v>162</v>
      </c>
      <c r="G190" s="7" t="s">
        <v>316</v>
      </c>
      <c r="H190" s="7" t="s">
        <v>23</v>
      </c>
      <c r="I190" s="7" t="s">
        <v>330</v>
      </c>
      <c r="L190" s="7" t="s">
        <v>332</v>
      </c>
    </row>
    <row r="191" spans="1:18" s="16" customFormat="1" ht="16" x14ac:dyDescent="0.2">
      <c r="A191" s="15" t="s">
        <v>334</v>
      </c>
      <c r="B191" s="16" t="s">
        <v>329</v>
      </c>
      <c r="C191" s="16">
        <v>500</v>
      </c>
      <c r="D191" s="16" t="s">
        <v>322</v>
      </c>
      <c r="E191" s="16" t="s">
        <v>162</v>
      </c>
      <c r="G191" s="16" t="s">
        <v>316</v>
      </c>
      <c r="H191" s="16" t="s">
        <v>23</v>
      </c>
      <c r="I191" s="7" t="s">
        <v>330</v>
      </c>
      <c r="L191" s="16" t="s">
        <v>332</v>
      </c>
    </row>
    <row r="192" spans="1:18" s="13" customFormat="1" ht="16" x14ac:dyDescent="0.2">
      <c r="A192" s="10" t="s">
        <v>335</v>
      </c>
      <c r="B192" s="13" t="s">
        <v>336</v>
      </c>
      <c r="C192" s="13">
        <v>500</v>
      </c>
      <c r="D192" s="13" t="s">
        <v>322</v>
      </c>
      <c r="E192" s="13" t="s">
        <v>162</v>
      </c>
      <c r="G192" s="13" t="s">
        <v>316</v>
      </c>
      <c r="H192" s="13" t="s">
        <v>23</v>
      </c>
      <c r="I192" s="7" t="s">
        <v>330</v>
      </c>
      <c r="K192" s="146"/>
      <c r="L192" s="13" t="s">
        <v>337</v>
      </c>
      <c r="P192" s="13" t="s">
        <v>37</v>
      </c>
    </row>
    <row r="193" spans="1:16" ht="16" x14ac:dyDescent="0.2">
      <c r="A193" s="14" t="s">
        <v>338</v>
      </c>
      <c r="B193" s="7" t="s">
        <v>336</v>
      </c>
      <c r="C193" s="7">
        <v>500</v>
      </c>
      <c r="D193" s="7" t="s">
        <v>322</v>
      </c>
      <c r="E193" s="7" t="s">
        <v>162</v>
      </c>
      <c r="G193" s="7" t="s">
        <v>316</v>
      </c>
      <c r="H193" s="7" t="s">
        <v>23</v>
      </c>
      <c r="I193" s="7" t="s">
        <v>330</v>
      </c>
      <c r="L193" s="7" t="s">
        <v>337</v>
      </c>
    </row>
    <row r="194" spans="1:16" s="16" customFormat="1" ht="16" x14ac:dyDescent="0.2">
      <c r="A194" s="15" t="s">
        <v>339</v>
      </c>
      <c r="B194" s="16" t="s">
        <v>336</v>
      </c>
      <c r="C194" s="16">
        <v>500</v>
      </c>
      <c r="D194" s="16" t="s">
        <v>322</v>
      </c>
      <c r="E194" s="16" t="s">
        <v>162</v>
      </c>
      <c r="G194" s="16" t="s">
        <v>316</v>
      </c>
      <c r="H194" s="16" t="s">
        <v>23</v>
      </c>
      <c r="I194" s="7" t="s">
        <v>330</v>
      </c>
      <c r="L194" s="16" t="s">
        <v>337</v>
      </c>
    </row>
    <row r="195" spans="1:16" s="13" customFormat="1" ht="16" x14ac:dyDescent="0.2">
      <c r="A195" s="10" t="s">
        <v>340</v>
      </c>
      <c r="B195" s="13" t="s">
        <v>341</v>
      </c>
      <c r="C195" s="13">
        <v>500</v>
      </c>
      <c r="D195" s="13" t="s">
        <v>322</v>
      </c>
      <c r="E195" s="13" t="s">
        <v>162</v>
      </c>
      <c r="G195" s="13" t="s">
        <v>163</v>
      </c>
      <c r="H195" s="13" t="s">
        <v>23</v>
      </c>
      <c r="I195" s="7"/>
    </row>
    <row r="196" spans="1:16" ht="16" x14ac:dyDescent="0.2">
      <c r="A196" s="14" t="s">
        <v>342</v>
      </c>
      <c r="B196" s="7" t="s">
        <v>341</v>
      </c>
      <c r="C196" s="7">
        <v>500</v>
      </c>
      <c r="D196" s="7" t="s">
        <v>322</v>
      </c>
      <c r="E196" s="7" t="s">
        <v>162</v>
      </c>
      <c r="G196" s="7" t="s">
        <v>163</v>
      </c>
      <c r="H196" s="7" t="s">
        <v>23</v>
      </c>
      <c r="I196" s="7" t="s">
        <v>323</v>
      </c>
      <c r="J196" s="7" t="s">
        <v>25</v>
      </c>
      <c r="K196" s="7" t="s">
        <v>324</v>
      </c>
      <c r="L196" s="7" t="s">
        <v>325</v>
      </c>
      <c r="P196" s="7" t="s">
        <v>28</v>
      </c>
    </row>
    <row r="197" spans="1:16" s="16" customFormat="1" ht="16" x14ac:dyDescent="0.2">
      <c r="A197" s="15" t="s">
        <v>343</v>
      </c>
      <c r="B197" s="16" t="s">
        <v>341</v>
      </c>
      <c r="C197" s="16">
        <v>500</v>
      </c>
      <c r="D197" s="16" t="s">
        <v>322</v>
      </c>
      <c r="E197" s="16" t="s">
        <v>162</v>
      </c>
      <c r="G197" s="16" t="s">
        <v>163</v>
      </c>
      <c r="H197" s="16" t="s">
        <v>23</v>
      </c>
      <c r="I197" s="7" t="s">
        <v>330</v>
      </c>
      <c r="L197" s="16" t="s">
        <v>337</v>
      </c>
    </row>
    <row r="198" spans="1:16" s="13" customFormat="1" ht="16" x14ac:dyDescent="0.2">
      <c r="A198" s="10" t="s">
        <v>344</v>
      </c>
      <c r="B198" s="13" t="s">
        <v>345</v>
      </c>
      <c r="C198" s="13">
        <v>500</v>
      </c>
      <c r="D198" s="13" t="s">
        <v>322</v>
      </c>
      <c r="E198" s="13" t="s">
        <v>162</v>
      </c>
      <c r="G198" s="13" t="s">
        <v>163</v>
      </c>
      <c r="H198" s="13" t="s">
        <v>23</v>
      </c>
      <c r="I198" s="7" t="s">
        <v>323</v>
      </c>
      <c r="J198" s="13" t="s">
        <v>25</v>
      </c>
      <c r="K198" s="13" t="s">
        <v>324</v>
      </c>
      <c r="L198" s="13" t="s">
        <v>325</v>
      </c>
      <c r="P198" s="13" t="s">
        <v>28</v>
      </c>
    </row>
    <row r="199" spans="1:16" ht="16" x14ac:dyDescent="0.2">
      <c r="A199" s="14" t="s">
        <v>346</v>
      </c>
      <c r="B199" s="7" t="s">
        <v>345</v>
      </c>
      <c r="C199" s="7">
        <v>500</v>
      </c>
      <c r="D199" s="7" t="s">
        <v>322</v>
      </c>
      <c r="E199" s="7" t="s">
        <v>162</v>
      </c>
      <c r="G199" s="7" t="s">
        <v>163</v>
      </c>
      <c r="H199" s="7" t="s">
        <v>23</v>
      </c>
      <c r="I199" s="7" t="s">
        <v>330</v>
      </c>
      <c r="L199" s="7" t="s">
        <v>337</v>
      </c>
    </row>
    <row r="200" spans="1:16" ht="16" x14ac:dyDescent="0.2">
      <c r="A200" s="14" t="s">
        <v>347</v>
      </c>
      <c r="B200" s="7" t="s">
        <v>345</v>
      </c>
      <c r="C200" s="7">
        <v>500</v>
      </c>
      <c r="D200" s="7" t="s">
        <v>322</v>
      </c>
      <c r="E200" s="7" t="s">
        <v>162</v>
      </c>
      <c r="G200" s="7" t="s">
        <v>163</v>
      </c>
      <c r="H200" s="7" t="s">
        <v>23</v>
      </c>
      <c r="I200" s="7" t="s">
        <v>330</v>
      </c>
      <c r="L200" s="7" t="s">
        <v>337</v>
      </c>
    </row>
    <row r="201" spans="1:16" ht="16" x14ac:dyDescent="0.2">
      <c r="A201" s="14" t="s">
        <v>348</v>
      </c>
      <c r="B201" s="7" t="s">
        <v>345</v>
      </c>
      <c r="C201" s="7">
        <v>500</v>
      </c>
      <c r="D201" s="7" t="s">
        <v>322</v>
      </c>
      <c r="E201" s="7" t="s">
        <v>162</v>
      </c>
      <c r="G201" s="7" t="s">
        <v>163</v>
      </c>
      <c r="H201" s="7" t="s">
        <v>23</v>
      </c>
      <c r="I201" s="7" t="s">
        <v>330</v>
      </c>
      <c r="L201" s="7" t="s">
        <v>332</v>
      </c>
    </row>
    <row r="202" spans="1:16" s="16" customFormat="1" ht="16" x14ac:dyDescent="0.2">
      <c r="A202" s="15" t="s">
        <v>349</v>
      </c>
      <c r="B202" s="16" t="s">
        <v>345</v>
      </c>
      <c r="C202" s="16">
        <v>500</v>
      </c>
      <c r="D202" s="16" t="s">
        <v>322</v>
      </c>
      <c r="E202" s="16" t="s">
        <v>162</v>
      </c>
      <c r="G202" s="16" t="s">
        <v>163</v>
      </c>
      <c r="H202" s="16" t="s">
        <v>23</v>
      </c>
      <c r="I202" s="7" t="s">
        <v>330</v>
      </c>
      <c r="L202" s="16" t="s">
        <v>337</v>
      </c>
    </row>
    <row r="203" spans="1:16" s="13" customFormat="1" ht="16" x14ac:dyDescent="0.2">
      <c r="A203" s="10" t="s">
        <v>350</v>
      </c>
      <c r="B203" s="13" t="s">
        <v>351</v>
      </c>
      <c r="C203" s="13">
        <v>500</v>
      </c>
      <c r="D203" s="13" t="s">
        <v>322</v>
      </c>
      <c r="E203" s="13" t="s">
        <v>162</v>
      </c>
      <c r="G203" s="13" t="s">
        <v>163</v>
      </c>
      <c r="H203" s="13" t="s">
        <v>23</v>
      </c>
      <c r="I203" s="7" t="s">
        <v>330</v>
      </c>
      <c r="L203" s="13" t="s">
        <v>337</v>
      </c>
      <c r="P203" s="13" t="s">
        <v>37</v>
      </c>
    </row>
    <row r="204" spans="1:16" ht="16" x14ac:dyDescent="0.2">
      <c r="A204" s="14" t="s">
        <v>352</v>
      </c>
      <c r="B204" s="7" t="s">
        <v>351</v>
      </c>
      <c r="C204" s="7">
        <v>500</v>
      </c>
      <c r="D204" s="7" t="s">
        <v>322</v>
      </c>
      <c r="E204" s="7" t="s">
        <v>162</v>
      </c>
      <c r="G204" s="7" t="s">
        <v>163</v>
      </c>
      <c r="H204" s="7" t="s">
        <v>23</v>
      </c>
      <c r="I204" s="7" t="s">
        <v>330</v>
      </c>
      <c r="L204" s="7" t="s">
        <v>337</v>
      </c>
    </row>
    <row r="205" spans="1:16" s="16" customFormat="1" ht="16" x14ac:dyDescent="0.2">
      <c r="A205" s="15" t="s">
        <v>353</v>
      </c>
      <c r="B205" s="16" t="s">
        <v>351</v>
      </c>
      <c r="C205" s="16">
        <v>500</v>
      </c>
      <c r="D205" s="16" t="s">
        <v>322</v>
      </c>
      <c r="E205" s="16" t="s">
        <v>162</v>
      </c>
      <c r="G205" s="16" t="s">
        <v>163</v>
      </c>
      <c r="H205" s="16" t="s">
        <v>23</v>
      </c>
      <c r="I205" s="7" t="s">
        <v>330</v>
      </c>
      <c r="L205" s="16" t="s">
        <v>337</v>
      </c>
    </row>
    <row r="206" spans="1:16" s="13" customFormat="1" ht="16" x14ac:dyDescent="0.2">
      <c r="A206" s="10" t="s">
        <v>354</v>
      </c>
      <c r="B206" s="13" t="s">
        <v>355</v>
      </c>
      <c r="C206" s="13">
        <v>500</v>
      </c>
      <c r="D206" s="13" t="s">
        <v>322</v>
      </c>
      <c r="E206" s="13" t="s">
        <v>162</v>
      </c>
      <c r="G206" s="13" t="s">
        <v>211</v>
      </c>
      <c r="H206" s="13" t="s">
        <v>23</v>
      </c>
      <c r="I206" s="7" t="s">
        <v>330</v>
      </c>
      <c r="K206" s="146"/>
      <c r="L206" s="13" t="s">
        <v>337</v>
      </c>
      <c r="P206" s="13" t="s">
        <v>37</v>
      </c>
    </row>
    <row r="207" spans="1:16" ht="16" x14ac:dyDescent="0.2">
      <c r="A207" s="14" t="s">
        <v>356</v>
      </c>
      <c r="B207" s="7" t="s">
        <v>355</v>
      </c>
      <c r="C207" s="7">
        <v>500</v>
      </c>
      <c r="D207" s="7" t="s">
        <v>322</v>
      </c>
      <c r="E207" s="7" t="s">
        <v>162</v>
      </c>
      <c r="G207" s="7" t="s">
        <v>211</v>
      </c>
      <c r="H207" s="7" t="s">
        <v>23</v>
      </c>
      <c r="I207" s="7" t="s">
        <v>330</v>
      </c>
      <c r="L207" s="7" t="s">
        <v>337</v>
      </c>
    </row>
    <row r="208" spans="1:16" s="16" customFormat="1" ht="16" x14ac:dyDescent="0.2">
      <c r="A208" s="15" t="s">
        <v>357</v>
      </c>
      <c r="B208" s="16" t="s">
        <v>355</v>
      </c>
      <c r="C208" s="16">
        <v>500</v>
      </c>
      <c r="D208" s="16" t="s">
        <v>322</v>
      </c>
      <c r="E208" s="16" t="s">
        <v>162</v>
      </c>
      <c r="G208" s="16" t="s">
        <v>211</v>
      </c>
      <c r="H208" s="16" t="s">
        <v>23</v>
      </c>
      <c r="I208" s="7" t="s">
        <v>330</v>
      </c>
      <c r="L208" s="16" t="s">
        <v>337</v>
      </c>
    </row>
    <row r="209" spans="1:16" s="13" customFormat="1" ht="16" x14ac:dyDescent="0.2">
      <c r="A209" s="10" t="s">
        <v>358</v>
      </c>
      <c r="B209" s="13" t="s">
        <v>359</v>
      </c>
      <c r="C209" s="13">
        <v>500</v>
      </c>
      <c r="D209" s="13" t="s">
        <v>322</v>
      </c>
      <c r="E209" s="13" t="s">
        <v>162</v>
      </c>
      <c r="G209" s="13" t="s">
        <v>211</v>
      </c>
      <c r="H209" s="13" t="s">
        <v>23</v>
      </c>
      <c r="I209" s="7" t="s">
        <v>330</v>
      </c>
      <c r="L209" s="13" t="s">
        <v>337</v>
      </c>
      <c r="P209" s="13" t="s">
        <v>37</v>
      </c>
    </row>
    <row r="210" spans="1:16" ht="16" x14ac:dyDescent="0.2">
      <c r="A210" s="14" t="s">
        <v>360</v>
      </c>
      <c r="B210" s="7" t="s">
        <v>359</v>
      </c>
      <c r="C210" s="7">
        <v>500</v>
      </c>
      <c r="D210" s="7" t="s">
        <v>322</v>
      </c>
      <c r="E210" s="7" t="s">
        <v>162</v>
      </c>
      <c r="G210" s="7" t="s">
        <v>211</v>
      </c>
      <c r="H210" s="7" t="s">
        <v>23</v>
      </c>
      <c r="I210" s="7" t="s">
        <v>330</v>
      </c>
      <c r="L210" s="7" t="s">
        <v>337</v>
      </c>
    </row>
    <row r="211" spans="1:16" s="16" customFormat="1" ht="16" x14ac:dyDescent="0.2">
      <c r="A211" s="15" t="s">
        <v>361</v>
      </c>
      <c r="B211" s="16" t="s">
        <v>359</v>
      </c>
      <c r="C211" s="16">
        <v>500</v>
      </c>
      <c r="D211" s="16" t="s">
        <v>322</v>
      </c>
      <c r="E211" s="16" t="s">
        <v>162</v>
      </c>
      <c r="G211" s="16" t="s">
        <v>211</v>
      </c>
      <c r="H211" s="16" t="s">
        <v>23</v>
      </c>
      <c r="I211" s="7" t="s">
        <v>330</v>
      </c>
      <c r="L211" s="16" t="s">
        <v>337</v>
      </c>
    </row>
    <row r="212" spans="1:16" s="13" customFormat="1" ht="16" x14ac:dyDescent="0.2">
      <c r="A212" s="10" t="s">
        <v>362</v>
      </c>
      <c r="B212" s="13" t="s">
        <v>363</v>
      </c>
      <c r="C212" s="13">
        <v>500</v>
      </c>
      <c r="D212" s="13" t="s">
        <v>322</v>
      </c>
      <c r="E212" s="13" t="s">
        <v>162</v>
      </c>
      <c r="G212" s="13" t="s">
        <v>211</v>
      </c>
      <c r="H212" s="13" t="s">
        <v>23</v>
      </c>
      <c r="I212" s="7" t="s">
        <v>330</v>
      </c>
      <c r="K212" s="146"/>
      <c r="L212" s="13" t="s">
        <v>337</v>
      </c>
      <c r="P212" s="13" t="s">
        <v>37</v>
      </c>
    </row>
    <row r="213" spans="1:16" ht="16" x14ac:dyDescent="0.2">
      <c r="A213" s="14" t="s">
        <v>364</v>
      </c>
      <c r="B213" s="7" t="s">
        <v>363</v>
      </c>
      <c r="C213" s="7">
        <v>500</v>
      </c>
      <c r="D213" s="7" t="s">
        <v>322</v>
      </c>
      <c r="E213" s="7" t="s">
        <v>162</v>
      </c>
      <c r="G213" s="7" t="s">
        <v>211</v>
      </c>
      <c r="H213" s="7" t="s">
        <v>23</v>
      </c>
      <c r="I213" s="7" t="s">
        <v>330</v>
      </c>
      <c r="L213" s="7" t="s">
        <v>337</v>
      </c>
    </row>
    <row r="214" spans="1:16" s="16" customFormat="1" ht="16" x14ac:dyDescent="0.2">
      <c r="A214" s="15" t="s">
        <v>365</v>
      </c>
      <c r="B214" s="16" t="s">
        <v>363</v>
      </c>
      <c r="C214" s="16">
        <v>500</v>
      </c>
      <c r="D214" s="16" t="s">
        <v>322</v>
      </c>
      <c r="E214" s="16" t="s">
        <v>162</v>
      </c>
      <c r="G214" s="16" t="s">
        <v>211</v>
      </c>
      <c r="H214" s="16" t="s">
        <v>23</v>
      </c>
      <c r="I214" s="7" t="s">
        <v>330</v>
      </c>
      <c r="L214" s="16" t="s">
        <v>337</v>
      </c>
    </row>
    <row r="215" spans="1:16" s="13" customFormat="1" ht="16" x14ac:dyDescent="0.2">
      <c r="A215" s="10" t="s">
        <v>366</v>
      </c>
      <c r="B215" s="13" t="s">
        <v>367</v>
      </c>
      <c r="C215" s="13">
        <v>500</v>
      </c>
      <c r="D215" s="13" t="s">
        <v>322</v>
      </c>
      <c r="E215" s="13" t="s">
        <v>162</v>
      </c>
      <c r="G215" s="13" t="s">
        <v>318</v>
      </c>
      <c r="H215" s="13" t="s">
        <v>23</v>
      </c>
      <c r="I215" s="7" t="s">
        <v>323</v>
      </c>
      <c r="J215" s="13" t="s">
        <v>25</v>
      </c>
      <c r="K215" s="13" t="s">
        <v>324</v>
      </c>
      <c r="L215" s="13" t="s">
        <v>325</v>
      </c>
      <c r="P215" s="13" t="s">
        <v>28</v>
      </c>
    </row>
    <row r="216" spans="1:16" ht="16" x14ac:dyDescent="0.2">
      <c r="A216" s="14" t="s">
        <v>368</v>
      </c>
      <c r="B216" s="7" t="s">
        <v>367</v>
      </c>
      <c r="C216" s="7">
        <v>500</v>
      </c>
      <c r="D216" s="7" t="s">
        <v>322</v>
      </c>
      <c r="E216" s="7" t="s">
        <v>162</v>
      </c>
      <c r="G216" s="7" t="s">
        <v>318</v>
      </c>
      <c r="H216" s="7" t="s">
        <v>23</v>
      </c>
      <c r="I216" s="7" t="s">
        <v>330</v>
      </c>
      <c r="L216" s="7" t="s">
        <v>332</v>
      </c>
    </row>
    <row r="217" spans="1:16" s="16" customFormat="1" ht="16" x14ac:dyDescent="0.2">
      <c r="A217" s="15" t="s">
        <v>369</v>
      </c>
      <c r="B217" s="16" t="s">
        <v>367</v>
      </c>
      <c r="C217" s="16">
        <v>500</v>
      </c>
      <c r="D217" s="16" t="s">
        <v>322</v>
      </c>
      <c r="E217" s="16" t="s">
        <v>162</v>
      </c>
      <c r="G217" s="16" t="s">
        <v>318</v>
      </c>
      <c r="H217" s="16" t="s">
        <v>23</v>
      </c>
      <c r="I217" s="7" t="s">
        <v>330</v>
      </c>
      <c r="L217" s="16" t="s">
        <v>337</v>
      </c>
    </row>
    <row r="218" spans="1:16" s="13" customFormat="1" ht="16" x14ac:dyDescent="0.2">
      <c r="A218" s="10" t="s">
        <v>370</v>
      </c>
      <c r="B218" s="13" t="s">
        <v>371</v>
      </c>
      <c r="C218" s="13">
        <v>500</v>
      </c>
      <c r="D218" s="13" t="s">
        <v>322</v>
      </c>
      <c r="E218" s="13" t="s">
        <v>162</v>
      </c>
      <c r="G218" s="13" t="s">
        <v>318</v>
      </c>
      <c r="H218" s="13" t="s">
        <v>23</v>
      </c>
      <c r="I218" s="7" t="s">
        <v>330</v>
      </c>
      <c r="L218" s="13" t="s">
        <v>337</v>
      </c>
      <c r="P218" s="13" t="s">
        <v>37</v>
      </c>
    </row>
    <row r="219" spans="1:16" ht="16" x14ac:dyDescent="0.2">
      <c r="A219" s="14" t="s">
        <v>372</v>
      </c>
      <c r="B219" s="7" t="s">
        <v>371</v>
      </c>
      <c r="C219" s="7">
        <v>500</v>
      </c>
      <c r="D219" s="7" t="s">
        <v>322</v>
      </c>
      <c r="E219" s="7" t="s">
        <v>162</v>
      </c>
      <c r="G219" s="7" t="s">
        <v>318</v>
      </c>
      <c r="H219" s="7" t="s">
        <v>23</v>
      </c>
      <c r="I219" s="7" t="s">
        <v>330</v>
      </c>
      <c r="L219" s="7" t="s">
        <v>337</v>
      </c>
    </row>
    <row r="220" spans="1:16" s="16" customFormat="1" ht="16" x14ac:dyDescent="0.2">
      <c r="A220" s="15" t="s">
        <v>373</v>
      </c>
      <c r="B220" s="16" t="s">
        <v>371</v>
      </c>
      <c r="C220" s="16">
        <v>500</v>
      </c>
      <c r="D220" s="16" t="s">
        <v>322</v>
      </c>
      <c r="E220" s="16" t="s">
        <v>162</v>
      </c>
      <c r="G220" s="16" t="s">
        <v>318</v>
      </c>
      <c r="H220" s="16" t="s">
        <v>23</v>
      </c>
      <c r="I220" s="7" t="s">
        <v>330</v>
      </c>
      <c r="L220" s="16" t="s">
        <v>337</v>
      </c>
    </row>
    <row r="221" spans="1:16" s="13" customFormat="1" ht="16" x14ac:dyDescent="0.2">
      <c r="A221" s="10" t="s">
        <v>374</v>
      </c>
      <c r="B221" s="13" t="s">
        <v>375</v>
      </c>
      <c r="C221" s="13">
        <v>500</v>
      </c>
      <c r="D221" s="13" t="s">
        <v>322</v>
      </c>
      <c r="E221" s="13" t="s">
        <v>162</v>
      </c>
      <c r="G221" s="13" t="s">
        <v>318</v>
      </c>
      <c r="H221" s="13" t="s">
        <v>23</v>
      </c>
      <c r="I221" s="7" t="s">
        <v>330</v>
      </c>
      <c r="L221" s="13" t="s">
        <v>337</v>
      </c>
      <c r="P221" s="13" t="s">
        <v>37</v>
      </c>
    </row>
    <row r="222" spans="1:16" ht="16" x14ac:dyDescent="0.2">
      <c r="A222" s="14" t="s">
        <v>376</v>
      </c>
      <c r="B222" s="7" t="s">
        <v>375</v>
      </c>
      <c r="C222" s="7">
        <v>500</v>
      </c>
      <c r="D222" s="7" t="s">
        <v>322</v>
      </c>
      <c r="E222" s="7" t="s">
        <v>162</v>
      </c>
      <c r="G222" s="7" t="s">
        <v>318</v>
      </c>
      <c r="H222" s="7" t="s">
        <v>23</v>
      </c>
      <c r="I222" s="7" t="s">
        <v>330</v>
      </c>
      <c r="L222" s="7" t="s">
        <v>337</v>
      </c>
    </row>
    <row r="223" spans="1:16" s="16" customFormat="1" ht="16" x14ac:dyDescent="0.2">
      <c r="A223" s="15" t="s">
        <v>377</v>
      </c>
      <c r="B223" s="16" t="s">
        <v>375</v>
      </c>
      <c r="C223" s="16">
        <v>500</v>
      </c>
      <c r="D223" s="16" t="s">
        <v>322</v>
      </c>
      <c r="E223" s="16" t="s">
        <v>162</v>
      </c>
      <c r="G223" s="16" t="s">
        <v>318</v>
      </c>
      <c r="H223" s="16" t="s">
        <v>23</v>
      </c>
      <c r="I223" s="7" t="s">
        <v>330</v>
      </c>
      <c r="L223" s="16" t="s">
        <v>337</v>
      </c>
    </row>
    <row r="224" spans="1:16" s="13" customFormat="1" ht="16" x14ac:dyDescent="0.2">
      <c r="A224" s="10" t="s">
        <v>378</v>
      </c>
      <c r="B224" s="13" t="s">
        <v>355</v>
      </c>
      <c r="C224" s="13">
        <v>500</v>
      </c>
      <c r="D224" s="13" t="s">
        <v>322</v>
      </c>
      <c r="E224" s="13" t="s">
        <v>162</v>
      </c>
      <c r="G224" s="13" t="s">
        <v>211</v>
      </c>
      <c r="H224" s="13" t="s">
        <v>23</v>
      </c>
      <c r="I224" s="7" t="s">
        <v>323</v>
      </c>
      <c r="J224" s="13" t="s">
        <v>25</v>
      </c>
      <c r="K224" s="13" t="s">
        <v>324</v>
      </c>
      <c r="L224" s="13" t="s">
        <v>325</v>
      </c>
      <c r="P224" s="13" t="s">
        <v>28</v>
      </c>
    </row>
    <row r="225" spans="1:19" ht="16" x14ac:dyDescent="0.2">
      <c r="A225" s="14" t="s">
        <v>379</v>
      </c>
      <c r="B225" s="7" t="s">
        <v>355</v>
      </c>
      <c r="C225" s="7">
        <v>500</v>
      </c>
      <c r="D225" s="7" t="s">
        <v>322</v>
      </c>
      <c r="E225" s="7" t="s">
        <v>162</v>
      </c>
      <c r="G225" s="7" t="s">
        <v>211</v>
      </c>
      <c r="H225" s="7" t="s">
        <v>23</v>
      </c>
      <c r="I225" s="7" t="s">
        <v>330</v>
      </c>
      <c r="L225" s="7" t="s">
        <v>337</v>
      </c>
    </row>
    <row r="226" spans="1:19" s="16" customFormat="1" ht="16" x14ac:dyDescent="0.2">
      <c r="A226" s="15" t="s">
        <v>380</v>
      </c>
      <c r="B226" s="16" t="s">
        <v>355</v>
      </c>
      <c r="C226" s="16">
        <v>500</v>
      </c>
      <c r="D226" s="16" t="s">
        <v>322</v>
      </c>
      <c r="E226" s="16" t="s">
        <v>162</v>
      </c>
      <c r="G226" s="16" t="s">
        <v>211</v>
      </c>
      <c r="H226" s="16" t="s">
        <v>23</v>
      </c>
      <c r="I226" s="7" t="s">
        <v>330</v>
      </c>
      <c r="L226" s="16" t="s">
        <v>337</v>
      </c>
    </row>
    <row r="227" spans="1:19" s="13" customFormat="1" ht="16" x14ac:dyDescent="0.2">
      <c r="A227" s="10" t="s">
        <v>381</v>
      </c>
      <c r="B227" s="13" t="s">
        <v>359</v>
      </c>
      <c r="C227" s="13">
        <v>500</v>
      </c>
      <c r="D227" s="13" t="s">
        <v>322</v>
      </c>
      <c r="E227" s="13" t="s">
        <v>162</v>
      </c>
      <c r="G227" s="13" t="s">
        <v>211</v>
      </c>
      <c r="H227" s="13" t="s">
        <v>23</v>
      </c>
      <c r="I227" s="7" t="s">
        <v>330</v>
      </c>
      <c r="L227" s="13" t="s">
        <v>337</v>
      </c>
    </row>
    <row r="228" spans="1:19" ht="16" x14ac:dyDescent="0.2">
      <c r="A228" s="14" t="s">
        <v>382</v>
      </c>
      <c r="B228" s="7" t="s">
        <v>359</v>
      </c>
      <c r="C228" s="7">
        <v>500</v>
      </c>
      <c r="D228" s="7" t="s">
        <v>322</v>
      </c>
      <c r="E228" s="7" t="s">
        <v>162</v>
      </c>
      <c r="G228" s="7" t="s">
        <v>211</v>
      </c>
      <c r="H228" s="7" t="s">
        <v>23</v>
      </c>
      <c r="I228" s="7" t="s">
        <v>330</v>
      </c>
      <c r="L228" s="7" t="s">
        <v>337</v>
      </c>
    </row>
    <row r="229" spans="1:19" s="16" customFormat="1" ht="16" x14ac:dyDescent="0.2">
      <c r="A229" s="15" t="s">
        <v>383</v>
      </c>
      <c r="B229" s="16" t="s">
        <v>359</v>
      </c>
      <c r="C229" s="16">
        <v>500</v>
      </c>
      <c r="D229" s="16" t="s">
        <v>322</v>
      </c>
      <c r="E229" s="16" t="s">
        <v>162</v>
      </c>
      <c r="G229" s="16" t="s">
        <v>211</v>
      </c>
      <c r="H229" s="16" t="s">
        <v>23</v>
      </c>
      <c r="I229" s="7" t="s">
        <v>330</v>
      </c>
      <c r="L229" s="16" t="s">
        <v>337</v>
      </c>
    </row>
    <row r="230" spans="1:19" s="13" customFormat="1" ht="16" x14ac:dyDescent="0.2">
      <c r="A230" s="10" t="s">
        <v>384</v>
      </c>
      <c r="B230" s="13" t="s">
        <v>363</v>
      </c>
      <c r="C230" s="13">
        <v>500</v>
      </c>
      <c r="D230" s="13" t="s">
        <v>322</v>
      </c>
      <c r="E230" s="13" t="s">
        <v>162</v>
      </c>
      <c r="G230" s="13" t="s">
        <v>211</v>
      </c>
      <c r="H230" s="13" t="s">
        <v>23</v>
      </c>
      <c r="I230" s="7" t="s">
        <v>323</v>
      </c>
      <c r="J230" s="13" t="s">
        <v>25</v>
      </c>
      <c r="K230" s="13" t="s">
        <v>324</v>
      </c>
      <c r="L230" s="13" t="s">
        <v>325</v>
      </c>
      <c r="P230" s="13" t="s">
        <v>28</v>
      </c>
      <c r="S230" s="13" t="s">
        <v>28</v>
      </c>
    </row>
    <row r="231" spans="1:19" ht="16" x14ac:dyDescent="0.2">
      <c r="A231" s="14" t="s">
        <v>385</v>
      </c>
      <c r="B231" s="7" t="s">
        <v>363</v>
      </c>
      <c r="C231" s="7">
        <v>500</v>
      </c>
      <c r="D231" s="7" t="s">
        <v>322</v>
      </c>
      <c r="E231" s="7" t="s">
        <v>162</v>
      </c>
      <c r="G231" s="7" t="s">
        <v>211</v>
      </c>
      <c r="H231" s="7" t="s">
        <v>23</v>
      </c>
      <c r="I231" s="7" t="s">
        <v>330</v>
      </c>
      <c r="L231" s="7" t="s">
        <v>332</v>
      </c>
    </row>
    <row r="232" spans="1:19" s="16" customFormat="1" ht="16" x14ac:dyDescent="0.2">
      <c r="A232" s="15" t="s">
        <v>386</v>
      </c>
      <c r="B232" s="16" t="s">
        <v>363</v>
      </c>
      <c r="C232" s="16">
        <v>500</v>
      </c>
      <c r="D232" s="16" t="s">
        <v>322</v>
      </c>
      <c r="E232" s="16" t="s">
        <v>162</v>
      </c>
      <c r="G232" s="16" t="s">
        <v>211</v>
      </c>
      <c r="H232" s="16" t="s">
        <v>23</v>
      </c>
      <c r="I232" s="7" t="s">
        <v>330</v>
      </c>
      <c r="L232" s="16" t="s">
        <v>337</v>
      </c>
    </row>
    <row r="233" spans="1:19" s="13" customFormat="1" ht="16" x14ac:dyDescent="0.2">
      <c r="A233" s="10" t="s">
        <v>387</v>
      </c>
      <c r="B233" s="13" t="s">
        <v>388</v>
      </c>
      <c r="C233" s="13">
        <v>500</v>
      </c>
      <c r="D233" s="13" t="s">
        <v>322</v>
      </c>
      <c r="E233" s="13" t="s">
        <v>110</v>
      </c>
      <c r="G233" s="13" t="s">
        <v>389</v>
      </c>
      <c r="H233" s="13" t="s">
        <v>23</v>
      </c>
      <c r="I233" s="7" t="s">
        <v>58</v>
      </c>
      <c r="J233" s="13" t="s">
        <v>25</v>
      </c>
    </row>
    <row r="234" spans="1:19" ht="16" x14ac:dyDescent="0.2">
      <c r="A234" s="14" t="s">
        <v>390</v>
      </c>
      <c r="B234" s="7" t="s">
        <v>388</v>
      </c>
      <c r="C234" s="7">
        <v>500</v>
      </c>
      <c r="D234" s="7" t="s">
        <v>322</v>
      </c>
      <c r="E234" s="7" t="s">
        <v>110</v>
      </c>
      <c r="G234" s="7" t="s">
        <v>389</v>
      </c>
      <c r="H234" s="7" t="s">
        <v>23</v>
      </c>
      <c r="I234" s="7" t="s">
        <v>323</v>
      </c>
      <c r="J234" s="7" t="s">
        <v>25</v>
      </c>
      <c r="K234" s="7" t="s">
        <v>324</v>
      </c>
      <c r="L234" s="7" t="s">
        <v>325</v>
      </c>
      <c r="P234" s="7" t="s">
        <v>28</v>
      </c>
    </row>
    <row r="235" spans="1:19" s="16" customFormat="1" ht="16" x14ac:dyDescent="0.2">
      <c r="A235" s="15" t="s">
        <v>391</v>
      </c>
      <c r="B235" s="16" t="s">
        <v>388</v>
      </c>
      <c r="C235" s="16">
        <v>500</v>
      </c>
      <c r="D235" s="16" t="s">
        <v>322</v>
      </c>
      <c r="E235" s="16" t="s">
        <v>110</v>
      </c>
      <c r="G235" s="16" t="s">
        <v>389</v>
      </c>
      <c r="H235" s="16" t="s">
        <v>23</v>
      </c>
      <c r="I235" s="7" t="s">
        <v>323</v>
      </c>
      <c r="J235" s="16" t="s">
        <v>25</v>
      </c>
      <c r="K235" s="16" t="s">
        <v>324</v>
      </c>
      <c r="L235" s="16" t="s">
        <v>325</v>
      </c>
      <c r="P235" s="16" t="s">
        <v>28</v>
      </c>
    </row>
    <row r="236" spans="1:19" s="13" customFormat="1" ht="16" x14ac:dyDescent="0.2">
      <c r="A236" s="10" t="s">
        <v>392</v>
      </c>
      <c r="B236" s="13" t="s">
        <v>393</v>
      </c>
      <c r="C236" s="13">
        <v>500</v>
      </c>
      <c r="D236" s="13" t="s">
        <v>322</v>
      </c>
      <c r="E236" s="13" t="s">
        <v>110</v>
      </c>
      <c r="G236" s="13" t="s">
        <v>122</v>
      </c>
      <c r="H236" s="13" t="s">
        <v>23</v>
      </c>
      <c r="I236" s="7"/>
    </row>
    <row r="237" spans="1:19" ht="16" x14ac:dyDescent="0.2">
      <c r="A237" s="14" t="s">
        <v>394</v>
      </c>
      <c r="B237" s="7" t="s">
        <v>393</v>
      </c>
      <c r="C237" s="7">
        <v>500</v>
      </c>
      <c r="D237" s="7" t="s">
        <v>322</v>
      </c>
      <c r="E237" s="7" t="s">
        <v>110</v>
      </c>
      <c r="G237" s="7" t="s">
        <v>122</v>
      </c>
      <c r="H237" s="7" t="s">
        <v>23</v>
      </c>
      <c r="I237" s="7" t="s">
        <v>323</v>
      </c>
      <c r="J237" s="7" t="s">
        <v>25</v>
      </c>
      <c r="K237" s="7" t="s">
        <v>324</v>
      </c>
      <c r="L237" s="7" t="s">
        <v>325</v>
      </c>
      <c r="P237" s="7" t="s">
        <v>28</v>
      </c>
    </row>
    <row r="238" spans="1:19" s="16" customFormat="1" ht="16" x14ac:dyDescent="0.2">
      <c r="A238" s="15" t="s">
        <v>395</v>
      </c>
      <c r="B238" s="16" t="s">
        <v>393</v>
      </c>
      <c r="C238" s="16">
        <v>500</v>
      </c>
      <c r="D238" s="16" t="s">
        <v>322</v>
      </c>
      <c r="E238" s="16" t="s">
        <v>110</v>
      </c>
      <c r="G238" s="16" t="s">
        <v>122</v>
      </c>
      <c r="H238" s="16" t="s">
        <v>23</v>
      </c>
      <c r="I238" s="7"/>
    </row>
    <row r="239" spans="1:19" s="13" customFormat="1" ht="16" x14ac:dyDescent="0.2">
      <c r="A239" s="10" t="s">
        <v>396</v>
      </c>
      <c r="B239" s="13" t="s">
        <v>397</v>
      </c>
      <c r="C239" s="13">
        <v>500</v>
      </c>
      <c r="D239" s="13" t="s">
        <v>322</v>
      </c>
      <c r="E239" s="13" t="s">
        <v>110</v>
      </c>
      <c r="G239" s="13" t="s">
        <v>389</v>
      </c>
      <c r="H239" s="13" t="s">
        <v>23</v>
      </c>
      <c r="I239" s="7" t="s">
        <v>323</v>
      </c>
      <c r="J239" s="13" t="s">
        <v>25</v>
      </c>
      <c r="K239" s="13" t="s">
        <v>324</v>
      </c>
      <c r="L239" s="13" t="s">
        <v>325</v>
      </c>
      <c r="P239" s="13" t="s">
        <v>28</v>
      </c>
    </row>
    <row r="240" spans="1:19" ht="16" x14ac:dyDescent="0.2">
      <c r="A240" s="14" t="s">
        <v>398</v>
      </c>
      <c r="B240" s="7" t="s">
        <v>397</v>
      </c>
      <c r="C240" s="7">
        <v>500</v>
      </c>
      <c r="D240" s="7" t="s">
        <v>322</v>
      </c>
      <c r="E240" s="7" t="s">
        <v>110</v>
      </c>
      <c r="G240" s="7" t="s">
        <v>389</v>
      </c>
      <c r="H240" s="7" t="s">
        <v>23</v>
      </c>
      <c r="I240" s="7" t="s">
        <v>323</v>
      </c>
      <c r="J240" s="7" t="s">
        <v>25</v>
      </c>
      <c r="K240" s="7" t="s">
        <v>324</v>
      </c>
      <c r="L240" s="7" t="s">
        <v>325</v>
      </c>
      <c r="P240" s="7" t="s">
        <v>28</v>
      </c>
    </row>
    <row r="241" spans="1:17" s="16" customFormat="1" ht="16" x14ac:dyDescent="0.2">
      <c r="A241" s="15" t="s">
        <v>399</v>
      </c>
      <c r="B241" s="16" t="s">
        <v>397</v>
      </c>
      <c r="C241" s="16">
        <v>500</v>
      </c>
      <c r="D241" s="16" t="s">
        <v>322</v>
      </c>
      <c r="E241" s="16" t="s">
        <v>110</v>
      </c>
      <c r="G241" s="16" t="s">
        <v>389</v>
      </c>
      <c r="H241" s="16" t="s">
        <v>23</v>
      </c>
      <c r="I241" s="7" t="s">
        <v>58</v>
      </c>
      <c r="J241" s="16" t="s">
        <v>48</v>
      </c>
      <c r="Q241" s="16" t="s">
        <v>28</v>
      </c>
    </row>
    <row r="242" spans="1:17" ht="16" x14ac:dyDescent="0.2">
      <c r="A242" s="7" t="s">
        <v>400</v>
      </c>
      <c r="B242" s="7" t="s">
        <v>401</v>
      </c>
      <c r="C242" s="7">
        <v>500</v>
      </c>
      <c r="D242" s="7" t="s">
        <v>322</v>
      </c>
      <c r="E242" s="7" t="s">
        <v>110</v>
      </c>
      <c r="G242" s="7" t="s">
        <v>122</v>
      </c>
      <c r="H242" s="7" t="s">
        <v>23</v>
      </c>
      <c r="I242" s="7" t="s">
        <v>323</v>
      </c>
      <c r="J242" s="7" t="s">
        <v>25</v>
      </c>
      <c r="K242" s="7" t="s">
        <v>324</v>
      </c>
      <c r="L242" s="7" t="s">
        <v>325</v>
      </c>
      <c r="P242" s="7" t="s">
        <v>28</v>
      </c>
    </row>
    <row r="243" spans="1:17" ht="16" x14ac:dyDescent="0.2">
      <c r="A243" s="7" t="s">
        <v>402</v>
      </c>
      <c r="B243" s="7" t="s">
        <v>401</v>
      </c>
      <c r="C243" s="7">
        <v>500</v>
      </c>
      <c r="D243" s="7" t="s">
        <v>322</v>
      </c>
      <c r="E243" s="7" t="s">
        <v>110</v>
      </c>
      <c r="G243" s="7" t="s">
        <v>122</v>
      </c>
      <c r="H243" s="7" t="s">
        <v>23</v>
      </c>
      <c r="I243" s="7" t="s">
        <v>323</v>
      </c>
      <c r="J243" s="7" t="s">
        <v>25</v>
      </c>
      <c r="K243" s="7" t="s">
        <v>324</v>
      </c>
      <c r="L243" s="7" t="s">
        <v>325</v>
      </c>
      <c r="P243" s="7" t="s">
        <v>28</v>
      </c>
    </row>
    <row r="244" spans="1:17" ht="16" x14ac:dyDescent="0.2">
      <c r="A244" s="7" t="s">
        <v>403</v>
      </c>
      <c r="B244" s="7" t="s">
        <v>401</v>
      </c>
      <c r="C244" s="7">
        <v>500</v>
      </c>
      <c r="D244" s="7" t="s">
        <v>322</v>
      </c>
      <c r="E244" s="7" t="s">
        <v>110</v>
      </c>
      <c r="G244" s="7" t="s">
        <v>122</v>
      </c>
      <c r="H244" s="7" t="s">
        <v>23</v>
      </c>
      <c r="I244" s="7" t="s">
        <v>323</v>
      </c>
      <c r="J244" s="7" t="s">
        <v>25</v>
      </c>
      <c r="K244" s="7" t="s">
        <v>324</v>
      </c>
      <c r="L244" s="7" t="s">
        <v>325</v>
      </c>
      <c r="P244" s="7" t="s">
        <v>28</v>
      </c>
    </row>
    <row r="245" spans="1:17" ht="16" x14ac:dyDescent="0.2">
      <c r="A245" s="7" t="s">
        <v>404</v>
      </c>
      <c r="B245" s="7" t="s">
        <v>401</v>
      </c>
      <c r="C245" s="7">
        <v>500</v>
      </c>
      <c r="D245" s="7" t="s">
        <v>322</v>
      </c>
      <c r="E245" s="7" t="s">
        <v>110</v>
      </c>
      <c r="G245" s="7" t="s">
        <v>122</v>
      </c>
      <c r="H245" s="7" t="s">
        <v>23</v>
      </c>
      <c r="I245" s="7" t="s">
        <v>323</v>
      </c>
      <c r="J245" s="7" t="s">
        <v>25</v>
      </c>
      <c r="K245" s="7" t="s">
        <v>324</v>
      </c>
      <c r="L245" s="7" t="s">
        <v>325</v>
      </c>
    </row>
    <row r="246" spans="1:17" ht="16" x14ac:dyDescent="0.2">
      <c r="A246" s="7" t="s">
        <v>405</v>
      </c>
      <c r="B246" s="7" t="s">
        <v>401</v>
      </c>
      <c r="C246" s="7">
        <v>500</v>
      </c>
      <c r="D246" s="7" t="s">
        <v>322</v>
      </c>
      <c r="E246" s="7" t="s">
        <v>110</v>
      </c>
      <c r="G246" s="7" t="s">
        <v>122</v>
      </c>
      <c r="H246" s="7" t="s">
        <v>23</v>
      </c>
      <c r="I246" s="7" t="s">
        <v>323</v>
      </c>
      <c r="J246" s="7" t="s">
        <v>25</v>
      </c>
      <c r="K246" s="7" t="s">
        <v>324</v>
      </c>
      <c r="L246" s="7" t="s">
        <v>325</v>
      </c>
      <c r="P246" s="7" t="s">
        <v>28</v>
      </c>
    </row>
    <row r="247" spans="1:17" s="13" customFormat="1" ht="16" x14ac:dyDescent="0.2">
      <c r="A247" s="10" t="s">
        <v>406</v>
      </c>
      <c r="B247" s="13" t="s">
        <v>407</v>
      </c>
      <c r="C247" s="13">
        <v>500</v>
      </c>
      <c r="D247" s="13" t="s">
        <v>322</v>
      </c>
      <c r="E247" s="13" t="s">
        <v>110</v>
      </c>
      <c r="G247" s="13" t="s">
        <v>389</v>
      </c>
      <c r="H247" s="13" t="s">
        <v>23</v>
      </c>
      <c r="I247" s="7" t="s">
        <v>323</v>
      </c>
      <c r="J247" s="13" t="s">
        <v>25</v>
      </c>
      <c r="K247" s="13" t="s">
        <v>324</v>
      </c>
      <c r="L247" s="13" t="s">
        <v>325</v>
      </c>
      <c r="P247" s="13" t="s">
        <v>28</v>
      </c>
    </row>
    <row r="248" spans="1:17" ht="16" x14ac:dyDescent="0.2">
      <c r="A248" s="14" t="s">
        <v>408</v>
      </c>
      <c r="B248" s="7" t="s">
        <v>407</v>
      </c>
      <c r="C248" s="7">
        <v>500</v>
      </c>
      <c r="D248" s="7" t="s">
        <v>322</v>
      </c>
      <c r="E248" s="7" t="s">
        <v>110</v>
      </c>
      <c r="G248" s="7" t="s">
        <v>389</v>
      </c>
      <c r="H248" s="7" t="s">
        <v>23</v>
      </c>
      <c r="I248" s="7" t="s">
        <v>323</v>
      </c>
      <c r="J248" s="7" t="s">
        <v>25</v>
      </c>
      <c r="K248" s="7" t="s">
        <v>324</v>
      </c>
      <c r="L248" s="7" t="s">
        <v>325</v>
      </c>
      <c r="P248" s="7" t="s">
        <v>28</v>
      </c>
    </row>
    <row r="249" spans="1:17" s="16" customFormat="1" ht="16" x14ac:dyDescent="0.2">
      <c r="A249" s="15" t="s">
        <v>409</v>
      </c>
      <c r="B249" s="16" t="s">
        <v>407</v>
      </c>
      <c r="C249" s="16">
        <v>500</v>
      </c>
      <c r="D249" s="16" t="s">
        <v>322</v>
      </c>
      <c r="E249" s="16" t="s">
        <v>110</v>
      </c>
      <c r="G249" s="16" t="s">
        <v>389</v>
      </c>
      <c r="H249" s="16" t="s">
        <v>23</v>
      </c>
      <c r="I249" s="7" t="s">
        <v>58</v>
      </c>
      <c r="J249" s="16" t="s">
        <v>48</v>
      </c>
      <c r="Q249" s="16" t="s">
        <v>28</v>
      </c>
    </row>
    <row r="250" spans="1:17" ht="16" x14ac:dyDescent="0.2">
      <c r="A250" s="7" t="s">
        <v>410</v>
      </c>
      <c r="B250" s="7" t="s">
        <v>411</v>
      </c>
      <c r="C250" s="7">
        <v>500</v>
      </c>
      <c r="D250" s="7" t="s">
        <v>322</v>
      </c>
      <c r="E250" s="7" t="s">
        <v>110</v>
      </c>
      <c r="G250" s="7" t="s">
        <v>122</v>
      </c>
      <c r="H250" s="7" t="s">
        <v>23</v>
      </c>
      <c r="I250" s="7" t="s">
        <v>323</v>
      </c>
      <c r="J250" s="7" t="s">
        <v>25</v>
      </c>
      <c r="K250" s="7" t="s">
        <v>324</v>
      </c>
      <c r="L250" s="7" t="s">
        <v>325</v>
      </c>
      <c r="P250" s="7" t="s">
        <v>28</v>
      </c>
    </row>
    <row r="251" spans="1:17" ht="16" x14ac:dyDescent="0.2">
      <c r="A251" s="7" t="s">
        <v>412</v>
      </c>
      <c r="B251" s="7" t="s">
        <v>411</v>
      </c>
      <c r="C251" s="7">
        <v>500</v>
      </c>
      <c r="D251" s="7" t="s">
        <v>322</v>
      </c>
      <c r="E251" s="7" t="s">
        <v>110</v>
      </c>
      <c r="G251" s="7" t="s">
        <v>122</v>
      </c>
      <c r="H251" s="7" t="s">
        <v>23</v>
      </c>
      <c r="I251" s="7" t="s">
        <v>323</v>
      </c>
      <c r="J251" s="7" t="s">
        <v>25</v>
      </c>
      <c r="K251" s="7" t="s">
        <v>324</v>
      </c>
      <c r="L251" s="7" t="s">
        <v>325</v>
      </c>
      <c r="P251" s="7" t="s">
        <v>28</v>
      </c>
    </row>
    <row r="252" spans="1:17" ht="16" x14ac:dyDescent="0.2">
      <c r="A252" s="7" t="s">
        <v>413</v>
      </c>
      <c r="B252" s="7" t="s">
        <v>411</v>
      </c>
      <c r="C252" s="7">
        <v>500</v>
      </c>
      <c r="D252" s="7" t="s">
        <v>322</v>
      </c>
      <c r="E252" s="7" t="s">
        <v>110</v>
      </c>
      <c r="G252" s="7" t="s">
        <v>122</v>
      </c>
      <c r="H252" s="7" t="s">
        <v>23</v>
      </c>
      <c r="I252" s="7" t="s">
        <v>323</v>
      </c>
      <c r="J252" s="7" t="s">
        <v>25</v>
      </c>
      <c r="K252" s="7" t="s">
        <v>324</v>
      </c>
      <c r="L252" s="7" t="s">
        <v>325</v>
      </c>
      <c r="P252" s="7" t="s">
        <v>28</v>
      </c>
    </row>
    <row r="253" spans="1:17" s="13" customFormat="1" ht="16" x14ac:dyDescent="0.2">
      <c r="A253" s="10" t="s">
        <v>414</v>
      </c>
      <c r="B253" s="13" t="s">
        <v>415</v>
      </c>
      <c r="C253" s="13">
        <v>500</v>
      </c>
      <c r="D253" s="13" t="s">
        <v>322</v>
      </c>
      <c r="E253" s="13" t="s">
        <v>110</v>
      </c>
      <c r="G253" s="13" t="s">
        <v>111</v>
      </c>
      <c r="H253" s="13" t="s">
        <v>23</v>
      </c>
      <c r="I253" s="7" t="s">
        <v>323</v>
      </c>
      <c r="J253" s="13" t="s">
        <v>25</v>
      </c>
      <c r="K253" s="13" t="s">
        <v>324</v>
      </c>
      <c r="L253" s="13" t="s">
        <v>325</v>
      </c>
      <c r="P253" s="13" t="s">
        <v>28</v>
      </c>
    </row>
    <row r="254" spans="1:17" ht="16" x14ac:dyDescent="0.2">
      <c r="A254" s="14" t="s">
        <v>416</v>
      </c>
      <c r="B254" s="7" t="s">
        <v>415</v>
      </c>
      <c r="C254" s="7">
        <v>500</v>
      </c>
      <c r="D254" s="7" t="s">
        <v>322</v>
      </c>
      <c r="E254" s="7" t="s">
        <v>110</v>
      </c>
      <c r="G254" s="7" t="s">
        <v>111</v>
      </c>
      <c r="H254" s="7" t="s">
        <v>23</v>
      </c>
    </row>
    <row r="255" spans="1:17" ht="16" x14ac:dyDescent="0.2">
      <c r="A255" s="14" t="s">
        <v>417</v>
      </c>
      <c r="B255" s="7" t="s">
        <v>415</v>
      </c>
      <c r="C255" s="7">
        <v>500</v>
      </c>
      <c r="D255" s="7" t="s">
        <v>322</v>
      </c>
      <c r="E255" s="7" t="s">
        <v>110</v>
      </c>
      <c r="G255" s="7" t="s">
        <v>111</v>
      </c>
      <c r="H255" s="7" t="s">
        <v>23</v>
      </c>
      <c r="K255" s="7" t="s">
        <v>331</v>
      </c>
      <c r="P255" s="7" t="s">
        <v>37</v>
      </c>
    </row>
    <row r="256" spans="1:17" s="49" customFormat="1" ht="16" x14ac:dyDescent="0.2">
      <c r="A256" s="49" t="s">
        <v>418</v>
      </c>
      <c r="B256" s="49" t="s">
        <v>419</v>
      </c>
      <c r="C256" s="49">
        <v>500</v>
      </c>
      <c r="D256" s="49" t="s">
        <v>322</v>
      </c>
      <c r="E256" s="49" t="s">
        <v>110</v>
      </c>
      <c r="G256" s="49" t="s">
        <v>111</v>
      </c>
      <c r="H256" s="49" t="s">
        <v>23</v>
      </c>
      <c r="I256" s="7"/>
      <c r="J256" s="49" t="s">
        <v>25</v>
      </c>
      <c r="P256" s="49" t="s">
        <v>28</v>
      </c>
    </row>
    <row r="257" spans="1:16" ht="16" x14ac:dyDescent="0.2">
      <c r="A257" s="7" t="s">
        <v>420</v>
      </c>
      <c r="B257" s="7" t="s">
        <v>419</v>
      </c>
      <c r="C257" s="7">
        <v>500</v>
      </c>
      <c r="D257" s="7" t="s">
        <v>322</v>
      </c>
      <c r="E257" s="7" t="s">
        <v>110</v>
      </c>
      <c r="G257" s="7" t="s">
        <v>111</v>
      </c>
      <c r="H257" s="7" t="s">
        <v>23</v>
      </c>
      <c r="I257" s="7" t="s">
        <v>330</v>
      </c>
      <c r="K257" s="146" t="s">
        <v>331</v>
      </c>
      <c r="L257" s="7" t="s">
        <v>332</v>
      </c>
      <c r="P257" s="7" t="s">
        <v>37</v>
      </c>
    </row>
    <row r="258" spans="1:16" s="51" customFormat="1" ht="16" x14ac:dyDescent="0.2">
      <c r="A258" s="51" t="s">
        <v>421</v>
      </c>
      <c r="B258" s="51" t="s">
        <v>419</v>
      </c>
      <c r="C258" s="51">
        <v>500</v>
      </c>
      <c r="D258" s="51" t="s">
        <v>322</v>
      </c>
      <c r="E258" s="51" t="s">
        <v>110</v>
      </c>
      <c r="G258" s="51" t="s">
        <v>111</v>
      </c>
      <c r="H258" s="51" t="s">
        <v>23</v>
      </c>
      <c r="I258" s="7"/>
    </row>
    <row r="259" spans="1:16" ht="16" x14ac:dyDescent="0.2">
      <c r="A259" s="14" t="s">
        <v>422</v>
      </c>
      <c r="B259" s="7" t="s">
        <v>423</v>
      </c>
      <c r="C259" s="7">
        <v>500</v>
      </c>
      <c r="D259" s="7" t="s">
        <v>322</v>
      </c>
      <c r="E259" s="7" t="s">
        <v>110</v>
      </c>
      <c r="G259" s="7" t="s">
        <v>111</v>
      </c>
      <c r="H259" s="7" t="s">
        <v>23</v>
      </c>
      <c r="I259" s="7" t="s">
        <v>330</v>
      </c>
      <c r="K259" s="146" t="s">
        <v>331</v>
      </c>
      <c r="L259" s="7" t="s">
        <v>332</v>
      </c>
      <c r="P259" s="7" t="s">
        <v>37</v>
      </c>
    </row>
    <row r="260" spans="1:16" ht="16" x14ac:dyDescent="0.2">
      <c r="A260" s="14" t="s">
        <v>424</v>
      </c>
      <c r="B260" s="7" t="s">
        <v>423</v>
      </c>
      <c r="C260" s="7">
        <v>500</v>
      </c>
      <c r="D260" s="7" t="s">
        <v>322</v>
      </c>
      <c r="E260" s="7" t="s">
        <v>110</v>
      </c>
      <c r="G260" s="7" t="s">
        <v>111</v>
      </c>
      <c r="H260" s="7" t="s">
        <v>23</v>
      </c>
    </row>
    <row r="261" spans="1:16" s="16" customFormat="1" ht="16" x14ac:dyDescent="0.2">
      <c r="A261" s="15" t="s">
        <v>425</v>
      </c>
      <c r="B261" s="16" t="s">
        <v>423</v>
      </c>
      <c r="C261" s="16">
        <v>500</v>
      </c>
      <c r="D261" s="16" t="s">
        <v>322</v>
      </c>
      <c r="E261" s="16" t="s">
        <v>110</v>
      </c>
      <c r="G261" s="16" t="s">
        <v>111</v>
      </c>
      <c r="H261" s="16" t="s">
        <v>23</v>
      </c>
      <c r="I261" s="7" t="s">
        <v>323</v>
      </c>
      <c r="J261" s="16" t="s">
        <v>25</v>
      </c>
      <c r="K261" s="16" t="s">
        <v>324</v>
      </c>
      <c r="L261" s="16" t="s">
        <v>325</v>
      </c>
      <c r="P261" s="16" t="s">
        <v>28</v>
      </c>
    </row>
    <row r="262" spans="1:16" ht="16" x14ac:dyDescent="0.2">
      <c r="A262" s="7" t="s">
        <v>426</v>
      </c>
      <c r="B262" s="7" t="s">
        <v>427</v>
      </c>
      <c r="C262" s="7">
        <v>500</v>
      </c>
      <c r="D262" s="7" t="s">
        <v>322</v>
      </c>
      <c r="E262" s="7" t="s">
        <v>110</v>
      </c>
      <c r="G262" s="7" t="s">
        <v>111</v>
      </c>
      <c r="H262" s="7" t="s">
        <v>23</v>
      </c>
      <c r="I262" s="7" t="s">
        <v>323</v>
      </c>
      <c r="J262" s="7" t="s">
        <v>25</v>
      </c>
      <c r="K262" s="7" t="s">
        <v>324</v>
      </c>
      <c r="L262" s="7" t="s">
        <v>325</v>
      </c>
    </row>
    <row r="263" spans="1:16" ht="16" x14ac:dyDescent="0.2">
      <c r="A263" s="7" t="s">
        <v>428</v>
      </c>
      <c r="B263" s="7" t="s">
        <v>427</v>
      </c>
      <c r="C263" s="7">
        <v>500</v>
      </c>
      <c r="D263" s="7" t="s">
        <v>322</v>
      </c>
      <c r="E263" s="7" t="s">
        <v>110</v>
      </c>
      <c r="G263" s="7" t="s">
        <v>111</v>
      </c>
      <c r="H263" s="7" t="s">
        <v>23</v>
      </c>
      <c r="I263" s="7" t="s">
        <v>330</v>
      </c>
      <c r="J263" s="7" t="s">
        <v>25</v>
      </c>
      <c r="L263" s="7" t="s">
        <v>332</v>
      </c>
      <c r="P263" s="7" t="s">
        <v>28</v>
      </c>
    </row>
    <row r="264" spans="1:16" ht="16" x14ac:dyDescent="0.2">
      <c r="A264" s="7" t="s">
        <v>429</v>
      </c>
      <c r="B264" s="7" t="s">
        <v>427</v>
      </c>
      <c r="C264" s="7">
        <v>500</v>
      </c>
      <c r="D264" s="7" t="s">
        <v>322</v>
      </c>
      <c r="E264" s="7" t="s">
        <v>110</v>
      </c>
      <c r="G264" s="7" t="s">
        <v>111</v>
      </c>
      <c r="H264" s="7" t="s">
        <v>23</v>
      </c>
      <c r="I264" s="7" t="s">
        <v>330</v>
      </c>
      <c r="K264" s="152" t="s">
        <v>331</v>
      </c>
      <c r="L264" s="7" t="s">
        <v>332</v>
      </c>
      <c r="P264" s="7" t="s">
        <v>37</v>
      </c>
    </row>
    <row r="265" spans="1:16" s="13" customFormat="1" ht="16" x14ac:dyDescent="0.2">
      <c r="A265" s="10" t="s">
        <v>430</v>
      </c>
      <c r="B265" s="13" t="s">
        <v>431</v>
      </c>
      <c r="C265" s="13">
        <v>500</v>
      </c>
      <c r="D265" s="13" t="s">
        <v>322</v>
      </c>
      <c r="E265" s="13" t="s">
        <v>110</v>
      </c>
      <c r="G265" s="13" t="s">
        <v>251</v>
      </c>
      <c r="H265" s="13" t="s">
        <v>23</v>
      </c>
      <c r="I265" s="7"/>
    </row>
    <row r="266" spans="1:16" ht="16" x14ac:dyDescent="0.2">
      <c r="A266" s="14" t="s">
        <v>432</v>
      </c>
      <c r="B266" s="7" t="s">
        <v>431</v>
      </c>
      <c r="C266" s="7">
        <v>500</v>
      </c>
      <c r="D266" s="7" t="s">
        <v>322</v>
      </c>
      <c r="E266" s="7" t="s">
        <v>110</v>
      </c>
      <c r="G266" s="7" t="s">
        <v>251</v>
      </c>
      <c r="H266" s="7" t="s">
        <v>23</v>
      </c>
      <c r="I266" s="7" t="s">
        <v>323</v>
      </c>
      <c r="J266" s="7" t="s">
        <v>25</v>
      </c>
      <c r="K266" s="7" t="s">
        <v>324</v>
      </c>
      <c r="L266" s="7" t="s">
        <v>325</v>
      </c>
      <c r="P266" s="7" t="s">
        <v>28</v>
      </c>
    </row>
    <row r="267" spans="1:16" ht="16" x14ac:dyDescent="0.2">
      <c r="A267" s="14" t="s">
        <v>433</v>
      </c>
      <c r="B267" s="7" t="s">
        <v>431</v>
      </c>
      <c r="C267" s="7">
        <v>500</v>
      </c>
      <c r="D267" s="7" t="s">
        <v>322</v>
      </c>
      <c r="E267" s="7" t="s">
        <v>110</v>
      </c>
      <c r="G267" s="7" t="s">
        <v>251</v>
      </c>
      <c r="H267" s="7" t="s">
        <v>23</v>
      </c>
    </row>
    <row r="268" spans="1:16" s="16" customFormat="1" ht="16" x14ac:dyDescent="0.2">
      <c r="A268" s="15" t="s">
        <v>434</v>
      </c>
      <c r="B268" s="16" t="s">
        <v>431</v>
      </c>
      <c r="C268" s="16">
        <v>500</v>
      </c>
      <c r="D268" s="16" t="s">
        <v>322</v>
      </c>
      <c r="E268" s="16" t="s">
        <v>110</v>
      </c>
      <c r="G268" s="16" t="s">
        <v>251</v>
      </c>
      <c r="H268" s="16" t="s">
        <v>23</v>
      </c>
      <c r="I268" s="7" t="s">
        <v>330</v>
      </c>
      <c r="K268" s="16" t="s">
        <v>331</v>
      </c>
      <c r="L268" s="16" t="s">
        <v>332</v>
      </c>
      <c r="P268" s="16" t="s">
        <v>37</v>
      </c>
    </row>
    <row r="269" spans="1:16" ht="16" x14ac:dyDescent="0.2">
      <c r="A269" s="7" t="s">
        <v>435</v>
      </c>
      <c r="B269" s="7" t="s">
        <v>436</v>
      </c>
      <c r="C269" s="7">
        <v>500</v>
      </c>
      <c r="D269" s="7" t="s">
        <v>322</v>
      </c>
      <c r="E269" s="7" t="s">
        <v>110</v>
      </c>
      <c r="G269" s="7" t="s">
        <v>251</v>
      </c>
      <c r="H269" s="7" t="s">
        <v>23</v>
      </c>
      <c r="I269" s="7" t="s">
        <v>330</v>
      </c>
      <c r="J269" s="7" t="s">
        <v>25</v>
      </c>
      <c r="L269" s="7" t="s">
        <v>332</v>
      </c>
      <c r="P269" s="7" t="s">
        <v>28</v>
      </c>
    </row>
    <row r="270" spans="1:16" ht="16" x14ac:dyDescent="0.2">
      <c r="A270" s="7" t="s">
        <v>437</v>
      </c>
      <c r="B270" s="7" t="s">
        <v>436</v>
      </c>
      <c r="C270" s="7">
        <v>500</v>
      </c>
      <c r="D270" s="7" t="s">
        <v>322</v>
      </c>
      <c r="E270" s="7" t="s">
        <v>110</v>
      </c>
      <c r="G270" s="7" t="s">
        <v>251</v>
      </c>
      <c r="H270" s="7" t="s">
        <v>23</v>
      </c>
      <c r="I270" s="7" t="s">
        <v>323</v>
      </c>
      <c r="J270" s="7" t="s">
        <v>25</v>
      </c>
      <c r="K270" s="7" t="s">
        <v>324</v>
      </c>
      <c r="L270" s="7" t="s">
        <v>325</v>
      </c>
      <c r="P270" s="7" t="s">
        <v>28</v>
      </c>
    </row>
    <row r="271" spans="1:16" ht="16" x14ac:dyDescent="0.2">
      <c r="A271" s="7" t="s">
        <v>438</v>
      </c>
      <c r="B271" s="7" t="s">
        <v>436</v>
      </c>
      <c r="C271" s="7">
        <v>500</v>
      </c>
      <c r="D271" s="7" t="s">
        <v>322</v>
      </c>
      <c r="E271" s="7" t="s">
        <v>110</v>
      </c>
      <c r="G271" s="7" t="s">
        <v>251</v>
      </c>
      <c r="H271" s="7" t="s">
        <v>23</v>
      </c>
      <c r="I271" s="7" t="s">
        <v>323</v>
      </c>
      <c r="J271" s="7" t="s">
        <v>25</v>
      </c>
      <c r="K271" s="7" t="s">
        <v>324</v>
      </c>
      <c r="L271" s="7" t="s">
        <v>325</v>
      </c>
      <c r="P271" s="7" t="s">
        <v>28</v>
      </c>
    </row>
    <row r="272" spans="1:16" s="13" customFormat="1" ht="16" x14ac:dyDescent="0.2">
      <c r="A272" s="10" t="s">
        <v>439</v>
      </c>
      <c r="B272" s="13" t="s">
        <v>440</v>
      </c>
      <c r="C272" s="13">
        <v>500</v>
      </c>
      <c r="D272" s="13" t="s">
        <v>322</v>
      </c>
      <c r="E272" s="13" t="s">
        <v>110</v>
      </c>
      <c r="G272" s="13" t="s">
        <v>251</v>
      </c>
      <c r="H272" s="13" t="s">
        <v>23</v>
      </c>
      <c r="I272" s="7" t="s">
        <v>323</v>
      </c>
      <c r="J272" s="13" t="s">
        <v>25</v>
      </c>
      <c r="K272" s="13" t="s">
        <v>324</v>
      </c>
      <c r="L272" s="13" t="s">
        <v>325</v>
      </c>
      <c r="P272" s="13" t="s">
        <v>28</v>
      </c>
    </row>
    <row r="273" spans="1:16" ht="16" x14ac:dyDescent="0.2">
      <c r="A273" s="14" t="s">
        <v>441</v>
      </c>
      <c r="B273" s="7" t="s">
        <v>440</v>
      </c>
      <c r="C273" s="7">
        <v>500</v>
      </c>
      <c r="D273" s="7" t="s">
        <v>322</v>
      </c>
      <c r="E273" s="7" t="s">
        <v>110</v>
      </c>
      <c r="G273" s="7" t="s">
        <v>251</v>
      </c>
      <c r="H273" s="7" t="s">
        <v>23</v>
      </c>
      <c r="I273" s="7" t="s">
        <v>330</v>
      </c>
      <c r="J273" s="7" t="s">
        <v>25</v>
      </c>
      <c r="L273" s="7" t="s">
        <v>337</v>
      </c>
      <c r="P273" s="7" t="s">
        <v>28</v>
      </c>
    </row>
    <row r="274" spans="1:16" ht="16" x14ac:dyDescent="0.2">
      <c r="A274" s="14" t="s">
        <v>442</v>
      </c>
      <c r="B274" s="7" t="s">
        <v>440</v>
      </c>
      <c r="C274" s="7">
        <v>500</v>
      </c>
      <c r="D274" s="7" t="s">
        <v>322</v>
      </c>
      <c r="E274" s="7" t="s">
        <v>110</v>
      </c>
      <c r="G274" s="7" t="s">
        <v>251</v>
      </c>
      <c r="H274" s="7" t="s">
        <v>23</v>
      </c>
      <c r="I274" s="7" t="s">
        <v>323</v>
      </c>
      <c r="J274" s="7" t="s">
        <v>25</v>
      </c>
      <c r="K274" s="7" t="s">
        <v>324</v>
      </c>
      <c r="L274" s="7" t="s">
        <v>325</v>
      </c>
      <c r="P274" s="7" t="s">
        <v>28</v>
      </c>
    </row>
    <row r="275" spans="1:16" s="16" customFormat="1" ht="16" x14ac:dyDescent="0.2">
      <c r="A275" s="15" t="s">
        <v>443</v>
      </c>
      <c r="B275" s="16" t="s">
        <v>440</v>
      </c>
      <c r="C275" s="16">
        <v>500</v>
      </c>
      <c r="D275" s="16" t="s">
        <v>322</v>
      </c>
      <c r="E275" s="16" t="s">
        <v>110</v>
      </c>
      <c r="G275" s="16" t="s">
        <v>251</v>
      </c>
      <c r="H275" s="16" t="s">
        <v>23</v>
      </c>
      <c r="I275" s="7" t="s">
        <v>323</v>
      </c>
      <c r="J275" s="16" t="s">
        <v>25</v>
      </c>
      <c r="K275" s="16" t="s">
        <v>324</v>
      </c>
      <c r="L275" s="16" t="s">
        <v>325</v>
      </c>
      <c r="P275" s="16" t="s">
        <v>28</v>
      </c>
    </row>
    <row r="276" spans="1:16" ht="16" x14ac:dyDescent="0.2">
      <c r="A276" s="7" t="s">
        <v>444</v>
      </c>
      <c r="B276" s="7" t="s">
        <v>445</v>
      </c>
      <c r="C276" s="7">
        <v>500</v>
      </c>
      <c r="D276" s="7" t="s">
        <v>322</v>
      </c>
      <c r="E276" s="7" t="s">
        <v>110</v>
      </c>
      <c r="G276" s="7" t="s">
        <v>446</v>
      </c>
      <c r="H276" s="7" t="s">
        <v>23</v>
      </c>
      <c r="I276" s="7" t="s">
        <v>323</v>
      </c>
      <c r="J276" s="7" t="s">
        <v>25</v>
      </c>
      <c r="K276" s="7" t="s">
        <v>324</v>
      </c>
      <c r="L276" s="7" t="s">
        <v>325</v>
      </c>
      <c r="P276" s="7" t="s">
        <v>28</v>
      </c>
    </row>
    <row r="277" spans="1:16" ht="16" x14ac:dyDescent="0.2">
      <c r="A277" s="7" t="s">
        <v>447</v>
      </c>
      <c r="B277" s="7" t="s">
        <v>445</v>
      </c>
      <c r="C277" s="7">
        <v>500</v>
      </c>
      <c r="D277" s="7" t="s">
        <v>322</v>
      </c>
      <c r="E277" s="7" t="s">
        <v>110</v>
      </c>
      <c r="G277" s="7" t="s">
        <v>446</v>
      </c>
      <c r="H277" s="7" t="s">
        <v>23</v>
      </c>
      <c r="I277" s="7" t="s">
        <v>323</v>
      </c>
      <c r="J277" s="7" t="s">
        <v>25</v>
      </c>
      <c r="K277" s="7" t="s">
        <v>324</v>
      </c>
      <c r="L277" s="7" t="s">
        <v>325</v>
      </c>
      <c r="P277" s="7" t="s">
        <v>28</v>
      </c>
    </row>
    <row r="278" spans="1:16" ht="16" x14ac:dyDescent="0.2">
      <c r="A278" s="7" t="s">
        <v>448</v>
      </c>
      <c r="B278" s="7" t="s">
        <v>445</v>
      </c>
      <c r="C278" s="7">
        <v>500</v>
      </c>
      <c r="D278" s="7" t="s">
        <v>322</v>
      </c>
      <c r="E278" s="7" t="s">
        <v>110</v>
      </c>
      <c r="G278" s="7" t="s">
        <v>446</v>
      </c>
      <c r="H278" s="7" t="s">
        <v>23</v>
      </c>
      <c r="I278" s="7" t="s">
        <v>330</v>
      </c>
      <c r="L278" s="7" t="s">
        <v>332</v>
      </c>
    </row>
    <row r="279" spans="1:16" ht="16" x14ac:dyDescent="0.2">
      <c r="A279" s="7" t="s">
        <v>449</v>
      </c>
      <c r="B279" s="7" t="s">
        <v>445</v>
      </c>
      <c r="C279" s="7">
        <v>500</v>
      </c>
      <c r="D279" s="7" t="s">
        <v>322</v>
      </c>
      <c r="E279" s="7" t="s">
        <v>110</v>
      </c>
      <c r="G279" s="7" t="s">
        <v>446</v>
      </c>
      <c r="H279" s="7" t="s">
        <v>23</v>
      </c>
      <c r="I279" s="7" t="s">
        <v>323</v>
      </c>
      <c r="J279" s="7" t="s">
        <v>25</v>
      </c>
      <c r="K279" s="7" t="s">
        <v>324</v>
      </c>
      <c r="L279" s="7" t="s">
        <v>325</v>
      </c>
      <c r="P279" s="7" t="s">
        <v>28</v>
      </c>
    </row>
    <row r="280" spans="1:16" s="13" customFormat="1" ht="16" x14ac:dyDescent="0.2">
      <c r="A280" s="10" t="s">
        <v>450</v>
      </c>
      <c r="B280" s="13" t="s">
        <v>451</v>
      </c>
      <c r="C280" s="13">
        <v>500</v>
      </c>
      <c r="D280" s="13" t="s">
        <v>322</v>
      </c>
      <c r="E280" s="13" t="s">
        <v>110</v>
      </c>
      <c r="G280" s="13" t="s">
        <v>446</v>
      </c>
      <c r="H280" s="13" t="s">
        <v>23</v>
      </c>
      <c r="I280" s="7" t="s">
        <v>323</v>
      </c>
      <c r="J280" s="13" t="s">
        <v>25</v>
      </c>
      <c r="K280" s="13" t="s">
        <v>324</v>
      </c>
      <c r="L280" s="13" t="s">
        <v>325</v>
      </c>
      <c r="P280" s="13" t="s">
        <v>28</v>
      </c>
    </row>
    <row r="281" spans="1:16" ht="16" x14ac:dyDescent="0.2">
      <c r="A281" s="14" t="s">
        <v>452</v>
      </c>
      <c r="B281" s="7" t="s">
        <v>451</v>
      </c>
      <c r="C281" s="7">
        <v>500</v>
      </c>
      <c r="D281" s="7" t="s">
        <v>322</v>
      </c>
      <c r="E281" s="7" t="s">
        <v>110</v>
      </c>
      <c r="G281" s="7" t="s">
        <v>446</v>
      </c>
      <c r="H281" s="7" t="s">
        <v>23</v>
      </c>
      <c r="I281" s="7" t="s">
        <v>330</v>
      </c>
      <c r="L281" s="7" t="s">
        <v>337</v>
      </c>
    </row>
    <row r="282" spans="1:16" s="16" customFormat="1" ht="16" x14ac:dyDescent="0.2">
      <c r="A282" s="15" t="s">
        <v>453</v>
      </c>
      <c r="B282" s="16" t="s">
        <v>451</v>
      </c>
      <c r="C282" s="16">
        <v>500</v>
      </c>
      <c r="D282" s="16" t="s">
        <v>322</v>
      </c>
      <c r="E282" s="16" t="s">
        <v>110</v>
      </c>
      <c r="G282" s="16" t="s">
        <v>446</v>
      </c>
      <c r="H282" s="16" t="s">
        <v>23</v>
      </c>
      <c r="I282" s="7"/>
      <c r="K282" s="16" t="s">
        <v>331</v>
      </c>
      <c r="P282" s="16" t="s">
        <v>37</v>
      </c>
    </row>
    <row r="283" spans="1:16" ht="16" x14ac:dyDescent="0.2">
      <c r="A283" s="7" t="s">
        <v>454</v>
      </c>
      <c r="B283" s="7" t="s">
        <v>455</v>
      </c>
      <c r="C283" s="7">
        <v>500</v>
      </c>
      <c r="D283" s="7" t="s">
        <v>322</v>
      </c>
      <c r="E283" s="7" t="s">
        <v>162</v>
      </c>
      <c r="G283" s="7" t="s">
        <v>456</v>
      </c>
      <c r="H283" s="7" t="s">
        <v>23</v>
      </c>
      <c r="I283" s="7" t="s">
        <v>330</v>
      </c>
      <c r="K283" s="146" t="s">
        <v>331</v>
      </c>
      <c r="L283" s="7" t="s">
        <v>337</v>
      </c>
      <c r="P283" s="7" t="s">
        <v>37</v>
      </c>
    </row>
    <row r="284" spans="1:16" ht="16" x14ac:dyDescent="0.2">
      <c r="A284" s="7" t="s">
        <v>457</v>
      </c>
      <c r="B284" s="7" t="s">
        <v>455</v>
      </c>
      <c r="C284" s="7">
        <v>500</v>
      </c>
      <c r="D284" s="7" t="s">
        <v>322</v>
      </c>
      <c r="E284" s="7" t="s">
        <v>162</v>
      </c>
      <c r="G284" s="7" t="s">
        <v>456</v>
      </c>
      <c r="H284" s="7" t="s">
        <v>23</v>
      </c>
      <c r="I284" s="7" t="s">
        <v>330</v>
      </c>
      <c r="L284" s="7" t="s">
        <v>337</v>
      </c>
    </row>
    <row r="285" spans="1:16" ht="16" x14ac:dyDescent="0.2">
      <c r="A285" s="7" t="s">
        <v>458</v>
      </c>
      <c r="B285" s="7" t="s">
        <v>455</v>
      </c>
      <c r="C285" s="7">
        <v>500</v>
      </c>
      <c r="D285" s="7" t="s">
        <v>322</v>
      </c>
      <c r="E285" s="7" t="s">
        <v>162</v>
      </c>
      <c r="G285" s="7" t="s">
        <v>456</v>
      </c>
      <c r="H285" s="7" t="s">
        <v>23</v>
      </c>
      <c r="I285" s="7" t="s">
        <v>330</v>
      </c>
      <c r="L285" s="7" t="s">
        <v>337</v>
      </c>
    </row>
    <row r="286" spans="1:16" s="13" customFormat="1" ht="16" x14ac:dyDescent="0.2">
      <c r="A286" s="10" t="s">
        <v>459</v>
      </c>
      <c r="B286" s="13" t="s">
        <v>460</v>
      </c>
      <c r="C286" s="13">
        <v>500</v>
      </c>
      <c r="D286" s="13" t="s">
        <v>322</v>
      </c>
      <c r="E286" s="13" t="s">
        <v>162</v>
      </c>
      <c r="G286" s="13" t="s">
        <v>456</v>
      </c>
      <c r="H286" s="13" t="s">
        <v>23</v>
      </c>
      <c r="I286" s="7" t="s">
        <v>323</v>
      </c>
      <c r="J286" s="13" t="s">
        <v>25</v>
      </c>
      <c r="K286" s="13" t="s">
        <v>324</v>
      </c>
      <c r="L286" s="13" t="s">
        <v>325</v>
      </c>
      <c r="P286" s="13" t="s">
        <v>28</v>
      </c>
    </row>
    <row r="287" spans="1:16" ht="16" x14ac:dyDescent="0.2">
      <c r="A287" s="14" t="s">
        <v>461</v>
      </c>
      <c r="B287" s="7" t="s">
        <v>460</v>
      </c>
      <c r="C287" s="7">
        <v>500</v>
      </c>
      <c r="D287" s="7" t="s">
        <v>322</v>
      </c>
      <c r="E287" s="7" t="s">
        <v>162</v>
      </c>
      <c r="G287" s="7" t="s">
        <v>456</v>
      </c>
      <c r="H287" s="7" t="s">
        <v>23</v>
      </c>
      <c r="I287" s="7" t="s">
        <v>330</v>
      </c>
      <c r="L287" s="7" t="s">
        <v>337</v>
      </c>
    </row>
    <row r="288" spans="1:16" s="16" customFormat="1" ht="16" x14ac:dyDescent="0.2">
      <c r="A288" s="15" t="s">
        <v>462</v>
      </c>
      <c r="B288" s="16" t="s">
        <v>460</v>
      </c>
      <c r="C288" s="16">
        <v>500</v>
      </c>
      <c r="D288" s="16" t="s">
        <v>322</v>
      </c>
      <c r="E288" s="16" t="s">
        <v>162</v>
      </c>
      <c r="G288" s="16" t="s">
        <v>456</v>
      </c>
      <c r="H288" s="16" t="s">
        <v>23</v>
      </c>
      <c r="I288" s="7" t="s">
        <v>330</v>
      </c>
      <c r="L288" s="16" t="s">
        <v>337</v>
      </c>
    </row>
    <row r="289" spans="1:17" ht="16" x14ac:dyDescent="0.2">
      <c r="A289" s="7" t="s">
        <v>463</v>
      </c>
      <c r="B289" s="7" t="s">
        <v>464</v>
      </c>
      <c r="C289" s="7">
        <v>500</v>
      </c>
      <c r="D289" s="7" t="s">
        <v>322</v>
      </c>
      <c r="E289" s="7" t="s">
        <v>162</v>
      </c>
      <c r="G289" s="7" t="s">
        <v>456</v>
      </c>
      <c r="H289" s="7" t="s">
        <v>23</v>
      </c>
      <c r="I289" s="7" t="s">
        <v>330</v>
      </c>
      <c r="K289" s="146" t="s">
        <v>331</v>
      </c>
      <c r="L289" s="7" t="s">
        <v>337</v>
      </c>
      <c r="P289" s="7" t="s">
        <v>37</v>
      </c>
    </row>
    <row r="290" spans="1:17" ht="16" x14ac:dyDescent="0.2">
      <c r="A290" s="7" t="s">
        <v>465</v>
      </c>
      <c r="B290" s="7" t="s">
        <v>464</v>
      </c>
      <c r="C290" s="7">
        <v>500</v>
      </c>
      <c r="D290" s="7" t="s">
        <v>322</v>
      </c>
      <c r="E290" s="7" t="s">
        <v>162</v>
      </c>
      <c r="G290" s="7" t="s">
        <v>456</v>
      </c>
      <c r="H290" s="7" t="s">
        <v>23</v>
      </c>
      <c r="I290" s="7" t="s">
        <v>330</v>
      </c>
      <c r="L290" s="7" t="s">
        <v>337</v>
      </c>
    </row>
    <row r="291" spans="1:17" ht="16" x14ac:dyDescent="0.2">
      <c r="A291" s="7" t="s">
        <v>466</v>
      </c>
      <c r="B291" s="7" t="s">
        <v>464</v>
      </c>
      <c r="C291" s="7">
        <v>500</v>
      </c>
      <c r="D291" s="7" t="s">
        <v>322</v>
      </c>
      <c r="E291" s="7" t="s">
        <v>162</v>
      </c>
      <c r="G291" s="7" t="s">
        <v>456</v>
      </c>
      <c r="H291" s="7" t="s">
        <v>23</v>
      </c>
      <c r="I291" s="7" t="s">
        <v>330</v>
      </c>
      <c r="L291" s="7" t="s">
        <v>337</v>
      </c>
    </row>
    <row r="292" spans="1:17" s="17" customFormat="1" ht="16" x14ac:dyDescent="0.2">
      <c r="A292" s="9" t="s">
        <v>467</v>
      </c>
      <c r="B292" s="17" t="s">
        <v>468</v>
      </c>
      <c r="C292" s="17">
        <v>500</v>
      </c>
      <c r="D292" s="17" t="s">
        <v>322</v>
      </c>
      <c r="E292" s="17" t="s">
        <v>172</v>
      </c>
      <c r="G292" s="17" t="s">
        <v>197</v>
      </c>
      <c r="H292" s="17" t="s">
        <v>23</v>
      </c>
      <c r="I292" s="7" t="s">
        <v>323</v>
      </c>
      <c r="J292" s="17" t="s">
        <v>25</v>
      </c>
      <c r="K292" s="17" t="s">
        <v>324</v>
      </c>
      <c r="L292" s="17" t="s">
        <v>325</v>
      </c>
      <c r="P292" s="17" t="s">
        <v>28</v>
      </c>
    </row>
    <row r="293" spans="1:17" s="13" customFormat="1" ht="16" x14ac:dyDescent="0.2">
      <c r="A293" s="10" t="s">
        <v>469</v>
      </c>
      <c r="B293" s="13" t="s">
        <v>470</v>
      </c>
      <c r="C293" s="13">
        <v>500</v>
      </c>
      <c r="D293" s="13" t="s">
        <v>322</v>
      </c>
      <c r="E293" s="13" t="s">
        <v>172</v>
      </c>
      <c r="G293" s="13" t="s">
        <v>188</v>
      </c>
      <c r="H293" s="13" t="s">
        <v>23</v>
      </c>
      <c r="I293" s="7" t="s">
        <v>58</v>
      </c>
      <c r="J293" s="13" t="s">
        <v>48</v>
      </c>
      <c r="K293" s="13" t="s">
        <v>471</v>
      </c>
      <c r="Q293" s="13" t="s">
        <v>28</v>
      </c>
    </row>
    <row r="294" spans="1:17" ht="16" x14ac:dyDescent="0.2">
      <c r="A294" s="14" t="s">
        <v>472</v>
      </c>
      <c r="B294" s="7" t="s">
        <v>470</v>
      </c>
      <c r="C294" s="7">
        <v>500</v>
      </c>
      <c r="D294" s="7" t="s">
        <v>322</v>
      </c>
      <c r="E294" s="7" t="s">
        <v>172</v>
      </c>
      <c r="G294" s="7" t="s">
        <v>188</v>
      </c>
      <c r="H294" s="7" t="s">
        <v>23</v>
      </c>
      <c r="I294" s="7" t="s">
        <v>323</v>
      </c>
      <c r="J294" s="7" t="s">
        <v>25</v>
      </c>
      <c r="K294" s="7" t="s">
        <v>324</v>
      </c>
      <c r="L294" s="7" t="s">
        <v>325</v>
      </c>
      <c r="P294" s="7" t="s">
        <v>28</v>
      </c>
    </row>
    <row r="295" spans="1:17" s="16" customFormat="1" ht="16" x14ac:dyDescent="0.2">
      <c r="A295" s="15" t="s">
        <v>473</v>
      </c>
      <c r="B295" s="16" t="s">
        <v>470</v>
      </c>
      <c r="C295" s="16">
        <v>500</v>
      </c>
      <c r="D295" s="16" t="s">
        <v>322</v>
      </c>
      <c r="E295" s="16" t="s">
        <v>172</v>
      </c>
      <c r="G295" s="16" t="s">
        <v>188</v>
      </c>
      <c r="H295" s="16" t="s">
        <v>23</v>
      </c>
      <c r="I295" s="7" t="s">
        <v>323</v>
      </c>
      <c r="J295" s="16" t="s">
        <v>25</v>
      </c>
      <c r="K295" s="16" t="s">
        <v>324</v>
      </c>
      <c r="L295" s="16" t="s">
        <v>325</v>
      </c>
      <c r="P295" s="16" t="s">
        <v>28</v>
      </c>
    </row>
    <row r="296" spans="1:17" s="13" customFormat="1" ht="16" x14ac:dyDescent="0.2">
      <c r="A296" s="10" t="s">
        <v>474</v>
      </c>
      <c r="B296" s="13" t="s">
        <v>475</v>
      </c>
      <c r="C296" s="13">
        <v>500</v>
      </c>
      <c r="D296" s="13" t="s">
        <v>322</v>
      </c>
      <c r="E296" s="13" t="s">
        <v>172</v>
      </c>
      <c r="G296" s="13" t="s">
        <v>173</v>
      </c>
      <c r="H296" s="13" t="s">
        <v>23</v>
      </c>
      <c r="I296" s="7" t="s">
        <v>330</v>
      </c>
      <c r="L296" s="13" t="s">
        <v>337</v>
      </c>
    </row>
    <row r="297" spans="1:17" ht="16" x14ac:dyDescent="0.2">
      <c r="A297" s="14" t="s">
        <v>476</v>
      </c>
      <c r="B297" s="7" t="s">
        <v>475</v>
      </c>
      <c r="C297" s="7">
        <v>500</v>
      </c>
      <c r="D297" s="7" t="s">
        <v>322</v>
      </c>
      <c r="E297" s="7" t="s">
        <v>172</v>
      </c>
      <c r="G297" s="7" t="s">
        <v>173</v>
      </c>
      <c r="H297" s="7" t="s">
        <v>23</v>
      </c>
      <c r="I297" s="7" t="s">
        <v>323</v>
      </c>
      <c r="J297" s="7" t="s">
        <v>25</v>
      </c>
      <c r="K297" s="7" t="s">
        <v>324</v>
      </c>
      <c r="L297" s="7" t="s">
        <v>325</v>
      </c>
      <c r="P297" s="7" t="s">
        <v>28</v>
      </c>
    </row>
    <row r="298" spans="1:17" s="16" customFormat="1" ht="16" x14ac:dyDescent="0.2">
      <c r="A298" s="15" t="s">
        <v>477</v>
      </c>
      <c r="B298" s="16" t="s">
        <v>475</v>
      </c>
      <c r="C298" s="16">
        <v>500</v>
      </c>
      <c r="D298" s="16" t="s">
        <v>322</v>
      </c>
      <c r="E298" s="16" t="s">
        <v>172</v>
      </c>
      <c r="G298" s="16" t="s">
        <v>173</v>
      </c>
      <c r="H298" s="16" t="s">
        <v>23</v>
      </c>
      <c r="I298" s="7" t="s">
        <v>330</v>
      </c>
      <c r="L298" s="16" t="s">
        <v>337</v>
      </c>
    </row>
    <row r="299" spans="1:17" s="13" customFormat="1" ht="16" x14ac:dyDescent="0.2">
      <c r="A299" s="10" t="s">
        <v>478</v>
      </c>
      <c r="B299" s="13" t="s">
        <v>479</v>
      </c>
      <c r="C299" s="13">
        <v>500</v>
      </c>
      <c r="D299" s="13" t="s">
        <v>322</v>
      </c>
      <c r="E299" s="13" t="s">
        <v>172</v>
      </c>
      <c r="G299" s="13" t="s">
        <v>480</v>
      </c>
      <c r="H299" s="13" t="s">
        <v>23</v>
      </c>
      <c r="I299" s="7" t="s">
        <v>330</v>
      </c>
      <c r="L299" s="13" t="s">
        <v>337</v>
      </c>
    </row>
    <row r="300" spans="1:17" ht="16" x14ac:dyDescent="0.2">
      <c r="A300" s="14" t="s">
        <v>481</v>
      </c>
      <c r="B300" s="7" t="s">
        <v>479</v>
      </c>
      <c r="C300" s="7">
        <v>500</v>
      </c>
      <c r="D300" s="7" t="s">
        <v>322</v>
      </c>
      <c r="E300" s="7" t="s">
        <v>172</v>
      </c>
      <c r="G300" s="7" t="s">
        <v>480</v>
      </c>
      <c r="H300" s="7" t="s">
        <v>23</v>
      </c>
      <c r="I300" s="7" t="s">
        <v>323</v>
      </c>
      <c r="J300" s="7" t="s">
        <v>25</v>
      </c>
      <c r="K300" s="7" t="s">
        <v>324</v>
      </c>
      <c r="L300" s="7" t="s">
        <v>325</v>
      </c>
      <c r="P300" s="7" t="s">
        <v>28</v>
      </c>
    </row>
    <row r="301" spans="1:17" ht="16" x14ac:dyDescent="0.2">
      <c r="A301" s="14" t="s">
        <v>482</v>
      </c>
      <c r="B301" s="7" t="s">
        <v>479</v>
      </c>
      <c r="C301" s="7">
        <v>500</v>
      </c>
      <c r="D301" s="7" t="s">
        <v>322</v>
      </c>
      <c r="E301" s="7" t="s">
        <v>172</v>
      </c>
      <c r="G301" s="7" t="s">
        <v>480</v>
      </c>
      <c r="H301" s="7" t="s">
        <v>23</v>
      </c>
      <c r="I301" s="7" t="s">
        <v>330</v>
      </c>
      <c r="L301" s="7" t="s">
        <v>337</v>
      </c>
    </row>
    <row r="302" spans="1:17" ht="16" x14ac:dyDescent="0.2">
      <c r="A302" s="14" t="s">
        <v>483</v>
      </c>
      <c r="B302" s="7" t="s">
        <v>484</v>
      </c>
      <c r="C302" s="7">
        <v>500</v>
      </c>
      <c r="D302" s="7" t="s">
        <v>322</v>
      </c>
      <c r="E302" s="7" t="s">
        <v>172</v>
      </c>
      <c r="G302" s="7" t="s">
        <v>480</v>
      </c>
      <c r="H302" s="7" t="s">
        <v>23</v>
      </c>
      <c r="I302" s="7" t="s">
        <v>58</v>
      </c>
      <c r="Q302" s="7" t="s">
        <v>28</v>
      </c>
    </row>
    <row r="303" spans="1:17" ht="16" x14ac:dyDescent="0.2">
      <c r="A303" s="14" t="s">
        <v>485</v>
      </c>
      <c r="B303" s="7" t="s">
        <v>484</v>
      </c>
      <c r="C303" s="7">
        <v>500</v>
      </c>
      <c r="D303" s="7" t="s">
        <v>322</v>
      </c>
      <c r="E303" s="7" t="s">
        <v>172</v>
      </c>
      <c r="G303" s="7" t="s">
        <v>480</v>
      </c>
      <c r="H303" s="7" t="s">
        <v>23</v>
      </c>
      <c r="I303" s="7" t="s">
        <v>323</v>
      </c>
      <c r="J303" s="7" t="s">
        <v>25</v>
      </c>
      <c r="K303" s="7" t="s">
        <v>324</v>
      </c>
      <c r="L303" s="7" t="s">
        <v>325</v>
      </c>
      <c r="P303" s="7" t="s">
        <v>28</v>
      </c>
    </row>
    <row r="304" spans="1:17" s="16" customFormat="1" ht="16" x14ac:dyDescent="0.2">
      <c r="A304" s="15" t="s">
        <v>486</v>
      </c>
      <c r="B304" s="16" t="s">
        <v>484</v>
      </c>
      <c r="C304" s="16">
        <v>500</v>
      </c>
      <c r="D304" s="16" t="s">
        <v>322</v>
      </c>
      <c r="E304" s="16" t="s">
        <v>172</v>
      </c>
      <c r="G304" s="16" t="s">
        <v>480</v>
      </c>
      <c r="H304" s="16" t="s">
        <v>23</v>
      </c>
      <c r="I304" s="7" t="s">
        <v>330</v>
      </c>
      <c r="L304" s="16" t="s">
        <v>332</v>
      </c>
    </row>
    <row r="305" spans="1:17" s="13" customFormat="1" ht="16" x14ac:dyDescent="0.2">
      <c r="A305" s="10" t="s">
        <v>487</v>
      </c>
      <c r="B305" s="13" t="s">
        <v>488</v>
      </c>
      <c r="C305" s="13">
        <v>500</v>
      </c>
      <c r="D305" s="13" t="s">
        <v>322</v>
      </c>
      <c r="E305" s="13" t="s">
        <v>172</v>
      </c>
      <c r="G305" s="13" t="s">
        <v>489</v>
      </c>
      <c r="H305" s="13" t="s">
        <v>23</v>
      </c>
      <c r="I305" s="7" t="s">
        <v>330</v>
      </c>
      <c r="L305" s="13" t="s">
        <v>337</v>
      </c>
    </row>
    <row r="306" spans="1:17" ht="16" x14ac:dyDescent="0.2">
      <c r="A306" s="14" t="s">
        <v>490</v>
      </c>
      <c r="B306" s="7" t="s">
        <v>488</v>
      </c>
      <c r="C306" s="7">
        <v>500</v>
      </c>
      <c r="D306" s="7" t="s">
        <v>322</v>
      </c>
      <c r="E306" s="7" t="s">
        <v>172</v>
      </c>
      <c r="G306" s="7" t="s">
        <v>489</v>
      </c>
      <c r="H306" s="7" t="s">
        <v>23</v>
      </c>
      <c r="I306" s="7" t="s">
        <v>323</v>
      </c>
      <c r="J306" s="7" t="s">
        <v>25</v>
      </c>
      <c r="K306" s="7" t="s">
        <v>324</v>
      </c>
      <c r="L306" s="7" t="s">
        <v>325</v>
      </c>
      <c r="P306" s="7" t="s">
        <v>28</v>
      </c>
    </row>
    <row r="307" spans="1:17" ht="16" x14ac:dyDescent="0.2">
      <c r="A307" s="14" t="s">
        <v>491</v>
      </c>
      <c r="B307" s="7" t="s">
        <v>488</v>
      </c>
      <c r="C307" s="7">
        <v>500</v>
      </c>
      <c r="D307" s="7" t="s">
        <v>322</v>
      </c>
      <c r="E307" s="7" t="s">
        <v>172</v>
      </c>
      <c r="G307" s="7" t="s">
        <v>489</v>
      </c>
      <c r="H307" s="7" t="s">
        <v>23</v>
      </c>
      <c r="I307" s="7" t="s">
        <v>330</v>
      </c>
      <c r="L307" s="7" t="s">
        <v>337</v>
      </c>
    </row>
    <row r="308" spans="1:17" s="17" customFormat="1" ht="16" x14ac:dyDescent="0.2">
      <c r="A308" s="9" t="s">
        <v>492</v>
      </c>
      <c r="B308" s="17" t="s">
        <v>493</v>
      </c>
      <c r="C308" s="17">
        <v>500</v>
      </c>
      <c r="D308" s="17" t="s">
        <v>322</v>
      </c>
      <c r="E308" s="17" t="s">
        <v>172</v>
      </c>
      <c r="G308" s="17" t="s">
        <v>489</v>
      </c>
      <c r="H308" s="17" t="s">
        <v>23</v>
      </c>
      <c r="I308" s="7" t="s">
        <v>323</v>
      </c>
      <c r="J308" s="17" t="s">
        <v>25</v>
      </c>
      <c r="K308" s="17" t="s">
        <v>324</v>
      </c>
      <c r="L308" s="17" t="s">
        <v>325</v>
      </c>
      <c r="P308" s="17" t="s">
        <v>28</v>
      </c>
    </row>
    <row r="309" spans="1:17" s="13" customFormat="1" ht="16" x14ac:dyDescent="0.2">
      <c r="A309" s="10" t="s">
        <v>494</v>
      </c>
      <c r="B309" s="13" t="s">
        <v>495</v>
      </c>
      <c r="C309" s="13">
        <v>500</v>
      </c>
      <c r="D309" s="13" t="s">
        <v>322</v>
      </c>
      <c r="E309" s="13" t="s">
        <v>172</v>
      </c>
      <c r="G309" s="13" t="s">
        <v>173</v>
      </c>
      <c r="H309" s="13" t="s">
        <v>23</v>
      </c>
      <c r="I309" s="7" t="s">
        <v>330</v>
      </c>
      <c r="L309" s="13" t="s">
        <v>337</v>
      </c>
    </row>
    <row r="310" spans="1:17" ht="16" x14ac:dyDescent="0.2">
      <c r="A310" s="14" t="s">
        <v>496</v>
      </c>
      <c r="B310" s="7" t="s">
        <v>495</v>
      </c>
      <c r="C310" s="7">
        <v>500</v>
      </c>
      <c r="D310" s="7" t="s">
        <v>322</v>
      </c>
      <c r="E310" s="7" t="s">
        <v>172</v>
      </c>
      <c r="G310" s="7" t="s">
        <v>173</v>
      </c>
      <c r="H310" s="7" t="s">
        <v>23</v>
      </c>
      <c r="I310" s="7" t="s">
        <v>330</v>
      </c>
      <c r="L310" s="7" t="s">
        <v>337</v>
      </c>
    </row>
    <row r="311" spans="1:17" s="16" customFormat="1" ht="16" x14ac:dyDescent="0.2">
      <c r="A311" s="15" t="s">
        <v>497</v>
      </c>
      <c r="B311" s="16" t="s">
        <v>495</v>
      </c>
      <c r="C311" s="16">
        <v>500</v>
      </c>
      <c r="D311" s="16" t="s">
        <v>322</v>
      </c>
      <c r="E311" s="16" t="s">
        <v>172</v>
      </c>
      <c r="G311" s="16" t="s">
        <v>173</v>
      </c>
      <c r="H311" s="16" t="s">
        <v>23</v>
      </c>
      <c r="I311" s="7" t="s">
        <v>330</v>
      </c>
      <c r="L311" s="16" t="s">
        <v>337</v>
      </c>
    </row>
    <row r="312" spans="1:17" ht="16" x14ac:dyDescent="0.2">
      <c r="A312" s="7" t="s">
        <v>498</v>
      </c>
      <c r="B312" s="7" t="s">
        <v>499</v>
      </c>
      <c r="C312" s="7">
        <v>500</v>
      </c>
      <c r="D312" s="7" t="s">
        <v>322</v>
      </c>
      <c r="E312" s="7" t="s">
        <v>172</v>
      </c>
      <c r="G312" s="7" t="s">
        <v>188</v>
      </c>
      <c r="H312" s="7" t="s">
        <v>23</v>
      </c>
      <c r="I312" s="7" t="s">
        <v>323</v>
      </c>
      <c r="J312" s="7" t="s">
        <v>25</v>
      </c>
      <c r="K312" s="7" t="s">
        <v>324</v>
      </c>
      <c r="L312" s="7" t="s">
        <v>325</v>
      </c>
      <c r="P312" s="7" t="s">
        <v>28</v>
      </c>
    </row>
    <row r="313" spans="1:17" ht="16" x14ac:dyDescent="0.2">
      <c r="A313" s="7" t="s">
        <v>500</v>
      </c>
      <c r="B313" s="7" t="s">
        <v>499</v>
      </c>
      <c r="C313" s="7">
        <v>500</v>
      </c>
      <c r="D313" s="7" t="s">
        <v>322</v>
      </c>
      <c r="E313" s="7" t="s">
        <v>172</v>
      </c>
      <c r="G313" s="7" t="s">
        <v>188</v>
      </c>
      <c r="H313" s="7" t="s">
        <v>23</v>
      </c>
      <c r="I313" s="7" t="s">
        <v>58</v>
      </c>
      <c r="J313" s="7" t="s">
        <v>48</v>
      </c>
      <c r="Q313" s="7" t="s">
        <v>28</v>
      </c>
    </row>
    <row r="314" spans="1:17" ht="16" x14ac:dyDescent="0.2">
      <c r="A314" s="7" t="s">
        <v>501</v>
      </c>
      <c r="B314" s="7" t="s">
        <v>499</v>
      </c>
      <c r="C314" s="7">
        <v>500</v>
      </c>
      <c r="D314" s="7" t="s">
        <v>322</v>
      </c>
      <c r="E314" s="7" t="s">
        <v>172</v>
      </c>
      <c r="G314" s="7" t="s">
        <v>188</v>
      </c>
      <c r="H314" s="7" t="s">
        <v>23</v>
      </c>
      <c r="I314" s="7" t="s">
        <v>58</v>
      </c>
      <c r="Q314" s="7" t="s">
        <v>28</v>
      </c>
    </row>
    <row r="315" spans="1:17" s="13" customFormat="1" ht="16" x14ac:dyDescent="0.2">
      <c r="A315" s="10" t="s">
        <v>502</v>
      </c>
      <c r="B315" s="13" t="s">
        <v>503</v>
      </c>
      <c r="C315" s="13">
        <v>500</v>
      </c>
      <c r="D315" s="13" t="s">
        <v>322</v>
      </c>
      <c r="E315" s="13" t="s">
        <v>172</v>
      </c>
      <c r="G315" s="13" t="s">
        <v>188</v>
      </c>
      <c r="H315" s="13" t="s">
        <v>23</v>
      </c>
      <c r="I315" s="7" t="s">
        <v>323</v>
      </c>
      <c r="J315" s="13" t="s">
        <v>25</v>
      </c>
      <c r="K315" s="13" t="s">
        <v>324</v>
      </c>
      <c r="L315" s="13" t="s">
        <v>325</v>
      </c>
      <c r="P315" s="13" t="s">
        <v>28</v>
      </c>
    </row>
    <row r="316" spans="1:17" ht="16" x14ac:dyDescent="0.2">
      <c r="A316" s="14" t="s">
        <v>504</v>
      </c>
      <c r="B316" s="7" t="s">
        <v>503</v>
      </c>
      <c r="C316" s="7">
        <v>500</v>
      </c>
      <c r="D316" s="7" t="s">
        <v>322</v>
      </c>
      <c r="E316" s="7" t="s">
        <v>172</v>
      </c>
      <c r="G316" s="7" t="s">
        <v>188</v>
      </c>
      <c r="H316" s="7" t="s">
        <v>23</v>
      </c>
      <c r="I316" s="7" t="s">
        <v>323</v>
      </c>
      <c r="J316" s="7" t="s">
        <v>25</v>
      </c>
      <c r="K316" s="7" t="s">
        <v>324</v>
      </c>
      <c r="L316" s="7" t="s">
        <v>325</v>
      </c>
      <c r="P316" s="7" t="s">
        <v>28</v>
      </c>
    </row>
    <row r="317" spans="1:17" s="16" customFormat="1" ht="16" x14ac:dyDescent="0.2">
      <c r="A317" s="15" t="s">
        <v>505</v>
      </c>
      <c r="B317" s="16" t="s">
        <v>503</v>
      </c>
      <c r="C317" s="16">
        <v>500</v>
      </c>
      <c r="D317" s="16" t="s">
        <v>322</v>
      </c>
      <c r="E317" s="16" t="s">
        <v>172</v>
      </c>
      <c r="G317" s="16" t="s">
        <v>188</v>
      </c>
      <c r="H317" s="16" t="s">
        <v>23</v>
      </c>
      <c r="I317" s="7" t="s">
        <v>330</v>
      </c>
      <c r="L317" s="16" t="s">
        <v>337</v>
      </c>
    </row>
    <row r="318" spans="1:17" ht="16" x14ac:dyDescent="0.2">
      <c r="A318" s="7" t="s">
        <v>506</v>
      </c>
      <c r="B318" s="7" t="s">
        <v>507</v>
      </c>
      <c r="C318" s="7">
        <v>500</v>
      </c>
      <c r="D318" s="7" t="s">
        <v>322</v>
      </c>
      <c r="E318" s="7" t="s">
        <v>172</v>
      </c>
      <c r="G318" s="7" t="s">
        <v>480</v>
      </c>
      <c r="H318" s="7" t="s">
        <v>23</v>
      </c>
      <c r="I318" s="7" t="s">
        <v>323</v>
      </c>
      <c r="J318" s="7" t="s">
        <v>25</v>
      </c>
      <c r="K318" s="7" t="s">
        <v>324</v>
      </c>
      <c r="L318" s="7" t="s">
        <v>325</v>
      </c>
      <c r="P318" s="7" t="s">
        <v>28</v>
      </c>
    </row>
    <row r="319" spans="1:17" ht="16" x14ac:dyDescent="0.2">
      <c r="A319" s="7" t="s">
        <v>508</v>
      </c>
      <c r="B319" s="7" t="s">
        <v>509</v>
      </c>
      <c r="C319" s="7">
        <v>500</v>
      </c>
      <c r="D319" s="7" t="s">
        <v>322</v>
      </c>
      <c r="E319" s="7" t="s">
        <v>172</v>
      </c>
      <c r="G319" s="7" t="s">
        <v>480</v>
      </c>
      <c r="H319" s="7" t="s">
        <v>23</v>
      </c>
    </row>
    <row r="320" spans="1:17" ht="16" x14ac:dyDescent="0.2">
      <c r="A320" s="7" t="s">
        <v>510</v>
      </c>
      <c r="B320" s="7" t="s">
        <v>511</v>
      </c>
      <c r="C320" s="7">
        <v>500</v>
      </c>
      <c r="D320" s="7" t="s">
        <v>322</v>
      </c>
      <c r="E320" s="7" t="s">
        <v>172</v>
      </c>
      <c r="G320" s="7" t="s">
        <v>480</v>
      </c>
      <c r="H320" s="7" t="s">
        <v>23</v>
      </c>
    </row>
    <row r="321" spans="1:17" s="13" customFormat="1" ht="16" x14ac:dyDescent="0.2">
      <c r="A321" s="10" t="s">
        <v>512</v>
      </c>
      <c r="B321" s="13" t="s">
        <v>513</v>
      </c>
      <c r="C321" s="13">
        <v>500</v>
      </c>
      <c r="D321" s="13" t="s">
        <v>322</v>
      </c>
      <c r="E321" s="13" t="s">
        <v>172</v>
      </c>
      <c r="G321" s="13" t="s">
        <v>173</v>
      </c>
      <c r="H321" s="13" t="s">
        <v>23</v>
      </c>
      <c r="I321" s="7"/>
    </row>
    <row r="322" spans="1:17" ht="16" x14ac:dyDescent="0.2">
      <c r="A322" s="14" t="s">
        <v>514</v>
      </c>
      <c r="B322" s="7" t="s">
        <v>513</v>
      </c>
      <c r="C322" s="7">
        <v>500</v>
      </c>
      <c r="D322" s="7" t="s">
        <v>322</v>
      </c>
      <c r="E322" s="7" t="s">
        <v>172</v>
      </c>
      <c r="G322" s="7" t="s">
        <v>173</v>
      </c>
      <c r="H322" s="7" t="s">
        <v>23</v>
      </c>
      <c r="I322" s="7" t="s">
        <v>323</v>
      </c>
      <c r="J322" s="7" t="s">
        <v>25</v>
      </c>
      <c r="K322" s="7" t="s">
        <v>324</v>
      </c>
      <c r="L322" s="7" t="s">
        <v>325</v>
      </c>
      <c r="P322" s="7" t="s">
        <v>28</v>
      </c>
    </row>
    <row r="323" spans="1:17" s="16" customFormat="1" ht="16" x14ac:dyDescent="0.2">
      <c r="A323" s="15" t="s">
        <v>515</v>
      </c>
      <c r="B323" s="16" t="s">
        <v>513</v>
      </c>
      <c r="C323" s="16">
        <v>500</v>
      </c>
      <c r="D323" s="16" t="s">
        <v>322</v>
      </c>
      <c r="E323" s="16" t="s">
        <v>172</v>
      </c>
      <c r="G323" s="16" t="s">
        <v>173</v>
      </c>
      <c r="H323" s="16" t="s">
        <v>23</v>
      </c>
      <c r="I323" s="146" t="s">
        <v>323</v>
      </c>
      <c r="J323" s="146" t="s">
        <v>25</v>
      </c>
      <c r="K323" s="146" t="s">
        <v>324</v>
      </c>
      <c r="L323" s="146" t="s">
        <v>325</v>
      </c>
      <c r="M323" s="146"/>
      <c r="N323" s="225"/>
      <c r="O323" s="225"/>
      <c r="P323" s="146" t="s">
        <v>28</v>
      </c>
    </row>
    <row r="324" spans="1:17" s="13" customFormat="1" ht="16" x14ac:dyDescent="0.2">
      <c r="A324" s="10" t="s">
        <v>516</v>
      </c>
      <c r="B324" s="13" t="s">
        <v>517</v>
      </c>
      <c r="C324" s="13">
        <v>500</v>
      </c>
      <c r="D324" s="13" t="s">
        <v>322</v>
      </c>
      <c r="E324" s="13" t="s">
        <v>172</v>
      </c>
      <c r="G324" s="13" t="s">
        <v>489</v>
      </c>
      <c r="H324" s="13" t="s">
        <v>23</v>
      </c>
      <c r="I324" s="7"/>
    </row>
    <row r="325" spans="1:17" ht="16" x14ac:dyDescent="0.2">
      <c r="A325" s="14" t="s">
        <v>518</v>
      </c>
      <c r="B325" s="7" t="s">
        <v>517</v>
      </c>
      <c r="C325" s="7">
        <v>500</v>
      </c>
      <c r="D325" s="7" t="s">
        <v>322</v>
      </c>
      <c r="E325" s="7" t="s">
        <v>172</v>
      </c>
      <c r="G325" s="7" t="s">
        <v>489</v>
      </c>
      <c r="H325" s="7" t="s">
        <v>23</v>
      </c>
      <c r="I325" s="7" t="s">
        <v>323</v>
      </c>
      <c r="J325" s="7" t="s">
        <v>25</v>
      </c>
      <c r="K325" s="7" t="s">
        <v>324</v>
      </c>
      <c r="L325" s="7" t="s">
        <v>325</v>
      </c>
      <c r="P325" s="7" t="s">
        <v>28</v>
      </c>
    </row>
    <row r="326" spans="1:17" s="16" customFormat="1" ht="16" x14ac:dyDescent="0.2">
      <c r="A326" s="15" t="s">
        <v>519</v>
      </c>
      <c r="B326" s="16" t="s">
        <v>517</v>
      </c>
      <c r="C326" s="16">
        <v>500</v>
      </c>
      <c r="D326" s="16" t="s">
        <v>322</v>
      </c>
      <c r="E326" s="16" t="s">
        <v>172</v>
      </c>
      <c r="G326" s="16" t="s">
        <v>489</v>
      </c>
      <c r="H326" s="16" t="s">
        <v>23</v>
      </c>
      <c r="I326" s="7"/>
    </row>
    <row r="327" spans="1:17" ht="16" x14ac:dyDescent="0.2">
      <c r="A327" s="7" t="s">
        <v>520</v>
      </c>
      <c r="B327" s="7" t="s">
        <v>521</v>
      </c>
      <c r="C327" s="7">
        <v>500</v>
      </c>
      <c r="D327" s="7" t="s">
        <v>322</v>
      </c>
      <c r="E327" s="7" t="s">
        <v>172</v>
      </c>
      <c r="G327" s="7" t="s">
        <v>173</v>
      </c>
      <c r="H327" s="7" t="s">
        <v>23</v>
      </c>
    </row>
    <row r="328" spans="1:17" s="13" customFormat="1" ht="16" x14ac:dyDescent="0.2">
      <c r="A328" s="10" t="s">
        <v>522</v>
      </c>
      <c r="B328" s="13" t="s">
        <v>523</v>
      </c>
      <c r="C328" s="13">
        <v>500</v>
      </c>
      <c r="D328" s="13" t="s">
        <v>322</v>
      </c>
      <c r="E328" s="13" t="s">
        <v>172</v>
      </c>
      <c r="G328" s="13" t="s">
        <v>173</v>
      </c>
      <c r="H328" s="13" t="s">
        <v>23</v>
      </c>
      <c r="I328" s="7" t="s">
        <v>323</v>
      </c>
      <c r="J328" s="13" t="s">
        <v>25</v>
      </c>
      <c r="K328" s="13" t="s">
        <v>324</v>
      </c>
      <c r="L328" s="13" t="s">
        <v>325</v>
      </c>
      <c r="P328" s="13" t="s">
        <v>28</v>
      </c>
    </row>
    <row r="329" spans="1:17" ht="16" x14ac:dyDescent="0.2">
      <c r="A329" s="14" t="s">
        <v>524</v>
      </c>
      <c r="B329" s="7" t="s">
        <v>523</v>
      </c>
      <c r="C329" s="7">
        <v>500</v>
      </c>
      <c r="D329" s="7" t="s">
        <v>322</v>
      </c>
      <c r="E329" s="7" t="s">
        <v>172</v>
      </c>
      <c r="G329" s="7" t="s">
        <v>173</v>
      </c>
      <c r="H329" s="7" t="s">
        <v>23</v>
      </c>
      <c r="I329" s="7" t="s">
        <v>323</v>
      </c>
      <c r="J329" s="7" t="s">
        <v>25</v>
      </c>
      <c r="K329" s="7" t="s">
        <v>324</v>
      </c>
      <c r="L329" s="7" t="s">
        <v>325</v>
      </c>
      <c r="P329" s="7" t="s">
        <v>28</v>
      </c>
    </row>
    <row r="330" spans="1:17" s="16" customFormat="1" ht="16" x14ac:dyDescent="0.2">
      <c r="A330" s="15" t="s">
        <v>525</v>
      </c>
      <c r="B330" s="16" t="s">
        <v>523</v>
      </c>
      <c r="C330" s="16">
        <v>500</v>
      </c>
      <c r="D330" s="16" t="s">
        <v>322</v>
      </c>
      <c r="E330" s="16" t="s">
        <v>172</v>
      </c>
      <c r="G330" s="16" t="s">
        <v>173</v>
      </c>
      <c r="H330" s="16" t="s">
        <v>23</v>
      </c>
      <c r="I330" s="7"/>
    </row>
    <row r="331" spans="1:17" ht="16" x14ac:dyDescent="0.2">
      <c r="A331" s="7" t="s">
        <v>526</v>
      </c>
      <c r="B331" s="7" t="s">
        <v>527</v>
      </c>
      <c r="C331" s="7">
        <v>500</v>
      </c>
      <c r="D331" s="7" t="s">
        <v>322</v>
      </c>
      <c r="E331" s="7" t="s">
        <v>172</v>
      </c>
      <c r="G331" s="7" t="s">
        <v>173</v>
      </c>
      <c r="H331" s="7" t="s">
        <v>23</v>
      </c>
      <c r="I331" s="7" t="s">
        <v>323</v>
      </c>
      <c r="J331" s="7" t="s">
        <v>25</v>
      </c>
      <c r="K331" s="7" t="s">
        <v>324</v>
      </c>
      <c r="L331" s="7" t="s">
        <v>325</v>
      </c>
      <c r="P331" s="7" t="s">
        <v>28</v>
      </c>
    </row>
    <row r="332" spans="1:17" ht="16" x14ac:dyDescent="0.2">
      <c r="A332" s="7" t="s">
        <v>528</v>
      </c>
      <c r="B332" s="7" t="s">
        <v>527</v>
      </c>
      <c r="C332" s="7">
        <v>500</v>
      </c>
      <c r="D332" s="7" t="s">
        <v>322</v>
      </c>
      <c r="E332" s="7" t="s">
        <v>172</v>
      </c>
      <c r="G332" s="7" t="s">
        <v>173</v>
      </c>
      <c r="H332" s="7" t="s">
        <v>23</v>
      </c>
      <c r="I332" s="7" t="s">
        <v>323</v>
      </c>
      <c r="J332" s="7" t="s">
        <v>25</v>
      </c>
      <c r="K332" s="7" t="s">
        <v>324</v>
      </c>
      <c r="L332" s="7" t="s">
        <v>325</v>
      </c>
      <c r="P332" s="7" t="s">
        <v>28</v>
      </c>
    </row>
    <row r="333" spans="1:17" ht="16" x14ac:dyDescent="0.2">
      <c r="A333" s="7" t="s">
        <v>529</v>
      </c>
      <c r="B333" s="7" t="s">
        <v>527</v>
      </c>
      <c r="C333" s="7">
        <v>500</v>
      </c>
      <c r="D333" s="7" t="s">
        <v>322</v>
      </c>
      <c r="E333" s="7" t="s">
        <v>172</v>
      </c>
      <c r="G333" s="7" t="s">
        <v>173</v>
      </c>
      <c r="H333" s="7" t="s">
        <v>23</v>
      </c>
    </row>
    <row r="334" spans="1:17" s="13" customFormat="1" ht="16" x14ac:dyDescent="0.2">
      <c r="A334" s="10" t="s">
        <v>530</v>
      </c>
      <c r="B334" s="13" t="s">
        <v>531</v>
      </c>
      <c r="C334" s="13">
        <v>500</v>
      </c>
      <c r="D334" s="13" t="s">
        <v>322</v>
      </c>
      <c r="E334" s="13" t="s">
        <v>172</v>
      </c>
      <c r="G334" s="13" t="s">
        <v>197</v>
      </c>
      <c r="H334" s="13" t="s">
        <v>23</v>
      </c>
      <c r="I334" s="7" t="s">
        <v>323</v>
      </c>
      <c r="J334" s="13" t="s">
        <v>25</v>
      </c>
      <c r="K334" s="13" t="s">
        <v>324</v>
      </c>
      <c r="L334" s="13" t="s">
        <v>325</v>
      </c>
    </row>
    <row r="335" spans="1:17" ht="16" x14ac:dyDescent="0.2">
      <c r="A335" s="14" t="s">
        <v>532</v>
      </c>
      <c r="B335" s="7" t="s">
        <v>531</v>
      </c>
      <c r="C335" s="7">
        <v>500</v>
      </c>
      <c r="D335" s="7" t="s">
        <v>322</v>
      </c>
      <c r="E335" s="7" t="s">
        <v>172</v>
      </c>
      <c r="G335" s="7" t="s">
        <v>197</v>
      </c>
      <c r="H335" s="7" t="s">
        <v>23</v>
      </c>
      <c r="I335" s="7" t="s">
        <v>323</v>
      </c>
      <c r="J335" s="7" t="s">
        <v>25</v>
      </c>
      <c r="K335" s="7" t="s">
        <v>324</v>
      </c>
      <c r="L335" s="7" t="s">
        <v>325</v>
      </c>
      <c r="P335" s="7" t="s">
        <v>28</v>
      </c>
    </row>
    <row r="336" spans="1:17" s="16" customFormat="1" ht="16" x14ac:dyDescent="0.2">
      <c r="A336" s="15" t="s">
        <v>533</v>
      </c>
      <c r="B336" s="16" t="s">
        <v>531</v>
      </c>
      <c r="C336" s="16">
        <v>500</v>
      </c>
      <c r="D336" s="16" t="s">
        <v>322</v>
      </c>
      <c r="E336" s="16" t="s">
        <v>172</v>
      </c>
      <c r="G336" s="16" t="s">
        <v>197</v>
      </c>
      <c r="H336" s="16" t="s">
        <v>23</v>
      </c>
      <c r="I336" s="7" t="s">
        <v>58</v>
      </c>
      <c r="J336" s="16" t="s">
        <v>534</v>
      </c>
      <c r="Q336" s="16" t="s">
        <v>28</v>
      </c>
    </row>
    <row r="337" spans="1:17" ht="16" x14ac:dyDescent="0.2">
      <c r="A337" s="7" t="s">
        <v>535</v>
      </c>
      <c r="B337" s="7" t="s">
        <v>536</v>
      </c>
      <c r="C337" s="7">
        <v>500</v>
      </c>
      <c r="D337" s="7" t="s">
        <v>322</v>
      </c>
      <c r="E337" s="7" t="s">
        <v>172</v>
      </c>
      <c r="G337" s="7" t="s">
        <v>197</v>
      </c>
      <c r="H337" s="7" t="s">
        <v>23</v>
      </c>
      <c r="I337" s="7" t="s">
        <v>58</v>
      </c>
      <c r="J337" s="7" t="s">
        <v>48</v>
      </c>
      <c r="Q337" s="7" t="s">
        <v>28</v>
      </c>
    </row>
    <row r="338" spans="1:17" ht="16" x14ac:dyDescent="0.2">
      <c r="A338" s="7" t="s">
        <v>537</v>
      </c>
      <c r="B338" s="7" t="s">
        <v>536</v>
      </c>
      <c r="C338" s="7">
        <v>500</v>
      </c>
      <c r="D338" s="7" t="s">
        <v>322</v>
      </c>
      <c r="E338" s="7" t="s">
        <v>172</v>
      </c>
      <c r="G338" s="7" t="s">
        <v>197</v>
      </c>
      <c r="H338" s="7" t="s">
        <v>23</v>
      </c>
      <c r="I338" s="7" t="s">
        <v>323</v>
      </c>
      <c r="J338" s="7" t="s">
        <v>25</v>
      </c>
      <c r="K338" s="7" t="s">
        <v>324</v>
      </c>
      <c r="L338" s="7" t="s">
        <v>325</v>
      </c>
      <c r="P338" s="7" t="s">
        <v>28</v>
      </c>
    </row>
    <row r="339" spans="1:17" ht="16" x14ac:dyDescent="0.2">
      <c r="A339" s="7" t="s">
        <v>538</v>
      </c>
      <c r="B339" s="7" t="s">
        <v>536</v>
      </c>
      <c r="C339" s="7">
        <v>500</v>
      </c>
      <c r="D339" s="7" t="s">
        <v>322</v>
      </c>
      <c r="E339" s="7" t="s">
        <v>172</v>
      </c>
      <c r="G339" s="7" t="s">
        <v>197</v>
      </c>
      <c r="H339" s="7" t="s">
        <v>23</v>
      </c>
      <c r="I339" s="7" t="s">
        <v>58</v>
      </c>
      <c r="Q339" s="7" t="s">
        <v>28</v>
      </c>
    </row>
    <row r="340" spans="1:17" s="13" customFormat="1" ht="16" x14ac:dyDescent="0.2">
      <c r="A340" s="10" t="s">
        <v>539</v>
      </c>
      <c r="B340" s="13" t="s">
        <v>540</v>
      </c>
      <c r="C340" s="13">
        <v>500</v>
      </c>
      <c r="D340" s="13" t="s">
        <v>322</v>
      </c>
      <c r="E340" s="13" t="s">
        <v>110</v>
      </c>
      <c r="G340" s="13" t="s">
        <v>111</v>
      </c>
      <c r="H340" s="13" t="s">
        <v>23</v>
      </c>
      <c r="I340" s="7" t="s">
        <v>323</v>
      </c>
      <c r="J340" s="13" t="s">
        <v>25</v>
      </c>
      <c r="K340" s="13" t="s">
        <v>324</v>
      </c>
      <c r="L340" s="13" t="s">
        <v>325</v>
      </c>
      <c r="P340" s="13" t="s">
        <v>28</v>
      </c>
    </row>
    <row r="341" spans="1:17" ht="16" x14ac:dyDescent="0.2">
      <c r="A341" s="14" t="s">
        <v>541</v>
      </c>
      <c r="B341" s="7" t="s">
        <v>542</v>
      </c>
      <c r="C341" s="7">
        <v>500</v>
      </c>
      <c r="D341" s="7" t="s">
        <v>322</v>
      </c>
      <c r="E341" s="7" t="s">
        <v>110</v>
      </c>
      <c r="G341" s="7" t="s">
        <v>111</v>
      </c>
      <c r="H341" s="7" t="s">
        <v>23</v>
      </c>
      <c r="I341" s="7" t="s">
        <v>323</v>
      </c>
      <c r="J341" s="7" t="s">
        <v>25</v>
      </c>
      <c r="K341" s="7" t="s">
        <v>324</v>
      </c>
      <c r="L341" s="7" t="s">
        <v>325</v>
      </c>
      <c r="P341" s="7" t="s">
        <v>28</v>
      </c>
    </row>
    <row r="342" spans="1:17" s="16" customFormat="1" ht="16" x14ac:dyDescent="0.2">
      <c r="A342" s="15" t="s">
        <v>543</v>
      </c>
      <c r="B342" s="16" t="s">
        <v>544</v>
      </c>
      <c r="C342" s="16">
        <v>500</v>
      </c>
      <c r="D342" s="16" t="s">
        <v>322</v>
      </c>
      <c r="E342" s="16" t="s">
        <v>110</v>
      </c>
      <c r="G342" s="16" t="s">
        <v>111</v>
      </c>
      <c r="H342" s="16" t="s">
        <v>23</v>
      </c>
      <c r="I342" s="146" t="s">
        <v>323</v>
      </c>
      <c r="J342" s="146" t="s">
        <v>25</v>
      </c>
      <c r="K342" s="146" t="s">
        <v>324</v>
      </c>
      <c r="L342" s="146" t="s">
        <v>325</v>
      </c>
      <c r="M342" s="146"/>
      <c r="N342" s="146"/>
      <c r="O342" s="146"/>
      <c r="P342" s="146" t="s">
        <v>28</v>
      </c>
    </row>
    <row r="343" spans="1:17" s="13" customFormat="1" ht="16" x14ac:dyDescent="0.2">
      <c r="A343" s="10" t="s">
        <v>545</v>
      </c>
      <c r="B343" s="13" t="s">
        <v>546</v>
      </c>
      <c r="C343" s="13">
        <v>500</v>
      </c>
      <c r="D343" s="13" t="s">
        <v>322</v>
      </c>
      <c r="E343" s="13" t="s">
        <v>110</v>
      </c>
      <c r="G343" s="13" t="s">
        <v>111</v>
      </c>
      <c r="H343" s="13" t="s">
        <v>23</v>
      </c>
      <c r="I343" s="7" t="s">
        <v>323</v>
      </c>
      <c r="J343" s="13" t="s">
        <v>25</v>
      </c>
      <c r="K343" s="13" t="s">
        <v>324</v>
      </c>
      <c r="L343" s="13" t="s">
        <v>325</v>
      </c>
      <c r="P343" s="13" t="s">
        <v>28</v>
      </c>
    </row>
    <row r="344" spans="1:17" ht="16" x14ac:dyDescent="0.2">
      <c r="A344" s="14" t="s">
        <v>547</v>
      </c>
      <c r="B344" s="7" t="s">
        <v>546</v>
      </c>
      <c r="C344" s="7">
        <v>500</v>
      </c>
      <c r="D344" s="7" t="s">
        <v>322</v>
      </c>
      <c r="E344" s="7" t="s">
        <v>110</v>
      </c>
      <c r="G344" s="7" t="s">
        <v>111</v>
      </c>
      <c r="H344" s="7" t="s">
        <v>23</v>
      </c>
      <c r="I344" s="7" t="s">
        <v>31</v>
      </c>
      <c r="K344" s="7" t="s">
        <v>548</v>
      </c>
      <c r="O344" s="7" t="s">
        <v>33</v>
      </c>
    </row>
    <row r="345" spans="1:17" s="16" customFormat="1" ht="16" x14ac:dyDescent="0.2">
      <c r="A345" s="15" t="s">
        <v>549</v>
      </c>
      <c r="B345" s="16" t="s">
        <v>546</v>
      </c>
      <c r="C345" s="16">
        <v>500</v>
      </c>
      <c r="D345" s="16" t="s">
        <v>322</v>
      </c>
      <c r="E345" s="16" t="s">
        <v>110</v>
      </c>
      <c r="G345" s="16" t="s">
        <v>111</v>
      </c>
      <c r="H345" s="16" t="s">
        <v>23</v>
      </c>
      <c r="I345" s="7" t="s">
        <v>31</v>
      </c>
      <c r="K345" s="16" t="s">
        <v>548</v>
      </c>
      <c r="O345" s="16" t="s">
        <v>33</v>
      </c>
    </row>
    <row r="346" spans="1:17" s="13" customFormat="1" ht="16" x14ac:dyDescent="0.2">
      <c r="A346" s="10" t="s">
        <v>550</v>
      </c>
      <c r="B346" s="13" t="s">
        <v>551</v>
      </c>
      <c r="C346" s="13">
        <v>500</v>
      </c>
      <c r="D346" s="13" t="s">
        <v>322</v>
      </c>
      <c r="E346" s="13" t="s">
        <v>110</v>
      </c>
      <c r="G346" s="13" t="s">
        <v>251</v>
      </c>
      <c r="H346" s="13" t="s">
        <v>23</v>
      </c>
      <c r="I346" s="7" t="s">
        <v>323</v>
      </c>
      <c r="J346" s="13" t="s">
        <v>25</v>
      </c>
      <c r="K346" s="13" t="s">
        <v>324</v>
      </c>
      <c r="L346" s="13" t="s">
        <v>325</v>
      </c>
      <c r="P346" s="13" t="s">
        <v>28</v>
      </c>
    </row>
    <row r="347" spans="1:17" ht="16" x14ac:dyDescent="0.2">
      <c r="A347" s="14" t="s">
        <v>552</v>
      </c>
      <c r="B347" s="7" t="s">
        <v>551</v>
      </c>
      <c r="C347" s="7">
        <v>500</v>
      </c>
      <c r="D347" s="7" t="s">
        <v>322</v>
      </c>
      <c r="E347" s="7" t="s">
        <v>110</v>
      </c>
      <c r="G347" s="7" t="s">
        <v>251</v>
      </c>
      <c r="H347" s="7" t="s">
        <v>23</v>
      </c>
    </row>
    <row r="348" spans="1:17" s="16" customFormat="1" ht="16" x14ac:dyDescent="0.2">
      <c r="A348" s="15" t="s">
        <v>553</v>
      </c>
      <c r="B348" s="16" t="s">
        <v>551</v>
      </c>
      <c r="C348" s="16">
        <v>500</v>
      </c>
      <c r="D348" s="16" t="s">
        <v>322</v>
      </c>
      <c r="E348" s="16" t="s">
        <v>110</v>
      </c>
      <c r="G348" s="16" t="s">
        <v>251</v>
      </c>
      <c r="H348" s="16" t="s">
        <v>23</v>
      </c>
      <c r="I348" s="7"/>
      <c r="K348" s="16" t="s">
        <v>548</v>
      </c>
      <c r="O348" s="16" t="s">
        <v>33</v>
      </c>
    </row>
    <row r="349" spans="1:17" s="13" customFormat="1" ht="16" x14ac:dyDescent="0.2">
      <c r="A349" s="10" t="s">
        <v>554</v>
      </c>
      <c r="B349" s="13" t="s">
        <v>555</v>
      </c>
      <c r="C349" s="13">
        <v>500</v>
      </c>
      <c r="D349" s="13" t="s">
        <v>322</v>
      </c>
      <c r="E349" s="13" t="s">
        <v>110</v>
      </c>
      <c r="G349" s="13" t="s">
        <v>251</v>
      </c>
      <c r="H349" s="13" t="s">
        <v>23</v>
      </c>
      <c r="I349" s="7"/>
    </row>
    <row r="350" spans="1:17" ht="16" x14ac:dyDescent="0.2">
      <c r="A350" s="14" t="s">
        <v>556</v>
      </c>
      <c r="B350" s="7" t="s">
        <v>555</v>
      </c>
      <c r="C350" s="7">
        <v>500</v>
      </c>
      <c r="D350" s="7" t="s">
        <v>322</v>
      </c>
      <c r="E350" s="7" t="s">
        <v>110</v>
      </c>
      <c r="G350" s="7" t="s">
        <v>251</v>
      </c>
      <c r="H350" s="7" t="s">
        <v>23</v>
      </c>
      <c r="I350" s="7" t="s">
        <v>31</v>
      </c>
      <c r="K350" s="7" t="s">
        <v>548</v>
      </c>
      <c r="O350" s="7" t="s">
        <v>33</v>
      </c>
    </row>
    <row r="351" spans="1:17" s="16" customFormat="1" ht="16" x14ac:dyDescent="0.2">
      <c r="A351" s="15" t="s">
        <v>557</v>
      </c>
      <c r="B351" s="16" t="s">
        <v>555</v>
      </c>
      <c r="C351" s="16">
        <v>500</v>
      </c>
      <c r="D351" s="16" t="s">
        <v>322</v>
      </c>
      <c r="E351" s="16" t="s">
        <v>110</v>
      </c>
      <c r="G351" s="16" t="s">
        <v>251</v>
      </c>
      <c r="H351" s="16" t="s">
        <v>23</v>
      </c>
      <c r="I351" s="7" t="s">
        <v>330</v>
      </c>
    </row>
    <row r="352" spans="1:17" s="13" customFormat="1" ht="16" x14ac:dyDescent="0.2">
      <c r="A352" s="10" t="s">
        <v>558</v>
      </c>
      <c r="B352" s="13" t="s">
        <v>559</v>
      </c>
      <c r="C352" s="13">
        <v>500</v>
      </c>
      <c r="D352" s="13" t="s">
        <v>322</v>
      </c>
      <c r="E352" s="13" t="s">
        <v>110</v>
      </c>
      <c r="G352" s="13" t="s">
        <v>560</v>
      </c>
      <c r="H352" s="13" t="s">
        <v>23</v>
      </c>
      <c r="I352" s="7"/>
      <c r="J352" s="13" t="s">
        <v>25</v>
      </c>
      <c r="L352" s="13" t="s">
        <v>337</v>
      </c>
      <c r="P352" s="13" t="s">
        <v>28</v>
      </c>
    </row>
    <row r="353" spans="1:16" s="16" customFormat="1" ht="16" x14ac:dyDescent="0.2">
      <c r="A353" s="15" t="s">
        <v>561</v>
      </c>
      <c r="B353" s="16" t="s">
        <v>559</v>
      </c>
      <c r="C353" s="16">
        <v>500</v>
      </c>
      <c r="D353" s="16" t="s">
        <v>322</v>
      </c>
      <c r="E353" s="16" t="s">
        <v>110</v>
      </c>
      <c r="G353" s="16" t="s">
        <v>560</v>
      </c>
      <c r="H353" s="16" t="s">
        <v>23</v>
      </c>
      <c r="I353" s="7"/>
      <c r="O353" s="16" t="s">
        <v>33</v>
      </c>
    </row>
    <row r="354" spans="1:16" s="13" customFormat="1" ht="16" x14ac:dyDescent="0.2">
      <c r="A354" s="10" t="s">
        <v>562</v>
      </c>
      <c r="B354" s="13" t="s">
        <v>563</v>
      </c>
      <c r="C354" s="13">
        <v>500</v>
      </c>
      <c r="D354" s="13" t="s">
        <v>322</v>
      </c>
      <c r="E354" s="13" t="s">
        <v>110</v>
      </c>
      <c r="G354" s="13" t="s">
        <v>560</v>
      </c>
      <c r="H354" s="13" t="s">
        <v>23</v>
      </c>
      <c r="I354" s="146" t="s">
        <v>323</v>
      </c>
      <c r="J354" s="146" t="s">
        <v>25</v>
      </c>
      <c r="K354" s="146" t="s">
        <v>324</v>
      </c>
      <c r="L354" s="146" t="s">
        <v>325</v>
      </c>
      <c r="M354" s="146"/>
      <c r="N354" s="146"/>
      <c r="O354" s="146"/>
      <c r="P354" s="146" t="s">
        <v>28</v>
      </c>
    </row>
    <row r="355" spans="1:16" s="16" customFormat="1" ht="16" x14ac:dyDescent="0.2">
      <c r="A355" s="15" t="s">
        <v>564</v>
      </c>
      <c r="B355" s="16" t="s">
        <v>563</v>
      </c>
      <c r="C355" s="16">
        <v>500</v>
      </c>
      <c r="D355" s="16" t="s">
        <v>322</v>
      </c>
      <c r="E355" s="16" t="s">
        <v>110</v>
      </c>
      <c r="G355" s="16" t="s">
        <v>560</v>
      </c>
      <c r="H355" s="16" t="s">
        <v>23</v>
      </c>
      <c r="I355" s="7" t="s">
        <v>323</v>
      </c>
      <c r="J355" s="16" t="s">
        <v>25</v>
      </c>
      <c r="K355" s="16" t="s">
        <v>324</v>
      </c>
      <c r="L355" s="16" t="s">
        <v>325</v>
      </c>
      <c r="P355" s="16" t="s">
        <v>28</v>
      </c>
    </row>
    <row r="356" spans="1:16" s="13" customFormat="1" ht="16" x14ac:dyDescent="0.2">
      <c r="A356" s="10" t="s">
        <v>565</v>
      </c>
      <c r="B356" s="13" t="s">
        <v>566</v>
      </c>
      <c r="C356" s="13">
        <v>500</v>
      </c>
      <c r="D356" s="13" t="s">
        <v>322</v>
      </c>
      <c r="E356" s="13" t="s">
        <v>110</v>
      </c>
      <c r="G356" s="13" t="s">
        <v>560</v>
      </c>
      <c r="H356" s="13" t="s">
        <v>23</v>
      </c>
      <c r="I356" s="7" t="s">
        <v>323</v>
      </c>
      <c r="J356" s="13" t="s">
        <v>25</v>
      </c>
      <c r="K356" s="13" t="s">
        <v>324</v>
      </c>
      <c r="L356" s="13" t="s">
        <v>325</v>
      </c>
      <c r="P356" s="13" t="s">
        <v>28</v>
      </c>
    </row>
    <row r="357" spans="1:16" s="16" customFormat="1" ht="16" x14ac:dyDescent="0.2">
      <c r="A357" s="15" t="s">
        <v>567</v>
      </c>
      <c r="B357" s="16" t="s">
        <v>566</v>
      </c>
      <c r="C357" s="16">
        <v>500</v>
      </c>
      <c r="D357" s="16" t="s">
        <v>322</v>
      </c>
      <c r="E357" s="16" t="s">
        <v>110</v>
      </c>
      <c r="G357" s="16" t="s">
        <v>560</v>
      </c>
      <c r="H357" s="16" t="s">
        <v>23</v>
      </c>
      <c r="I357" s="7" t="s">
        <v>323</v>
      </c>
      <c r="J357" s="16" t="s">
        <v>25</v>
      </c>
      <c r="K357" s="16" t="s">
        <v>324</v>
      </c>
      <c r="L357" s="16" t="s">
        <v>325</v>
      </c>
      <c r="P357" s="16" t="s">
        <v>28</v>
      </c>
    </row>
    <row r="358" spans="1:16" s="13" customFormat="1" ht="16" x14ac:dyDescent="0.2">
      <c r="A358" s="10" t="s">
        <v>568</v>
      </c>
      <c r="B358" s="13" t="s">
        <v>569</v>
      </c>
      <c r="C358" s="13">
        <v>500</v>
      </c>
      <c r="D358" s="13" t="s">
        <v>322</v>
      </c>
      <c r="E358" s="13" t="s">
        <v>110</v>
      </c>
      <c r="G358" s="13" t="s">
        <v>560</v>
      </c>
      <c r="H358" s="13" t="s">
        <v>23</v>
      </c>
      <c r="I358" s="7" t="s">
        <v>323</v>
      </c>
      <c r="J358" s="13" t="s">
        <v>25</v>
      </c>
      <c r="K358" s="13" t="s">
        <v>324</v>
      </c>
      <c r="L358" s="13" t="s">
        <v>325</v>
      </c>
      <c r="P358" s="13" t="s">
        <v>28</v>
      </c>
    </row>
    <row r="359" spans="1:16" ht="16" x14ac:dyDescent="0.2">
      <c r="A359" s="14" t="s">
        <v>570</v>
      </c>
      <c r="B359" s="7" t="s">
        <v>569</v>
      </c>
      <c r="C359" s="7">
        <v>500</v>
      </c>
      <c r="D359" s="7" t="s">
        <v>322</v>
      </c>
      <c r="E359" s="7" t="s">
        <v>110</v>
      </c>
      <c r="G359" s="7" t="s">
        <v>560</v>
      </c>
      <c r="H359" s="7" t="s">
        <v>23</v>
      </c>
      <c r="I359" s="146" t="s">
        <v>323</v>
      </c>
      <c r="J359" s="146" t="s">
        <v>25</v>
      </c>
      <c r="K359" s="146" t="s">
        <v>324</v>
      </c>
      <c r="L359" s="146" t="s">
        <v>325</v>
      </c>
      <c r="M359" s="146"/>
      <c r="N359" s="146"/>
      <c r="O359" s="146"/>
      <c r="P359" s="146" t="s">
        <v>28</v>
      </c>
    </row>
    <row r="360" spans="1:16" s="49" customFormat="1" ht="16" x14ac:dyDescent="0.2">
      <c r="A360" s="49" t="s">
        <v>571</v>
      </c>
      <c r="B360" s="49" t="s">
        <v>572</v>
      </c>
      <c r="C360" s="49">
        <v>500</v>
      </c>
      <c r="D360" s="49" t="s">
        <v>322</v>
      </c>
      <c r="E360" s="49" t="s">
        <v>110</v>
      </c>
      <c r="G360" s="49" t="s">
        <v>560</v>
      </c>
      <c r="H360" s="49" t="s">
        <v>23</v>
      </c>
      <c r="I360" s="7" t="s">
        <v>323</v>
      </c>
      <c r="J360" s="49" t="s">
        <v>25</v>
      </c>
      <c r="K360" s="49" t="s">
        <v>324</v>
      </c>
      <c r="L360" s="49" t="s">
        <v>325</v>
      </c>
      <c r="P360" s="49" t="s">
        <v>28</v>
      </c>
    </row>
    <row r="361" spans="1:16" s="51" customFormat="1" ht="16" x14ac:dyDescent="0.2">
      <c r="A361" s="150" t="s">
        <v>573</v>
      </c>
      <c r="B361" s="51" t="s">
        <v>572</v>
      </c>
      <c r="C361" s="51">
        <v>500</v>
      </c>
      <c r="D361" s="51" t="s">
        <v>322</v>
      </c>
      <c r="E361" s="51" t="s">
        <v>110</v>
      </c>
      <c r="G361" s="51" t="s">
        <v>560</v>
      </c>
      <c r="H361" s="51" t="s">
        <v>23</v>
      </c>
      <c r="I361" s="146" t="s">
        <v>574</v>
      </c>
      <c r="J361" s="151"/>
      <c r="K361" s="151"/>
      <c r="L361" s="151" t="s">
        <v>337</v>
      </c>
      <c r="M361" s="151"/>
      <c r="N361" s="151"/>
      <c r="O361" s="151"/>
      <c r="P361" s="151" t="s">
        <v>28</v>
      </c>
    </row>
    <row r="362" spans="1:16" ht="16" x14ac:dyDescent="0.2">
      <c r="A362" s="52">
        <v>301</v>
      </c>
      <c r="B362" s="7" t="s">
        <v>575</v>
      </c>
      <c r="C362" s="7">
        <v>500</v>
      </c>
      <c r="D362" s="7" t="s">
        <v>322</v>
      </c>
      <c r="E362" s="222" t="s">
        <v>296</v>
      </c>
      <c r="F362" s="222"/>
      <c r="G362" s="7" t="s">
        <v>297</v>
      </c>
      <c r="H362" s="7" t="s">
        <v>23</v>
      </c>
      <c r="I362" s="146" t="s">
        <v>323</v>
      </c>
      <c r="J362" s="146" t="s">
        <v>25</v>
      </c>
      <c r="K362" s="146" t="s">
        <v>324</v>
      </c>
      <c r="L362" s="146" t="s">
        <v>325</v>
      </c>
      <c r="M362" s="146"/>
      <c r="N362" s="146"/>
      <c r="O362" s="146"/>
      <c r="P362" s="146" t="s">
        <v>28</v>
      </c>
    </row>
    <row r="363" spans="1:16" ht="16" x14ac:dyDescent="0.2">
      <c r="A363" s="52">
        <v>302</v>
      </c>
      <c r="B363" s="7" t="s">
        <v>576</v>
      </c>
      <c r="C363" s="7">
        <v>500</v>
      </c>
      <c r="D363" s="7" t="s">
        <v>322</v>
      </c>
      <c r="E363" s="222" t="s">
        <v>296</v>
      </c>
      <c r="F363" s="222"/>
      <c r="G363" s="7" t="s">
        <v>297</v>
      </c>
      <c r="H363" s="7" t="s">
        <v>23</v>
      </c>
      <c r="I363" s="7" t="s">
        <v>323</v>
      </c>
      <c r="J363" s="7" t="s">
        <v>25</v>
      </c>
      <c r="K363" s="7" t="s">
        <v>324</v>
      </c>
      <c r="L363" s="7" t="s">
        <v>325</v>
      </c>
      <c r="P363" s="7" t="s">
        <v>28</v>
      </c>
    </row>
    <row r="364" spans="1:16" ht="16" x14ac:dyDescent="0.2">
      <c r="A364" s="52">
        <v>303</v>
      </c>
      <c r="B364" s="7" t="s">
        <v>577</v>
      </c>
      <c r="C364" s="7">
        <v>500</v>
      </c>
      <c r="D364" s="7" t="s">
        <v>322</v>
      </c>
      <c r="E364" s="222" t="s">
        <v>296</v>
      </c>
      <c r="F364" s="222"/>
      <c r="G364" s="7" t="s">
        <v>306</v>
      </c>
      <c r="H364" s="7" t="s">
        <v>23</v>
      </c>
      <c r="I364" s="7" t="s">
        <v>323</v>
      </c>
      <c r="J364" s="7" t="s">
        <v>25</v>
      </c>
      <c r="K364" s="7" t="s">
        <v>324</v>
      </c>
      <c r="L364" s="7" t="s">
        <v>325</v>
      </c>
      <c r="P364" s="7" t="s">
        <v>28</v>
      </c>
    </row>
    <row r="365" spans="1:16" ht="16" x14ac:dyDescent="0.2">
      <c r="A365" s="52">
        <v>304</v>
      </c>
      <c r="B365" s="7" t="s">
        <v>578</v>
      </c>
      <c r="C365" s="7">
        <v>500</v>
      </c>
      <c r="D365" s="7" t="s">
        <v>322</v>
      </c>
      <c r="E365" s="222" t="s">
        <v>296</v>
      </c>
      <c r="F365" s="222"/>
      <c r="G365" s="7" t="s">
        <v>297</v>
      </c>
      <c r="H365" s="7" t="s">
        <v>23</v>
      </c>
      <c r="I365" s="7" t="s">
        <v>323</v>
      </c>
      <c r="J365" s="7" t="s">
        <v>25</v>
      </c>
      <c r="K365" s="7" t="s">
        <v>324</v>
      </c>
      <c r="L365" s="7" t="s">
        <v>325</v>
      </c>
      <c r="P365" s="7" t="s">
        <v>28</v>
      </c>
    </row>
    <row r="366" spans="1:16" ht="16" x14ac:dyDescent="0.2">
      <c r="A366" s="52">
        <v>305</v>
      </c>
      <c r="B366" s="7" t="s">
        <v>579</v>
      </c>
      <c r="C366" s="7">
        <v>500</v>
      </c>
      <c r="D366" s="7" t="s">
        <v>322</v>
      </c>
      <c r="E366" s="222" t="s">
        <v>296</v>
      </c>
      <c r="F366" s="222"/>
      <c r="G366" s="7" t="s">
        <v>297</v>
      </c>
      <c r="H366" s="7" t="s">
        <v>23</v>
      </c>
      <c r="I366" s="7" t="s">
        <v>323</v>
      </c>
      <c r="J366" s="7" t="s">
        <v>25</v>
      </c>
      <c r="K366" s="7" t="s">
        <v>324</v>
      </c>
      <c r="L366" s="7" t="s">
        <v>325</v>
      </c>
      <c r="P366" s="7" t="s">
        <v>28</v>
      </c>
    </row>
    <row r="367" spans="1:16" ht="16" x14ac:dyDescent="0.2">
      <c r="A367" s="52">
        <v>306</v>
      </c>
      <c r="B367" s="7" t="s">
        <v>580</v>
      </c>
      <c r="C367" s="7">
        <v>500</v>
      </c>
      <c r="D367" s="7" t="s">
        <v>322</v>
      </c>
      <c r="E367" s="222" t="s">
        <v>296</v>
      </c>
      <c r="F367" s="222"/>
      <c r="G367" s="7" t="s">
        <v>297</v>
      </c>
      <c r="H367" s="7" t="s">
        <v>23</v>
      </c>
      <c r="I367" s="7" t="s">
        <v>323</v>
      </c>
      <c r="J367" s="7" t="s">
        <v>25</v>
      </c>
      <c r="K367" s="7" t="s">
        <v>324</v>
      </c>
      <c r="L367" s="7" t="s">
        <v>325</v>
      </c>
      <c r="P367" s="7" t="s">
        <v>28</v>
      </c>
    </row>
    <row r="368" spans="1:16" ht="16" x14ac:dyDescent="0.2">
      <c r="A368" s="52">
        <v>307</v>
      </c>
      <c r="B368" s="7" t="s">
        <v>581</v>
      </c>
      <c r="C368" s="7">
        <v>500</v>
      </c>
      <c r="D368" s="7" t="s">
        <v>322</v>
      </c>
      <c r="E368" s="222" t="s">
        <v>296</v>
      </c>
      <c r="F368" s="222"/>
      <c r="G368" s="7" t="s">
        <v>306</v>
      </c>
      <c r="H368" s="7" t="s">
        <v>23</v>
      </c>
      <c r="I368" s="7" t="s">
        <v>323</v>
      </c>
      <c r="J368" s="7" t="s">
        <v>25</v>
      </c>
      <c r="K368" s="7" t="s">
        <v>324</v>
      </c>
      <c r="L368" s="7" t="s">
        <v>325</v>
      </c>
      <c r="P368" s="7" t="s">
        <v>28</v>
      </c>
    </row>
    <row r="369" spans="1:18" ht="16" x14ac:dyDescent="0.2">
      <c r="A369" s="52">
        <v>308</v>
      </c>
      <c r="B369" s="7" t="s">
        <v>582</v>
      </c>
      <c r="C369" s="7">
        <v>500</v>
      </c>
      <c r="D369" s="7" t="s">
        <v>322</v>
      </c>
      <c r="E369" s="222" t="s">
        <v>296</v>
      </c>
      <c r="F369" s="222"/>
      <c r="G369" s="7" t="s">
        <v>306</v>
      </c>
      <c r="H369" s="7" t="s">
        <v>23</v>
      </c>
      <c r="I369" s="7" t="s">
        <v>323</v>
      </c>
      <c r="J369" s="7" t="s">
        <v>25</v>
      </c>
      <c r="K369" s="7" t="s">
        <v>324</v>
      </c>
      <c r="L369" s="7" t="s">
        <v>325</v>
      </c>
      <c r="P369" s="7" t="s">
        <v>28</v>
      </c>
    </row>
    <row r="370" spans="1:18" ht="16" x14ac:dyDescent="0.2">
      <c r="A370" s="52">
        <v>309</v>
      </c>
      <c r="B370" s="7" t="s">
        <v>583</v>
      </c>
      <c r="C370" s="7">
        <v>500</v>
      </c>
      <c r="D370" s="7" t="s">
        <v>322</v>
      </c>
      <c r="E370" s="222" t="s">
        <v>296</v>
      </c>
      <c r="F370" s="222"/>
      <c r="G370" s="7" t="s">
        <v>306</v>
      </c>
      <c r="H370" s="7" t="s">
        <v>23</v>
      </c>
      <c r="I370" s="7" t="s">
        <v>323</v>
      </c>
      <c r="J370" s="7" t="s">
        <v>25</v>
      </c>
      <c r="K370" s="7" t="s">
        <v>324</v>
      </c>
      <c r="L370" s="7" t="s">
        <v>325</v>
      </c>
      <c r="P370" s="7" t="s">
        <v>28</v>
      </c>
    </row>
    <row r="371" spans="1:18" ht="16" x14ac:dyDescent="0.2">
      <c r="A371" s="52">
        <v>310</v>
      </c>
      <c r="B371" s="7" t="s">
        <v>584</v>
      </c>
      <c r="C371" s="7">
        <v>500</v>
      </c>
      <c r="D371" s="7" t="s">
        <v>322</v>
      </c>
      <c r="E371" s="222" t="s">
        <v>296</v>
      </c>
      <c r="F371" s="222"/>
      <c r="G371" s="7" t="s">
        <v>306</v>
      </c>
      <c r="H371" s="7" t="s">
        <v>23</v>
      </c>
      <c r="I371" s="146" t="s">
        <v>323</v>
      </c>
      <c r="J371" s="146" t="s">
        <v>25</v>
      </c>
      <c r="K371" s="146" t="s">
        <v>324</v>
      </c>
      <c r="L371" s="146" t="s">
        <v>325</v>
      </c>
      <c r="M371" s="146"/>
      <c r="N371" s="146"/>
      <c r="O371" s="146"/>
      <c r="P371" s="146" t="s">
        <v>28</v>
      </c>
    </row>
    <row r="372" spans="1:18" s="49" customFormat="1" ht="16" x14ac:dyDescent="0.2">
      <c r="A372" s="48">
        <v>311</v>
      </c>
      <c r="B372" s="49" t="s">
        <v>585</v>
      </c>
      <c r="C372" s="49">
        <v>500</v>
      </c>
      <c r="D372" s="49" t="s">
        <v>322</v>
      </c>
      <c r="E372" s="49" t="s">
        <v>110</v>
      </c>
      <c r="G372" s="49" t="s">
        <v>389</v>
      </c>
      <c r="H372" s="49" t="s">
        <v>23</v>
      </c>
      <c r="I372" s="7" t="s">
        <v>323</v>
      </c>
      <c r="J372" s="49" t="s">
        <v>25</v>
      </c>
      <c r="K372" s="49" t="s">
        <v>324</v>
      </c>
      <c r="L372" s="49" t="s">
        <v>325</v>
      </c>
      <c r="P372" s="49" t="s">
        <v>28</v>
      </c>
    </row>
    <row r="373" spans="1:18" s="51" customFormat="1" ht="16" x14ac:dyDescent="0.2">
      <c r="A373" s="50">
        <v>312</v>
      </c>
      <c r="B373" s="50" t="s">
        <v>585</v>
      </c>
      <c r="C373" s="51">
        <v>500</v>
      </c>
      <c r="D373" s="51" t="s">
        <v>322</v>
      </c>
      <c r="E373" s="51" t="s">
        <v>110</v>
      </c>
      <c r="G373" s="51" t="s">
        <v>389</v>
      </c>
      <c r="H373" s="51" t="s">
        <v>23</v>
      </c>
      <c r="I373" s="7" t="s">
        <v>323</v>
      </c>
      <c r="J373" s="51" t="s">
        <v>25</v>
      </c>
      <c r="K373" s="51" t="s">
        <v>324</v>
      </c>
      <c r="L373" s="51" t="s">
        <v>325</v>
      </c>
      <c r="P373" s="51" t="s">
        <v>28</v>
      </c>
    </row>
    <row r="374" spans="1:18" s="51" customFormat="1" ht="16" x14ac:dyDescent="0.2">
      <c r="A374" s="50">
        <v>313</v>
      </c>
      <c r="B374" s="51" t="s">
        <v>586</v>
      </c>
      <c r="C374" s="51">
        <v>500</v>
      </c>
      <c r="D374" s="51" t="s">
        <v>322</v>
      </c>
      <c r="E374" s="51" t="s">
        <v>162</v>
      </c>
      <c r="F374" s="51" t="s">
        <v>5</v>
      </c>
      <c r="G374" s="51" t="s">
        <v>316</v>
      </c>
      <c r="H374" s="51" t="s">
        <v>23</v>
      </c>
      <c r="I374" s="7" t="s">
        <v>574</v>
      </c>
      <c r="L374" s="51" t="s">
        <v>337</v>
      </c>
      <c r="P374" s="51" t="s">
        <v>37</v>
      </c>
    </row>
    <row r="375" spans="1:18" ht="16" x14ac:dyDescent="0.2">
      <c r="A375" s="52">
        <v>314</v>
      </c>
      <c r="B375" s="7" t="s">
        <v>587</v>
      </c>
      <c r="C375" s="7">
        <v>500</v>
      </c>
      <c r="D375" s="7" t="s">
        <v>322</v>
      </c>
      <c r="E375" s="7" t="s">
        <v>162</v>
      </c>
      <c r="G375" s="7" t="s">
        <v>163</v>
      </c>
      <c r="H375" s="7" t="s">
        <v>23</v>
      </c>
      <c r="I375" s="7" t="s">
        <v>574</v>
      </c>
      <c r="L375" s="7" t="s">
        <v>337</v>
      </c>
      <c r="P375" s="7" t="s">
        <v>37</v>
      </c>
    </row>
    <row r="376" spans="1:18" ht="16" x14ac:dyDescent="0.2">
      <c r="A376" s="52">
        <v>315</v>
      </c>
      <c r="B376" s="7" t="s">
        <v>588</v>
      </c>
      <c r="C376" s="7">
        <v>500</v>
      </c>
      <c r="D376" s="7" t="s">
        <v>322</v>
      </c>
      <c r="E376" s="7" t="s">
        <v>162</v>
      </c>
      <c r="G376" s="7" t="s">
        <v>163</v>
      </c>
      <c r="H376" s="7" t="s">
        <v>23</v>
      </c>
      <c r="I376" s="7" t="s">
        <v>574</v>
      </c>
      <c r="L376" s="7" t="s">
        <v>337</v>
      </c>
      <c r="P376" s="7" t="s">
        <v>37</v>
      </c>
    </row>
    <row r="377" spans="1:18" s="54" customFormat="1" ht="16" x14ac:dyDescent="0.2">
      <c r="A377" s="53">
        <v>316</v>
      </c>
      <c r="B377" s="54" t="s">
        <v>589</v>
      </c>
      <c r="C377" s="54">
        <v>500</v>
      </c>
      <c r="D377" s="54" t="s">
        <v>322</v>
      </c>
      <c r="E377" s="54" t="s">
        <v>162</v>
      </c>
      <c r="F377" s="54" t="s">
        <v>5</v>
      </c>
      <c r="G377" s="54" t="s">
        <v>211</v>
      </c>
      <c r="H377" s="54" t="s">
        <v>23</v>
      </c>
      <c r="I377" s="146" t="s">
        <v>574</v>
      </c>
      <c r="J377" s="148"/>
      <c r="K377" s="148"/>
      <c r="L377" s="148" t="s">
        <v>337</v>
      </c>
      <c r="M377" s="148"/>
      <c r="N377" s="148"/>
      <c r="O377" s="148"/>
      <c r="P377" s="148"/>
    </row>
    <row r="378" spans="1:18" ht="16" x14ac:dyDescent="0.2">
      <c r="A378" s="52">
        <v>317</v>
      </c>
      <c r="B378" s="7" t="s">
        <v>590</v>
      </c>
      <c r="C378" s="7">
        <v>500</v>
      </c>
      <c r="D378" s="7" t="s">
        <v>322</v>
      </c>
      <c r="E378" s="7" t="s">
        <v>162</v>
      </c>
      <c r="G378" s="7" t="s">
        <v>318</v>
      </c>
      <c r="H378" s="7" t="s">
        <v>23</v>
      </c>
      <c r="I378" s="7" t="s">
        <v>574</v>
      </c>
      <c r="L378" s="7" t="s">
        <v>337</v>
      </c>
      <c r="P378" s="7" t="s">
        <v>37</v>
      </c>
    </row>
    <row r="379" spans="1:18" ht="16" x14ac:dyDescent="0.2">
      <c r="A379" s="52">
        <v>318</v>
      </c>
      <c r="B379" s="7" t="s">
        <v>591</v>
      </c>
      <c r="C379" s="7">
        <v>500</v>
      </c>
      <c r="D379" s="7" t="s">
        <v>322</v>
      </c>
      <c r="E379" s="7" t="s">
        <v>162</v>
      </c>
      <c r="G379" s="7" t="s">
        <v>318</v>
      </c>
      <c r="H379" s="7" t="s">
        <v>23</v>
      </c>
      <c r="I379" s="7" t="s">
        <v>574</v>
      </c>
      <c r="L379" s="7" t="s">
        <v>337</v>
      </c>
      <c r="P379" s="7" t="s">
        <v>37</v>
      </c>
    </row>
    <row r="380" spans="1:18" s="49" customFormat="1" ht="16" x14ac:dyDescent="0.2">
      <c r="A380" s="48">
        <v>319</v>
      </c>
      <c r="B380" s="49" t="s">
        <v>592</v>
      </c>
      <c r="C380" s="49">
        <v>500</v>
      </c>
      <c r="D380" s="49" t="s">
        <v>322</v>
      </c>
      <c r="E380" s="49" t="s">
        <v>110</v>
      </c>
      <c r="G380" s="49" t="s">
        <v>111</v>
      </c>
      <c r="H380" s="49" t="s">
        <v>23</v>
      </c>
      <c r="I380" s="146" t="s">
        <v>323</v>
      </c>
      <c r="J380" s="146" t="s">
        <v>25</v>
      </c>
      <c r="K380" s="146" t="s">
        <v>324</v>
      </c>
      <c r="L380" s="146" t="s">
        <v>325</v>
      </c>
      <c r="M380" s="146"/>
      <c r="N380" s="146"/>
      <c r="O380" s="146"/>
      <c r="P380" s="146" t="s">
        <v>28</v>
      </c>
    </row>
    <row r="381" spans="1:18" s="51" customFormat="1" ht="16" x14ac:dyDescent="0.2">
      <c r="A381" s="50">
        <v>320</v>
      </c>
      <c r="B381" s="51" t="s">
        <v>593</v>
      </c>
      <c r="C381" s="51">
        <v>500</v>
      </c>
      <c r="D381" s="51" t="s">
        <v>322</v>
      </c>
      <c r="E381" s="51" t="s">
        <v>110</v>
      </c>
      <c r="G381" s="51" t="s">
        <v>111</v>
      </c>
      <c r="H381" s="51" t="s">
        <v>23</v>
      </c>
      <c r="I381" s="146" t="s">
        <v>323</v>
      </c>
      <c r="J381" s="146" t="s">
        <v>25</v>
      </c>
      <c r="K381" s="146" t="s">
        <v>324</v>
      </c>
      <c r="L381" s="146" t="s">
        <v>325</v>
      </c>
      <c r="M381" s="146"/>
      <c r="N381" s="146"/>
      <c r="O381" s="146"/>
      <c r="P381" s="146" t="s">
        <v>28</v>
      </c>
    </row>
    <row r="382" spans="1:18" ht="16" x14ac:dyDescent="0.2">
      <c r="A382" s="52">
        <v>321</v>
      </c>
      <c r="B382" s="7" t="s">
        <v>594</v>
      </c>
      <c r="C382" s="7">
        <v>500</v>
      </c>
      <c r="D382" s="7" t="s">
        <v>322</v>
      </c>
      <c r="E382" s="7" t="s">
        <v>110</v>
      </c>
      <c r="G382" s="7" t="s">
        <v>251</v>
      </c>
      <c r="H382" s="7" t="s">
        <v>23</v>
      </c>
      <c r="I382" s="7" t="s">
        <v>595</v>
      </c>
      <c r="P382" s="7" t="s">
        <v>37</v>
      </c>
    </row>
    <row r="383" spans="1:18" ht="16" x14ac:dyDescent="0.2">
      <c r="A383" s="52">
        <v>322</v>
      </c>
      <c r="B383" s="7" t="s">
        <v>596</v>
      </c>
      <c r="C383" s="7">
        <v>500</v>
      </c>
      <c r="D383" s="7" t="s">
        <v>322</v>
      </c>
      <c r="E383" s="7" t="s">
        <v>110</v>
      </c>
      <c r="G383" s="7" t="s">
        <v>251</v>
      </c>
      <c r="H383" s="7" t="s">
        <v>23</v>
      </c>
      <c r="I383" s="7" t="s">
        <v>323</v>
      </c>
      <c r="J383" s="7" t="s">
        <v>25</v>
      </c>
      <c r="K383" s="7" t="s">
        <v>324</v>
      </c>
      <c r="L383" s="7" t="s">
        <v>325</v>
      </c>
      <c r="P383" s="7" t="s">
        <v>28</v>
      </c>
    </row>
    <row r="384" spans="1:18" s="49" customFormat="1" ht="16" x14ac:dyDescent="0.2">
      <c r="A384" s="48">
        <v>200</v>
      </c>
      <c r="B384" s="49" t="s">
        <v>597</v>
      </c>
      <c r="C384" s="49">
        <v>12</v>
      </c>
      <c r="D384" s="49" t="s">
        <v>21</v>
      </c>
      <c r="E384" s="49" t="s">
        <v>296</v>
      </c>
      <c r="G384" s="49" t="s">
        <v>297</v>
      </c>
      <c r="H384" s="49" t="s">
        <v>23</v>
      </c>
      <c r="I384" s="160" t="s">
        <v>598</v>
      </c>
      <c r="R384" s="49" t="s">
        <v>37</v>
      </c>
    </row>
    <row r="385" spans="1:18" ht="16" x14ac:dyDescent="0.2">
      <c r="A385" s="52">
        <v>201</v>
      </c>
      <c r="B385" s="7" t="s">
        <v>599</v>
      </c>
      <c r="C385" s="7">
        <v>12</v>
      </c>
      <c r="D385" s="7" t="s">
        <v>600</v>
      </c>
      <c r="E385" s="7" t="s">
        <v>296</v>
      </c>
      <c r="G385" s="7" t="s">
        <v>306</v>
      </c>
      <c r="H385" s="7" t="s">
        <v>23</v>
      </c>
      <c r="I385" s="7" t="s">
        <v>24</v>
      </c>
      <c r="J385" s="7" t="s">
        <v>25</v>
      </c>
      <c r="K385" s="146"/>
      <c r="M385" s="7" t="s">
        <v>28</v>
      </c>
      <c r="N385" s="7" t="s">
        <v>28</v>
      </c>
      <c r="R385" s="7" t="s">
        <v>37</v>
      </c>
    </row>
    <row r="386" spans="1:18" ht="16" x14ac:dyDescent="0.2">
      <c r="A386" s="52">
        <v>202</v>
      </c>
      <c r="B386" s="7" t="s">
        <v>601</v>
      </c>
      <c r="C386" s="7">
        <v>12</v>
      </c>
      <c r="D386" s="7" t="s">
        <v>600</v>
      </c>
      <c r="E386" s="7" t="s">
        <v>296</v>
      </c>
      <c r="G386" s="7" t="s">
        <v>297</v>
      </c>
      <c r="H386" s="7" t="s">
        <v>23</v>
      </c>
      <c r="I386" s="160" t="s">
        <v>598</v>
      </c>
      <c r="K386" s="146"/>
      <c r="R386" s="7" t="s">
        <v>33</v>
      </c>
    </row>
    <row r="387" spans="1:18" ht="16" x14ac:dyDescent="0.2">
      <c r="A387" s="52">
        <v>203</v>
      </c>
      <c r="B387" s="7" t="s">
        <v>602</v>
      </c>
      <c r="C387" s="7">
        <v>12</v>
      </c>
      <c r="D387" s="7" t="s">
        <v>600</v>
      </c>
      <c r="E387" s="7" t="s">
        <v>296</v>
      </c>
      <c r="G387" s="7" t="s">
        <v>297</v>
      </c>
      <c r="H387" s="7" t="s">
        <v>23</v>
      </c>
      <c r="I387" s="160" t="s">
        <v>58</v>
      </c>
      <c r="K387" s="146" t="s">
        <v>259</v>
      </c>
      <c r="R387" s="7" t="s">
        <v>37</v>
      </c>
    </row>
    <row r="388" spans="1:18" ht="16" x14ac:dyDescent="0.2">
      <c r="A388" s="52">
        <v>204</v>
      </c>
      <c r="B388" s="7" t="s">
        <v>603</v>
      </c>
      <c r="C388" s="7">
        <v>12</v>
      </c>
      <c r="D388" s="7" t="s">
        <v>600</v>
      </c>
      <c r="E388" s="7" t="s">
        <v>296</v>
      </c>
      <c r="G388" s="7" t="s">
        <v>306</v>
      </c>
      <c r="H388" s="7" t="s">
        <v>23</v>
      </c>
      <c r="I388" s="160" t="s">
        <v>58</v>
      </c>
      <c r="K388" s="146" t="s">
        <v>259</v>
      </c>
      <c r="R388" s="7" t="s">
        <v>37</v>
      </c>
    </row>
    <row r="389" spans="1:18" ht="16" x14ac:dyDescent="0.2">
      <c r="A389" s="52">
        <v>205</v>
      </c>
      <c r="B389" s="7" t="s">
        <v>603</v>
      </c>
      <c r="C389" s="7">
        <v>12</v>
      </c>
      <c r="D389" s="7" t="s">
        <v>600</v>
      </c>
      <c r="E389" s="7" t="s">
        <v>296</v>
      </c>
      <c r="G389" s="7" t="s">
        <v>306</v>
      </c>
      <c r="H389" s="7" t="s">
        <v>23</v>
      </c>
      <c r="I389" s="160" t="s">
        <v>58</v>
      </c>
      <c r="J389" s="7" t="s">
        <v>48</v>
      </c>
      <c r="K389" s="146" t="s">
        <v>259</v>
      </c>
      <c r="R389" s="7" t="s">
        <v>37</v>
      </c>
    </row>
    <row r="390" spans="1:18" s="49" customFormat="1" ht="16" x14ac:dyDescent="0.2">
      <c r="A390" s="48">
        <v>210</v>
      </c>
      <c r="B390" s="49" t="s">
        <v>604</v>
      </c>
      <c r="C390" s="49">
        <v>60</v>
      </c>
      <c r="D390" s="49" t="s">
        <v>21</v>
      </c>
      <c r="E390" s="49" t="s">
        <v>110</v>
      </c>
      <c r="F390" s="49" t="s">
        <v>5</v>
      </c>
      <c r="G390" s="49" t="s">
        <v>446</v>
      </c>
      <c r="H390" s="49" t="s">
        <v>23</v>
      </c>
      <c r="I390" s="7" t="s">
        <v>605</v>
      </c>
      <c r="M390" s="49" t="s">
        <v>28</v>
      </c>
      <c r="N390" s="49" t="s">
        <v>37</v>
      </c>
    </row>
    <row r="391" spans="1:18" ht="16" x14ac:dyDescent="0.2">
      <c r="A391" s="52">
        <v>211</v>
      </c>
      <c r="B391" s="202" t="s">
        <v>604</v>
      </c>
      <c r="C391" s="7">
        <v>60</v>
      </c>
      <c r="D391" s="7" t="s">
        <v>21</v>
      </c>
      <c r="E391" s="7" t="s">
        <v>110</v>
      </c>
      <c r="F391" s="7" t="s">
        <v>5</v>
      </c>
      <c r="G391" s="7" t="s">
        <v>446</v>
      </c>
      <c r="H391" s="7" t="s">
        <v>23</v>
      </c>
      <c r="I391" s="160" t="s">
        <v>254</v>
      </c>
      <c r="J391" s="7" t="s">
        <v>48</v>
      </c>
      <c r="O391" s="7" t="s">
        <v>37</v>
      </c>
    </row>
    <row r="392" spans="1:18" s="49" customFormat="1" ht="16" x14ac:dyDescent="0.2">
      <c r="A392" s="48">
        <v>212</v>
      </c>
      <c r="B392" s="49" t="s">
        <v>606</v>
      </c>
      <c r="C392" s="49">
        <v>60</v>
      </c>
      <c r="D392" s="49" t="s">
        <v>21</v>
      </c>
      <c r="E392" s="49" t="s">
        <v>110</v>
      </c>
      <c r="F392" s="49" t="s">
        <v>5</v>
      </c>
      <c r="G392" s="49" t="s">
        <v>446</v>
      </c>
      <c r="H392" s="49" t="s">
        <v>23</v>
      </c>
      <c r="I392" s="7" t="s">
        <v>605</v>
      </c>
      <c r="M392" s="49" t="s">
        <v>28</v>
      </c>
      <c r="N392" s="49" t="s">
        <v>28</v>
      </c>
    </row>
    <row r="393" spans="1:18" ht="16" x14ac:dyDescent="0.2">
      <c r="A393" s="52">
        <v>213</v>
      </c>
      <c r="B393" s="7" t="s">
        <v>606</v>
      </c>
      <c r="C393" s="7">
        <v>60</v>
      </c>
      <c r="D393" s="7" t="s">
        <v>21</v>
      </c>
      <c r="E393" s="7" t="s">
        <v>110</v>
      </c>
      <c r="F393" s="7" t="s">
        <v>5</v>
      </c>
      <c r="G393" s="7" t="s">
        <v>446</v>
      </c>
      <c r="H393" s="7" t="s">
        <v>23</v>
      </c>
      <c r="I393" s="160" t="s">
        <v>254</v>
      </c>
      <c r="J393" s="7" t="s">
        <v>48</v>
      </c>
      <c r="O393" s="7" t="s">
        <v>37</v>
      </c>
    </row>
    <row r="394" spans="1:18" s="49" customFormat="1" ht="16" x14ac:dyDescent="0.2">
      <c r="A394" s="48">
        <v>214</v>
      </c>
      <c r="B394" s="49" t="s">
        <v>607</v>
      </c>
      <c r="C394" s="49">
        <v>60</v>
      </c>
      <c r="D394" s="49" t="s">
        <v>21</v>
      </c>
      <c r="E394" s="49" t="s">
        <v>110</v>
      </c>
      <c r="F394" s="49" t="s">
        <v>5</v>
      </c>
      <c r="G394" s="49" t="s">
        <v>446</v>
      </c>
      <c r="H394" s="49" t="s">
        <v>23</v>
      </c>
      <c r="I394" s="7" t="s">
        <v>605</v>
      </c>
      <c r="N394" s="49" t="s">
        <v>28</v>
      </c>
    </row>
    <row r="395" spans="1:18" ht="16" x14ac:dyDescent="0.2">
      <c r="A395" s="52">
        <v>215</v>
      </c>
      <c r="B395" s="7" t="s">
        <v>607</v>
      </c>
      <c r="C395" s="7">
        <v>60</v>
      </c>
      <c r="D395" s="7" t="s">
        <v>21</v>
      </c>
      <c r="E395" s="7" t="s">
        <v>110</v>
      </c>
      <c r="F395" s="7" t="s">
        <v>5</v>
      </c>
      <c r="G395" s="7" t="s">
        <v>446</v>
      </c>
      <c r="H395" s="7" t="s">
        <v>23</v>
      </c>
      <c r="I395" s="160" t="s">
        <v>254</v>
      </c>
      <c r="J395" s="7" t="s">
        <v>48</v>
      </c>
      <c r="M395" s="7" t="s">
        <v>28</v>
      </c>
      <c r="O395" s="7" t="s">
        <v>37</v>
      </c>
    </row>
    <row r="396" spans="1:18" s="49" customFormat="1" ht="16" x14ac:dyDescent="0.2">
      <c r="A396" s="48">
        <v>216</v>
      </c>
      <c r="B396" s="49" t="s">
        <v>608</v>
      </c>
      <c r="C396" s="49">
        <v>60</v>
      </c>
      <c r="D396" s="49" t="s">
        <v>21</v>
      </c>
      <c r="E396" s="49" t="s">
        <v>110</v>
      </c>
      <c r="G396" s="49" t="s">
        <v>560</v>
      </c>
      <c r="H396" s="49" t="s">
        <v>23</v>
      </c>
      <c r="I396" s="160" t="s">
        <v>58</v>
      </c>
      <c r="J396" s="49" t="s">
        <v>48</v>
      </c>
      <c r="K396" s="49" t="s">
        <v>259</v>
      </c>
      <c r="M396" s="49" t="s">
        <v>37</v>
      </c>
      <c r="N396" s="49" t="s">
        <v>37</v>
      </c>
    </row>
    <row r="397" spans="1:18" ht="16" x14ac:dyDescent="0.2">
      <c r="A397" s="52">
        <v>217</v>
      </c>
      <c r="B397" s="7" t="s">
        <v>608</v>
      </c>
      <c r="C397" s="7">
        <v>60</v>
      </c>
      <c r="D397" s="7" t="s">
        <v>21</v>
      </c>
      <c r="E397" s="7" t="s">
        <v>110</v>
      </c>
      <c r="G397" s="7" t="s">
        <v>560</v>
      </c>
      <c r="H397" s="7" t="s">
        <v>23</v>
      </c>
      <c r="I397" s="160" t="s">
        <v>58</v>
      </c>
      <c r="J397" s="7" t="s">
        <v>48</v>
      </c>
      <c r="K397" s="7" t="s">
        <v>259</v>
      </c>
      <c r="O397" s="7" t="s">
        <v>37</v>
      </c>
    </row>
    <row r="398" spans="1:18" s="49" customFormat="1" ht="16" x14ac:dyDescent="0.2">
      <c r="A398" s="48">
        <v>218</v>
      </c>
      <c r="B398" s="49" t="s">
        <v>609</v>
      </c>
      <c r="C398" s="49">
        <v>60</v>
      </c>
      <c r="D398" s="49" t="s">
        <v>21</v>
      </c>
      <c r="E398" s="49" t="s">
        <v>110</v>
      </c>
      <c r="G398" s="49" t="s">
        <v>560</v>
      </c>
      <c r="H398" s="49" t="s">
        <v>23</v>
      </c>
      <c r="I398" s="160" t="s">
        <v>58</v>
      </c>
      <c r="J398" s="49" t="s">
        <v>48</v>
      </c>
      <c r="K398" s="49" t="s">
        <v>259</v>
      </c>
      <c r="M398" s="49" t="s">
        <v>37</v>
      </c>
      <c r="N398" s="49" t="s">
        <v>37</v>
      </c>
    </row>
    <row r="399" spans="1:18" ht="16" x14ac:dyDescent="0.2">
      <c r="A399" s="52">
        <v>219</v>
      </c>
      <c r="B399" s="7" t="s">
        <v>609</v>
      </c>
      <c r="C399" s="7">
        <v>60</v>
      </c>
      <c r="D399" s="7" t="s">
        <v>21</v>
      </c>
      <c r="E399" s="7" t="s">
        <v>110</v>
      </c>
      <c r="G399" s="7" t="s">
        <v>560</v>
      </c>
      <c r="H399" s="7" t="s">
        <v>23</v>
      </c>
      <c r="I399" s="160" t="s">
        <v>58</v>
      </c>
      <c r="J399" s="7" t="s">
        <v>48</v>
      </c>
      <c r="K399" s="7" t="s">
        <v>259</v>
      </c>
      <c r="O399" s="7" t="s">
        <v>37</v>
      </c>
    </row>
    <row r="400" spans="1:18" s="49" customFormat="1" ht="16" x14ac:dyDescent="0.2">
      <c r="A400" s="48">
        <v>220</v>
      </c>
      <c r="B400" s="49" t="s">
        <v>610</v>
      </c>
      <c r="C400" s="49">
        <v>60</v>
      </c>
      <c r="D400" s="49" t="s">
        <v>21</v>
      </c>
      <c r="E400" s="49" t="s">
        <v>110</v>
      </c>
      <c r="G400" s="49" t="s">
        <v>560</v>
      </c>
      <c r="H400" s="49" t="s">
        <v>23</v>
      </c>
      <c r="I400" s="7" t="s">
        <v>58</v>
      </c>
      <c r="J400" s="49" t="s">
        <v>48</v>
      </c>
      <c r="K400" s="49" t="s">
        <v>259</v>
      </c>
      <c r="L400" s="49" t="s">
        <v>611</v>
      </c>
      <c r="M400" s="49" t="s">
        <v>37</v>
      </c>
      <c r="N400" s="49" t="s">
        <v>28</v>
      </c>
    </row>
    <row r="401" spans="1:15" ht="16" x14ac:dyDescent="0.2">
      <c r="A401" s="52">
        <v>221</v>
      </c>
      <c r="B401" s="7" t="s">
        <v>610</v>
      </c>
      <c r="C401" s="7">
        <v>60</v>
      </c>
      <c r="D401" s="7" t="s">
        <v>21</v>
      </c>
      <c r="E401" s="7" t="s">
        <v>110</v>
      </c>
      <c r="G401" s="7" t="s">
        <v>560</v>
      </c>
      <c r="H401" s="7" t="s">
        <v>23</v>
      </c>
      <c r="I401" s="159" t="s">
        <v>58</v>
      </c>
      <c r="K401" s="7" t="s">
        <v>259</v>
      </c>
      <c r="O401" s="7" t="s">
        <v>37</v>
      </c>
    </row>
    <row r="402" spans="1:15" s="49" customFormat="1" ht="16" x14ac:dyDescent="0.2">
      <c r="A402" s="48">
        <v>222</v>
      </c>
      <c r="B402" s="49" t="s">
        <v>612</v>
      </c>
      <c r="C402" s="49">
        <v>60</v>
      </c>
      <c r="D402" s="49" t="s">
        <v>21</v>
      </c>
      <c r="E402" s="49" t="s">
        <v>110</v>
      </c>
      <c r="G402" s="49" t="s">
        <v>560</v>
      </c>
      <c r="H402" s="49" t="s">
        <v>23</v>
      </c>
      <c r="I402" s="159" t="s">
        <v>58</v>
      </c>
      <c r="K402" s="49" t="s">
        <v>259</v>
      </c>
      <c r="M402" s="49" t="s">
        <v>37</v>
      </c>
      <c r="N402" s="49" t="s">
        <v>37</v>
      </c>
    </row>
    <row r="403" spans="1:15" ht="16" x14ac:dyDescent="0.2">
      <c r="A403" s="52">
        <v>223</v>
      </c>
      <c r="B403" s="7" t="s">
        <v>612</v>
      </c>
      <c r="C403" s="7">
        <v>60</v>
      </c>
      <c r="D403" s="7" t="s">
        <v>21</v>
      </c>
      <c r="E403" s="7" t="s">
        <v>110</v>
      </c>
      <c r="G403" s="7" t="s">
        <v>560</v>
      </c>
      <c r="H403" s="7" t="s">
        <v>23</v>
      </c>
      <c r="I403" s="160" t="s">
        <v>58</v>
      </c>
      <c r="J403" s="7" t="s">
        <v>48</v>
      </c>
      <c r="K403" s="7" t="s">
        <v>259</v>
      </c>
      <c r="O403" s="7" t="s">
        <v>37</v>
      </c>
    </row>
    <row r="404" spans="1:15" s="49" customFormat="1" ht="16" x14ac:dyDescent="0.2">
      <c r="A404" s="48">
        <v>224</v>
      </c>
      <c r="B404" s="49" t="s">
        <v>613</v>
      </c>
      <c r="C404" s="49">
        <v>60</v>
      </c>
      <c r="D404" s="49" t="s">
        <v>21</v>
      </c>
      <c r="E404" s="49" t="s">
        <v>110</v>
      </c>
      <c r="G404" s="49" t="s">
        <v>560</v>
      </c>
      <c r="H404" s="49" t="s">
        <v>23</v>
      </c>
      <c r="I404" s="159" t="s">
        <v>58</v>
      </c>
      <c r="K404" s="49" t="s">
        <v>259</v>
      </c>
      <c r="M404" s="49" t="s">
        <v>37</v>
      </c>
      <c r="N404" s="49" t="s">
        <v>37</v>
      </c>
    </row>
    <row r="405" spans="1:15" ht="16" x14ac:dyDescent="0.2">
      <c r="A405" s="52">
        <v>225</v>
      </c>
      <c r="B405" s="7" t="s">
        <v>613</v>
      </c>
      <c r="C405" s="7">
        <v>60</v>
      </c>
      <c r="D405" s="7" t="s">
        <v>21</v>
      </c>
      <c r="E405" s="7" t="s">
        <v>110</v>
      </c>
      <c r="G405" s="7" t="s">
        <v>560</v>
      </c>
      <c r="H405" s="7" t="s">
        <v>23</v>
      </c>
      <c r="I405" s="160" t="s">
        <v>254</v>
      </c>
      <c r="J405" s="7" t="s">
        <v>48</v>
      </c>
      <c r="O405" s="7" t="s">
        <v>37</v>
      </c>
    </row>
    <row r="406" spans="1:15" ht="16" x14ac:dyDescent="0.2">
      <c r="A406" s="52">
        <v>226</v>
      </c>
      <c r="B406" s="7" t="s">
        <v>613</v>
      </c>
      <c r="C406" s="7">
        <v>60</v>
      </c>
      <c r="D406" s="7" t="s">
        <v>21</v>
      </c>
      <c r="E406" s="7" t="s">
        <v>110</v>
      </c>
      <c r="G406" s="7" t="s">
        <v>560</v>
      </c>
      <c r="H406" s="7" t="s">
        <v>23</v>
      </c>
      <c r="I406" s="159" t="s">
        <v>58</v>
      </c>
      <c r="K406" s="7" t="s">
        <v>259</v>
      </c>
    </row>
    <row r="407" spans="1:15" s="49" customFormat="1" ht="16" x14ac:dyDescent="0.2">
      <c r="A407" s="48">
        <v>227</v>
      </c>
      <c r="B407" s="49" t="s">
        <v>614</v>
      </c>
      <c r="C407" s="49">
        <v>60</v>
      </c>
      <c r="D407" s="49" t="s">
        <v>21</v>
      </c>
      <c r="E407" s="49" t="s">
        <v>110</v>
      </c>
      <c r="G407" s="49" t="s">
        <v>111</v>
      </c>
      <c r="H407" s="49" t="s">
        <v>23</v>
      </c>
      <c r="I407" s="159" t="s">
        <v>58</v>
      </c>
      <c r="K407" s="49" t="s">
        <v>259</v>
      </c>
      <c r="L407" s="49" t="s">
        <v>615</v>
      </c>
      <c r="M407" s="49" t="s">
        <v>37</v>
      </c>
      <c r="N407" s="49" t="s">
        <v>37</v>
      </c>
    </row>
    <row r="408" spans="1:15" ht="16" x14ac:dyDescent="0.2">
      <c r="A408" s="52">
        <v>228</v>
      </c>
      <c r="B408" s="7" t="s">
        <v>614</v>
      </c>
      <c r="C408" s="7">
        <v>60</v>
      </c>
      <c r="D408" s="7" t="s">
        <v>21</v>
      </c>
      <c r="E408" s="7" t="s">
        <v>110</v>
      </c>
      <c r="G408" s="7" t="s">
        <v>111</v>
      </c>
      <c r="H408" s="7" t="s">
        <v>23</v>
      </c>
      <c r="I408" s="160" t="s">
        <v>58</v>
      </c>
      <c r="J408" s="7" t="s">
        <v>48</v>
      </c>
      <c r="K408" s="7" t="s">
        <v>259</v>
      </c>
      <c r="O408" s="7" t="s">
        <v>37</v>
      </c>
    </row>
    <row r="409" spans="1:15" ht="16" x14ac:dyDescent="0.2">
      <c r="A409" s="52">
        <v>229</v>
      </c>
      <c r="B409" s="7" t="s">
        <v>614</v>
      </c>
      <c r="C409" s="7">
        <v>60</v>
      </c>
      <c r="D409" s="7" t="s">
        <v>21</v>
      </c>
      <c r="E409" s="7" t="s">
        <v>110</v>
      </c>
      <c r="G409" s="7" t="s">
        <v>111</v>
      </c>
      <c r="H409" s="7" t="s">
        <v>23</v>
      </c>
      <c r="I409" s="160" t="s">
        <v>58</v>
      </c>
      <c r="J409" s="7" t="s">
        <v>48</v>
      </c>
      <c r="K409" s="7" t="s">
        <v>259</v>
      </c>
    </row>
    <row r="410" spans="1:15" s="49" customFormat="1" ht="16" x14ac:dyDescent="0.2">
      <c r="A410" s="48">
        <v>230</v>
      </c>
      <c r="B410" s="49" t="s">
        <v>616</v>
      </c>
      <c r="C410" s="49">
        <v>60</v>
      </c>
      <c r="D410" s="49" t="s">
        <v>21</v>
      </c>
      <c r="E410" s="49" t="s">
        <v>110</v>
      </c>
      <c r="G410" s="49" t="s">
        <v>111</v>
      </c>
      <c r="H410" s="49" t="s">
        <v>23</v>
      </c>
      <c r="I410" s="7" t="s">
        <v>58</v>
      </c>
      <c r="K410" s="49" t="s">
        <v>259</v>
      </c>
      <c r="L410" s="49" t="s">
        <v>617</v>
      </c>
      <c r="M410" s="49" t="s">
        <v>28</v>
      </c>
      <c r="N410" s="49" t="s">
        <v>28</v>
      </c>
    </row>
    <row r="411" spans="1:15" ht="16" x14ac:dyDescent="0.2">
      <c r="A411" s="52">
        <v>231</v>
      </c>
      <c r="B411" s="7" t="s">
        <v>616</v>
      </c>
      <c r="C411" s="7">
        <v>60</v>
      </c>
      <c r="D411" s="7" t="s">
        <v>21</v>
      </c>
      <c r="E411" s="7" t="s">
        <v>110</v>
      </c>
      <c r="G411" s="7" t="s">
        <v>618</v>
      </c>
      <c r="H411" s="7" t="s">
        <v>23</v>
      </c>
      <c r="I411" s="159" t="s">
        <v>619</v>
      </c>
      <c r="O411" s="7" t="s">
        <v>37</v>
      </c>
    </row>
    <row r="412" spans="1:15" ht="16" x14ac:dyDescent="0.2">
      <c r="A412" s="52">
        <v>232</v>
      </c>
      <c r="B412" s="7" t="s">
        <v>616</v>
      </c>
      <c r="C412" s="7">
        <v>60</v>
      </c>
      <c r="D412" s="7" t="s">
        <v>21</v>
      </c>
      <c r="E412" s="7" t="s">
        <v>110</v>
      </c>
      <c r="G412" s="7" t="s">
        <v>111</v>
      </c>
      <c r="H412" s="7" t="s">
        <v>23</v>
      </c>
      <c r="I412" s="159" t="s">
        <v>619</v>
      </c>
    </row>
    <row r="413" spans="1:15" s="49" customFormat="1" ht="16" x14ac:dyDescent="0.2">
      <c r="A413" s="48">
        <v>233</v>
      </c>
      <c r="B413" s="49" t="s">
        <v>620</v>
      </c>
      <c r="C413" s="49">
        <v>60</v>
      </c>
      <c r="D413" s="49" t="s">
        <v>21</v>
      </c>
      <c r="E413" s="49" t="s">
        <v>110</v>
      </c>
      <c r="G413" s="49" t="s">
        <v>111</v>
      </c>
      <c r="H413" s="49" t="s">
        <v>23</v>
      </c>
      <c r="I413" s="7" t="s">
        <v>58</v>
      </c>
      <c r="K413" s="49" t="s">
        <v>259</v>
      </c>
      <c r="M413" s="49" t="s">
        <v>28</v>
      </c>
      <c r="N413" s="49" t="s">
        <v>37</v>
      </c>
    </row>
    <row r="414" spans="1:15" ht="16" x14ac:dyDescent="0.2">
      <c r="A414" s="52">
        <v>234</v>
      </c>
      <c r="B414" s="7" t="s">
        <v>620</v>
      </c>
      <c r="C414" s="7">
        <v>60</v>
      </c>
      <c r="D414" s="7" t="s">
        <v>21</v>
      </c>
      <c r="E414" s="7" t="s">
        <v>110</v>
      </c>
      <c r="G414" s="7" t="s">
        <v>111</v>
      </c>
      <c r="H414" s="7" t="s">
        <v>23</v>
      </c>
      <c r="I414" s="160" t="s">
        <v>254</v>
      </c>
      <c r="J414" s="7" t="s">
        <v>48</v>
      </c>
      <c r="O414" s="7" t="s">
        <v>37</v>
      </c>
    </row>
    <row r="415" spans="1:15" ht="16" x14ac:dyDescent="0.2">
      <c r="A415" s="52">
        <v>235</v>
      </c>
      <c r="B415" s="7" t="s">
        <v>620</v>
      </c>
      <c r="C415" s="7">
        <v>60</v>
      </c>
      <c r="D415" s="7" t="s">
        <v>21</v>
      </c>
      <c r="E415" s="7" t="s">
        <v>110</v>
      </c>
      <c r="G415" s="7" t="s">
        <v>111</v>
      </c>
      <c r="H415" s="7" t="s">
        <v>23</v>
      </c>
      <c r="I415" s="159" t="s">
        <v>619</v>
      </c>
    </row>
    <row r="416" spans="1:15" s="49" customFormat="1" ht="16" x14ac:dyDescent="0.2">
      <c r="A416" s="48">
        <v>236</v>
      </c>
      <c r="B416" s="49" t="s">
        <v>621</v>
      </c>
      <c r="C416" s="49">
        <v>60</v>
      </c>
      <c r="D416" s="49" t="s">
        <v>21</v>
      </c>
      <c r="E416" s="49" t="s">
        <v>110</v>
      </c>
      <c r="G416" s="49" t="s">
        <v>111</v>
      </c>
      <c r="H416" s="49" t="s">
        <v>23</v>
      </c>
      <c r="I416" s="160" t="s">
        <v>58</v>
      </c>
      <c r="J416" s="49" t="s">
        <v>48</v>
      </c>
      <c r="K416" s="49" t="s">
        <v>259</v>
      </c>
      <c r="M416" s="49" t="s">
        <v>37</v>
      </c>
      <c r="N416" s="49" t="s">
        <v>37</v>
      </c>
    </row>
    <row r="417" spans="1:15" ht="16" x14ac:dyDescent="0.2">
      <c r="A417" s="52">
        <v>237</v>
      </c>
      <c r="B417" s="7" t="s">
        <v>621</v>
      </c>
      <c r="C417" s="7">
        <v>60</v>
      </c>
      <c r="D417" s="7" t="s">
        <v>21</v>
      </c>
      <c r="E417" s="7" t="s">
        <v>110</v>
      </c>
      <c r="G417" s="7" t="s">
        <v>111</v>
      </c>
      <c r="H417" s="7" t="s">
        <v>23</v>
      </c>
      <c r="I417" s="159" t="s">
        <v>619</v>
      </c>
      <c r="O417" s="7" t="s">
        <v>37</v>
      </c>
    </row>
    <row r="418" spans="1:15" ht="16" x14ac:dyDescent="0.2">
      <c r="A418" s="52">
        <v>238</v>
      </c>
      <c r="B418" s="7" t="s">
        <v>621</v>
      </c>
      <c r="C418" s="7">
        <v>60</v>
      </c>
      <c r="D418" s="7" t="s">
        <v>21</v>
      </c>
      <c r="E418" s="7" t="s">
        <v>110</v>
      </c>
      <c r="G418" s="7" t="s">
        <v>111</v>
      </c>
      <c r="H418" s="7" t="s">
        <v>23</v>
      </c>
      <c r="I418" s="159" t="s">
        <v>619</v>
      </c>
    </row>
    <row r="419" spans="1:15" s="49" customFormat="1" ht="16" x14ac:dyDescent="0.2">
      <c r="A419" s="48">
        <v>239</v>
      </c>
      <c r="B419" s="49" t="s">
        <v>622</v>
      </c>
      <c r="C419" s="49">
        <v>60</v>
      </c>
      <c r="D419" s="49" t="s">
        <v>21</v>
      </c>
      <c r="E419" s="49" t="s">
        <v>110</v>
      </c>
      <c r="F419" s="49" t="s">
        <v>5</v>
      </c>
      <c r="G419" s="49" t="s">
        <v>251</v>
      </c>
      <c r="H419" s="49" t="s">
        <v>23</v>
      </c>
      <c r="I419" s="160" t="s">
        <v>254</v>
      </c>
      <c r="J419" s="49" t="s">
        <v>48</v>
      </c>
      <c r="K419" s="49" t="s">
        <v>623</v>
      </c>
      <c r="L419" s="49" t="s">
        <v>624</v>
      </c>
      <c r="M419" s="49" t="s">
        <v>37</v>
      </c>
      <c r="N419" s="49" t="s">
        <v>37</v>
      </c>
    </row>
    <row r="420" spans="1:15" ht="16" x14ac:dyDescent="0.2">
      <c r="A420" s="52">
        <v>240</v>
      </c>
      <c r="B420" s="7" t="s">
        <v>622</v>
      </c>
      <c r="C420" s="7">
        <v>60</v>
      </c>
      <c r="D420" s="7" t="s">
        <v>21</v>
      </c>
      <c r="E420" s="7" t="s">
        <v>110</v>
      </c>
      <c r="F420" s="7" t="s">
        <v>5</v>
      </c>
      <c r="G420" s="7" t="s">
        <v>251</v>
      </c>
      <c r="H420" s="7" t="s">
        <v>23</v>
      </c>
      <c r="I420" s="159" t="s">
        <v>58</v>
      </c>
      <c r="K420" s="7" t="s">
        <v>259</v>
      </c>
      <c r="O420" s="7" t="s">
        <v>37</v>
      </c>
    </row>
    <row r="421" spans="1:15" s="49" customFormat="1" ht="16" x14ac:dyDescent="0.2">
      <c r="A421" s="48">
        <v>241</v>
      </c>
      <c r="B421" s="49" t="s">
        <v>625</v>
      </c>
      <c r="C421" s="49">
        <v>60</v>
      </c>
      <c r="D421" s="49" t="s">
        <v>21</v>
      </c>
      <c r="E421" s="49" t="s">
        <v>110</v>
      </c>
      <c r="G421" s="49" t="s">
        <v>251</v>
      </c>
      <c r="H421" s="49" t="s">
        <v>23</v>
      </c>
      <c r="I421" s="160" t="s">
        <v>58</v>
      </c>
      <c r="J421" s="49" t="s">
        <v>48</v>
      </c>
      <c r="K421" s="49" t="s">
        <v>259</v>
      </c>
    </row>
    <row r="422" spans="1:15" ht="16" x14ac:dyDescent="0.2">
      <c r="A422" s="52">
        <v>242</v>
      </c>
      <c r="B422" s="7" t="s">
        <v>625</v>
      </c>
      <c r="C422" s="7">
        <v>60</v>
      </c>
      <c r="D422" s="7" t="s">
        <v>21</v>
      </c>
      <c r="E422" s="7" t="s">
        <v>110</v>
      </c>
      <c r="G422" s="7" t="s">
        <v>251</v>
      </c>
      <c r="H422" s="7" t="s">
        <v>23</v>
      </c>
      <c r="I422" s="7" t="s">
        <v>605</v>
      </c>
      <c r="J422" s="7" t="s">
        <v>48</v>
      </c>
      <c r="M422" s="7" t="s">
        <v>28</v>
      </c>
      <c r="N422" s="7" t="s">
        <v>28</v>
      </c>
    </row>
    <row r="423" spans="1:15" ht="16" x14ac:dyDescent="0.2">
      <c r="A423" s="52">
        <v>243</v>
      </c>
      <c r="B423" s="7" t="s">
        <v>625</v>
      </c>
      <c r="C423" s="7">
        <v>60</v>
      </c>
      <c r="D423" s="7" t="s">
        <v>21</v>
      </c>
      <c r="E423" s="7" t="s">
        <v>110</v>
      </c>
      <c r="G423" s="7" t="s">
        <v>251</v>
      </c>
      <c r="H423" s="7" t="s">
        <v>23</v>
      </c>
      <c r="I423" s="159" t="s">
        <v>619</v>
      </c>
      <c r="O423" s="7" t="s">
        <v>37</v>
      </c>
    </row>
    <row r="424" spans="1:15" s="49" customFormat="1" ht="16" x14ac:dyDescent="0.2">
      <c r="A424" s="48">
        <v>244</v>
      </c>
      <c r="B424" s="49" t="s">
        <v>626</v>
      </c>
      <c r="C424" s="49">
        <v>60</v>
      </c>
      <c r="D424" s="49" t="s">
        <v>21</v>
      </c>
      <c r="E424" s="49" t="s">
        <v>110</v>
      </c>
      <c r="G424" s="49" t="s">
        <v>251</v>
      </c>
      <c r="H424" s="49" t="s">
        <v>23</v>
      </c>
      <c r="I424" s="7" t="s">
        <v>58</v>
      </c>
      <c r="K424" s="49" t="s">
        <v>259</v>
      </c>
      <c r="M424" s="49" t="s">
        <v>37</v>
      </c>
      <c r="N424" s="49" t="s">
        <v>37</v>
      </c>
    </row>
    <row r="425" spans="1:15" ht="16" x14ac:dyDescent="0.2">
      <c r="A425" s="52">
        <v>245</v>
      </c>
      <c r="B425" s="7" t="s">
        <v>626</v>
      </c>
      <c r="C425" s="7">
        <v>60</v>
      </c>
      <c r="D425" s="7" t="s">
        <v>21</v>
      </c>
      <c r="E425" s="7" t="s">
        <v>110</v>
      </c>
      <c r="G425" s="7" t="s">
        <v>251</v>
      </c>
      <c r="H425" s="7" t="s">
        <v>23</v>
      </c>
      <c r="I425" s="159" t="s">
        <v>58</v>
      </c>
      <c r="K425" s="7" t="s">
        <v>259</v>
      </c>
      <c r="O425" s="7" t="s">
        <v>37</v>
      </c>
    </row>
    <row r="426" spans="1:15" ht="16" x14ac:dyDescent="0.2">
      <c r="A426" s="52">
        <v>246</v>
      </c>
      <c r="B426" s="7" t="s">
        <v>626</v>
      </c>
      <c r="C426" s="7">
        <v>60</v>
      </c>
      <c r="D426" s="7" t="s">
        <v>21</v>
      </c>
      <c r="E426" s="7" t="s">
        <v>110</v>
      </c>
      <c r="G426" s="7" t="s">
        <v>251</v>
      </c>
      <c r="H426" s="7" t="s">
        <v>23</v>
      </c>
      <c r="I426" s="159" t="s">
        <v>619</v>
      </c>
    </row>
    <row r="427" spans="1:15" s="49" customFormat="1" ht="16" x14ac:dyDescent="0.2">
      <c r="A427" s="48">
        <v>247</v>
      </c>
      <c r="B427" s="49" t="s">
        <v>627</v>
      </c>
      <c r="C427" s="49">
        <v>60</v>
      </c>
      <c r="D427" s="49" t="s">
        <v>21</v>
      </c>
      <c r="E427" s="49" t="s">
        <v>162</v>
      </c>
      <c r="F427" s="49" t="s">
        <v>5</v>
      </c>
      <c r="G427" s="49" t="s">
        <v>316</v>
      </c>
      <c r="H427" s="49" t="s">
        <v>23</v>
      </c>
      <c r="I427" s="162" t="s">
        <v>317</v>
      </c>
      <c r="M427" s="49" t="s">
        <v>37</v>
      </c>
      <c r="N427" s="49" t="s">
        <v>37</v>
      </c>
    </row>
    <row r="428" spans="1:15" ht="16" x14ac:dyDescent="0.2">
      <c r="A428" s="52">
        <v>248</v>
      </c>
      <c r="B428" s="7" t="s">
        <v>627</v>
      </c>
      <c r="C428" s="7">
        <v>60</v>
      </c>
      <c r="D428" s="7" t="s">
        <v>21</v>
      </c>
      <c r="E428" s="7" t="s">
        <v>162</v>
      </c>
      <c r="F428" s="7" t="s">
        <v>5</v>
      </c>
      <c r="G428" s="7" t="s">
        <v>316</v>
      </c>
      <c r="H428" s="7" t="s">
        <v>23</v>
      </c>
      <c r="I428" s="162" t="s">
        <v>317</v>
      </c>
      <c r="O428" s="7" t="s">
        <v>37</v>
      </c>
    </row>
    <row r="429" spans="1:15" s="49" customFormat="1" ht="16" x14ac:dyDescent="0.2">
      <c r="A429" s="48">
        <v>249</v>
      </c>
      <c r="B429" s="49" t="s">
        <v>628</v>
      </c>
      <c r="C429" s="49">
        <v>60</v>
      </c>
      <c r="D429" s="49" t="s">
        <v>21</v>
      </c>
      <c r="E429" s="49" t="s">
        <v>162</v>
      </c>
      <c r="G429" s="49" t="s">
        <v>316</v>
      </c>
      <c r="H429" s="49" t="s">
        <v>23</v>
      </c>
      <c r="I429" s="162" t="s">
        <v>317</v>
      </c>
      <c r="M429" s="49" t="s">
        <v>37</v>
      </c>
      <c r="N429" s="49" t="s">
        <v>37</v>
      </c>
    </row>
    <row r="430" spans="1:15" ht="16" x14ac:dyDescent="0.2">
      <c r="A430" s="52">
        <v>250</v>
      </c>
      <c r="B430" s="7" t="s">
        <v>628</v>
      </c>
      <c r="C430" s="7">
        <v>60</v>
      </c>
      <c r="D430" s="7" t="s">
        <v>21</v>
      </c>
      <c r="E430" s="7" t="s">
        <v>162</v>
      </c>
      <c r="G430" s="7" t="s">
        <v>316</v>
      </c>
      <c r="H430" s="7" t="s">
        <v>23</v>
      </c>
      <c r="I430" s="162" t="s">
        <v>317</v>
      </c>
      <c r="O430" s="7" t="s">
        <v>37</v>
      </c>
    </row>
    <row r="431" spans="1:15" s="49" customFormat="1" ht="16" x14ac:dyDescent="0.2">
      <c r="A431" s="48">
        <v>251</v>
      </c>
      <c r="B431" s="49" t="s">
        <v>629</v>
      </c>
      <c r="C431" s="49">
        <v>60</v>
      </c>
      <c r="D431" s="49" t="s">
        <v>21</v>
      </c>
      <c r="E431" s="49" t="s">
        <v>162</v>
      </c>
      <c r="G431" s="49" t="s">
        <v>316</v>
      </c>
      <c r="H431" s="49" t="s">
        <v>23</v>
      </c>
      <c r="I431" s="162" t="s">
        <v>317</v>
      </c>
      <c r="M431" s="49" t="s">
        <v>37</v>
      </c>
      <c r="N431" s="49" t="s">
        <v>37</v>
      </c>
    </row>
    <row r="432" spans="1:15" ht="16" x14ac:dyDescent="0.2">
      <c r="A432" s="52">
        <v>252</v>
      </c>
      <c r="B432" s="7" t="s">
        <v>629</v>
      </c>
      <c r="C432" s="7">
        <v>60</v>
      </c>
      <c r="D432" s="7" t="s">
        <v>21</v>
      </c>
      <c r="E432" s="7" t="s">
        <v>162</v>
      </c>
      <c r="G432" s="7" t="s">
        <v>316</v>
      </c>
      <c r="H432" s="7" t="s">
        <v>23</v>
      </c>
      <c r="I432" s="162" t="s">
        <v>317</v>
      </c>
      <c r="O432" s="7" t="s">
        <v>37</v>
      </c>
    </row>
    <row r="433" spans="1:15" s="49" customFormat="1" ht="16" x14ac:dyDescent="0.2">
      <c r="A433" s="48">
        <v>253</v>
      </c>
      <c r="B433" s="49" t="s">
        <v>630</v>
      </c>
      <c r="C433" s="49">
        <v>60</v>
      </c>
      <c r="D433" s="49" t="s">
        <v>21</v>
      </c>
      <c r="E433" s="49" t="s">
        <v>162</v>
      </c>
      <c r="G433" s="49" t="s">
        <v>318</v>
      </c>
      <c r="H433" s="49" t="s">
        <v>23</v>
      </c>
      <c r="I433" s="162" t="s">
        <v>317</v>
      </c>
      <c r="M433" s="49" t="s">
        <v>37</v>
      </c>
      <c r="N433" s="49" t="s">
        <v>37</v>
      </c>
    </row>
    <row r="434" spans="1:15" ht="16" x14ac:dyDescent="0.2">
      <c r="A434" s="52">
        <v>254</v>
      </c>
      <c r="B434" s="7" t="s">
        <v>630</v>
      </c>
      <c r="C434" s="7">
        <v>60</v>
      </c>
      <c r="D434" s="7" t="s">
        <v>21</v>
      </c>
      <c r="E434" s="7" t="s">
        <v>162</v>
      </c>
      <c r="G434" s="7" t="s">
        <v>318</v>
      </c>
      <c r="H434" s="7" t="s">
        <v>23</v>
      </c>
      <c r="I434" s="162" t="s">
        <v>317</v>
      </c>
      <c r="O434" s="7" t="s">
        <v>37</v>
      </c>
    </row>
    <row r="435" spans="1:15" s="49" customFormat="1" ht="16" x14ac:dyDescent="0.2">
      <c r="A435" s="48">
        <v>255</v>
      </c>
      <c r="B435" s="49" t="s">
        <v>631</v>
      </c>
      <c r="C435" s="49">
        <v>60</v>
      </c>
      <c r="D435" s="49" t="s">
        <v>21</v>
      </c>
      <c r="E435" s="49" t="s">
        <v>632</v>
      </c>
      <c r="G435" s="49" t="s">
        <v>633</v>
      </c>
      <c r="H435" s="49" t="s">
        <v>23</v>
      </c>
      <c r="I435" s="163" t="s">
        <v>634</v>
      </c>
      <c r="L435" s="49" t="s">
        <v>635</v>
      </c>
    </row>
    <row r="436" spans="1:15" ht="16" x14ac:dyDescent="0.2">
      <c r="A436" s="52">
        <v>256</v>
      </c>
      <c r="B436" s="7" t="s">
        <v>631</v>
      </c>
      <c r="C436" s="7">
        <v>60</v>
      </c>
      <c r="D436" s="7" t="s">
        <v>21</v>
      </c>
      <c r="E436" s="7" t="s">
        <v>632</v>
      </c>
      <c r="G436" s="7" t="s">
        <v>633</v>
      </c>
      <c r="H436" s="7" t="s">
        <v>23</v>
      </c>
      <c r="I436" s="163" t="s">
        <v>634</v>
      </c>
      <c r="L436" s="7" t="s">
        <v>636</v>
      </c>
      <c r="M436" s="7" t="s">
        <v>37</v>
      </c>
      <c r="N436" s="7" t="s">
        <v>37</v>
      </c>
    </row>
    <row r="437" spans="1:15" ht="16" x14ac:dyDescent="0.2">
      <c r="A437" s="52">
        <v>257</v>
      </c>
      <c r="B437" s="7" t="s">
        <v>631</v>
      </c>
      <c r="C437" s="7">
        <v>60</v>
      </c>
      <c r="D437" s="7" t="s">
        <v>21</v>
      </c>
      <c r="E437" s="7" t="s">
        <v>632</v>
      </c>
      <c r="G437" s="7" t="s">
        <v>633</v>
      </c>
      <c r="H437" s="7" t="s">
        <v>23</v>
      </c>
      <c r="I437" s="163" t="s">
        <v>634</v>
      </c>
      <c r="L437" s="7" t="s">
        <v>637</v>
      </c>
      <c r="O437" s="7" t="s">
        <v>37</v>
      </c>
    </row>
    <row r="438" spans="1:15" s="49" customFormat="1" ht="16" x14ac:dyDescent="0.2">
      <c r="A438" s="48">
        <v>258</v>
      </c>
      <c r="B438" s="49" t="s">
        <v>631</v>
      </c>
      <c r="C438" s="49">
        <v>60</v>
      </c>
      <c r="D438" s="49" t="s">
        <v>21</v>
      </c>
      <c r="E438" s="49" t="s">
        <v>632</v>
      </c>
      <c r="G438" s="49" t="s">
        <v>633</v>
      </c>
      <c r="H438" s="49" t="s">
        <v>23</v>
      </c>
      <c r="I438" s="163" t="s">
        <v>634</v>
      </c>
      <c r="M438" s="49" t="s">
        <v>37</v>
      </c>
      <c r="N438" s="49" t="s">
        <v>37</v>
      </c>
    </row>
    <row r="439" spans="1:15" ht="16" x14ac:dyDescent="0.2">
      <c r="A439" s="52">
        <v>259</v>
      </c>
      <c r="B439" s="7" t="s">
        <v>631</v>
      </c>
      <c r="C439" s="7">
        <v>60</v>
      </c>
      <c r="D439" s="7" t="s">
        <v>21</v>
      </c>
      <c r="E439" s="7" t="s">
        <v>632</v>
      </c>
      <c r="G439" s="7" t="s">
        <v>633</v>
      </c>
      <c r="H439" s="7" t="s">
        <v>23</v>
      </c>
      <c r="I439" s="163" t="s">
        <v>634</v>
      </c>
      <c r="O439" s="7" t="s">
        <v>37</v>
      </c>
    </row>
    <row r="440" spans="1:15" ht="16" x14ac:dyDescent="0.2">
      <c r="A440" s="52">
        <v>260</v>
      </c>
      <c r="B440" s="223" t="s">
        <v>631</v>
      </c>
      <c r="C440" s="7">
        <v>60</v>
      </c>
      <c r="D440" s="7" t="s">
        <v>21</v>
      </c>
      <c r="E440" s="7" t="s">
        <v>632</v>
      </c>
      <c r="G440" s="7" t="s">
        <v>633</v>
      </c>
      <c r="H440" s="7" t="s">
        <v>23</v>
      </c>
      <c r="I440" s="163" t="s">
        <v>634</v>
      </c>
      <c r="L440" s="7" t="s">
        <v>638</v>
      </c>
    </row>
    <row r="441" spans="1:15" s="49" customFormat="1" ht="16" x14ac:dyDescent="0.2">
      <c r="A441" s="48">
        <v>261</v>
      </c>
      <c r="B441" s="49" t="s">
        <v>639</v>
      </c>
      <c r="C441" s="49">
        <v>60</v>
      </c>
      <c r="D441" s="49" t="s">
        <v>21</v>
      </c>
      <c r="E441" s="49" t="s">
        <v>632</v>
      </c>
      <c r="G441" s="49" t="s">
        <v>633</v>
      </c>
      <c r="H441" s="49" t="s">
        <v>23</v>
      </c>
      <c r="I441" s="7"/>
      <c r="J441" s="49" t="s">
        <v>48</v>
      </c>
      <c r="L441" s="49" t="s">
        <v>640</v>
      </c>
    </row>
    <row r="442" spans="1:15" ht="16" x14ac:dyDescent="0.2">
      <c r="A442" s="52">
        <v>262</v>
      </c>
      <c r="B442" s="7" t="s">
        <v>639</v>
      </c>
      <c r="C442" s="7">
        <v>60</v>
      </c>
      <c r="D442" s="7" t="s">
        <v>21</v>
      </c>
      <c r="E442" s="7" t="s">
        <v>632</v>
      </c>
      <c r="G442" s="7" t="s">
        <v>633</v>
      </c>
      <c r="H442" s="7" t="s">
        <v>23</v>
      </c>
      <c r="I442" s="163" t="s">
        <v>634</v>
      </c>
      <c r="L442" s="7" t="s">
        <v>636</v>
      </c>
      <c r="M442" s="7" t="s">
        <v>37</v>
      </c>
      <c r="N442" s="7" t="s">
        <v>37</v>
      </c>
    </row>
    <row r="443" spans="1:15" ht="16" x14ac:dyDescent="0.2">
      <c r="A443" s="52">
        <v>263</v>
      </c>
      <c r="B443" s="7" t="s">
        <v>639</v>
      </c>
      <c r="C443" s="7">
        <v>60</v>
      </c>
      <c r="D443" s="7" t="s">
        <v>21</v>
      </c>
      <c r="E443" s="7" t="s">
        <v>632</v>
      </c>
      <c r="G443" s="7" t="s">
        <v>633</v>
      </c>
      <c r="H443" s="7" t="s">
        <v>23</v>
      </c>
      <c r="I443" s="163" t="s">
        <v>634</v>
      </c>
      <c r="L443" s="7" t="s">
        <v>637</v>
      </c>
      <c r="O443" s="7" t="s">
        <v>37</v>
      </c>
    </row>
    <row r="444" spans="1:15" ht="16" x14ac:dyDescent="0.2">
      <c r="A444" s="52">
        <v>264</v>
      </c>
      <c r="B444" s="7" t="s">
        <v>639</v>
      </c>
      <c r="C444" s="7">
        <v>60</v>
      </c>
      <c r="D444" s="7" t="s">
        <v>21</v>
      </c>
      <c r="E444" s="7" t="s">
        <v>632</v>
      </c>
      <c r="G444" s="7" t="s">
        <v>633</v>
      </c>
      <c r="H444" s="7" t="s">
        <v>23</v>
      </c>
      <c r="I444" s="163" t="s">
        <v>634</v>
      </c>
      <c r="L444" s="7" t="s">
        <v>641</v>
      </c>
    </row>
    <row r="445" spans="1:15" s="49" customFormat="1" ht="16" x14ac:dyDescent="0.2">
      <c r="A445" s="48">
        <v>265</v>
      </c>
      <c r="B445" s="49" t="s">
        <v>639</v>
      </c>
      <c r="C445" s="49">
        <v>60</v>
      </c>
      <c r="D445" s="49" t="s">
        <v>21</v>
      </c>
      <c r="E445" s="49" t="s">
        <v>632</v>
      </c>
      <c r="G445" s="49" t="s">
        <v>633</v>
      </c>
      <c r="H445" s="49" t="s">
        <v>23</v>
      </c>
      <c r="I445" s="163" t="s">
        <v>634</v>
      </c>
    </row>
    <row r="446" spans="1:15" ht="16" x14ac:dyDescent="0.2">
      <c r="A446" s="52">
        <v>266</v>
      </c>
      <c r="B446" s="7" t="s">
        <v>639</v>
      </c>
      <c r="C446" s="7">
        <v>60</v>
      </c>
      <c r="D446" s="7" t="s">
        <v>21</v>
      </c>
      <c r="E446" s="7" t="s">
        <v>632</v>
      </c>
      <c r="G446" s="7" t="s">
        <v>633</v>
      </c>
      <c r="H446" s="7" t="s">
        <v>23</v>
      </c>
      <c r="I446" s="163" t="s">
        <v>634</v>
      </c>
      <c r="M446" s="7" t="s">
        <v>37</v>
      </c>
      <c r="N446" s="7" t="s">
        <v>37</v>
      </c>
    </row>
    <row r="447" spans="1:15" ht="16" x14ac:dyDescent="0.2">
      <c r="A447" s="52">
        <v>267</v>
      </c>
      <c r="B447" s="7" t="s">
        <v>639</v>
      </c>
      <c r="C447" s="7">
        <v>60</v>
      </c>
      <c r="D447" s="7" t="s">
        <v>21</v>
      </c>
      <c r="E447" s="7" t="s">
        <v>632</v>
      </c>
      <c r="G447" s="7" t="s">
        <v>633</v>
      </c>
      <c r="H447" s="7" t="s">
        <v>23</v>
      </c>
      <c r="I447" s="163" t="s">
        <v>634</v>
      </c>
      <c r="O447" s="7" t="s">
        <v>37</v>
      </c>
    </row>
    <row r="448" spans="1:15" ht="16" x14ac:dyDescent="0.2">
      <c r="A448" s="52">
        <v>268</v>
      </c>
      <c r="B448" s="7" t="s">
        <v>639</v>
      </c>
      <c r="C448" s="7">
        <v>60</v>
      </c>
      <c r="D448" s="7" t="s">
        <v>21</v>
      </c>
      <c r="E448" s="7" t="s">
        <v>632</v>
      </c>
      <c r="G448" s="7" t="s">
        <v>633</v>
      </c>
      <c r="H448" s="7" t="s">
        <v>23</v>
      </c>
      <c r="I448" s="163" t="s">
        <v>634</v>
      </c>
      <c r="L448" s="7" t="s">
        <v>638</v>
      </c>
    </row>
    <row r="449" spans="1:16" s="49" customFormat="1" ht="16" x14ac:dyDescent="0.2">
      <c r="A449" s="48" t="s">
        <v>642</v>
      </c>
      <c r="B449" s="49" t="s">
        <v>631</v>
      </c>
      <c r="C449" s="49">
        <v>500</v>
      </c>
      <c r="D449" s="49" t="s">
        <v>322</v>
      </c>
      <c r="E449" s="49" t="s">
        <v>632</v>
      </c>
      <c r="G449" s="49" t="s">
        <v>633</v>
      </c>
      <c r="H449" s="49" t="s">
        <v>23</v>
      </c>
      <c r="I449" s="7" t="s">
        <v>595</v>
      </c>
      <c r="K449" s="153" t="s">
        <v>643</v>
      </c>
      <c r="P449" s="49" t="s">
        <v>644</v>
      </c>
    </row>
    <row r="450" spans="1:16" ht="16" x14ac:dyDescent="0.2">
      <c r="A450" s="52" t="s">
        <v>645</v>
      </c>
      <c r="B450" s="7" t="s">
        <v>631</v>
      </c>
      <c r="C450" s="7">
        <v>500</v>
      </c>
      <c r="D450" s="7" t="s">
        <v>322</v>
      </c>
      <c r="E450" s="7" t="s">
        <v>632</v>
      </c>
      <c r="G450" s="7" t="s">
        <v>633</v>
      </c>
      <c r="H450" s="7" t="s">
        <v>23</v>
      </c>
      <c r="I450" s="7" t="s">
        <v>595</v>
      </c>
      <c r="K450" s="156" t="s">
        <v>643</v>
      </c>
      <c r="P450" s="7" t="s">
        <v>644</v>
      </c>
    </row>
    <row r="451" spans="1:16" ht="16" x14ac:dyDescent="0.2">
      <c r="A451" s="52" t="s">
        <v>646</v>
      </c>
      <c r="B451" s="7" t="s">
        <v>631</v>
      </c>
      <c r="C451" s="7">
        <v>500</v>
      </c>
      <c r="D451" s="7" t="s">
        <v>322</v>
      </c>
      <c r="E451" s="7" t="s">
        <v>632</v>
      </c>
      <c r="G451" s="7" t="s">
        <v>633</v>
      </c>
      <c r="H451" s="7" t="s">
        <v>23</v>
      </c>
      <c r="I451" s="7" t="s">
        <v>595</v>
      </c>
      <c r="K451" s="156" t="s">
        <v>643</v>
      </c>
      <c r="P451" s="7" t="s">
        <v>644</v>
      </c>
    </row>
    <row r="452" spans="1:16" ht="16" x14ac:dyDescent="0.2">
      <c r="A452" s="52" t="s">
        <v>647</v>
      </c>
      <c r="B452" s="7" t="s">
        <v>631</v>
      </c>
      <c r="C452" s="7">
        <v>500</v>
      </c>
      <c r="D452" s="7" t="s">
        <v>322</v>
      </c>
      <c r="E452" s="7" t="s">
        <v>632</v>
      </c>
      <c r="G452" s="7" t="s">
        <v>633</v>
      </c>
      <c r="H452" s="7" t="s">
        <v>23</v>
      </c>
      <c r="I452" s="7" t="s">
        <v>595</v>
      </c>
      <c r="K452" s="156" t="s">
        <v>643</v>
      </c>
      <c r="P452" s="7" t="s">
        <v>644</v>
      </c>
    </row>
    <row r="453" spans="1:16" ht="16" x14ac:dyDescent="0.2">
      <c r="A453" s="52" t="s">
        <v>648</v>
      </c>
      <c r="B453" s="7" t="s">
        <v>631</v>
      </c>
      <c r="C453" s="7">
        <v>500</v>
      </c>
      <c r="D453" s="7" t="s">
        <v>322</v>
      </c>
      <c r="E453" s="7" t="s">
        <v>632</v>
      </c>
      <c r="G453" s="7" t="s">
        <v>633</v>
      </c>
      <c r="H453" s="7" t="s">
        <v>23</v>
      </c>
      <c r="I453" s="7" t="s">
        <v>595</v>
      </c>
      <c r="K453" s="156" t="s">
        <v>643</v>
      </c>
      <c r="P453" s="7" t="s">
        <v>644</v>
      </c>
    </row>
    <row r="454" spans="1:16" s="49" customFormat="1" ht="16" x14ac:dyDescent="0.2">
      <c r="A454" s="48" t="s">
        <v>649</v>
      </c>
      <c r="B454" s="49" t="s">
        <v>639</v>
      </c>
      <c r="C454" s="49">
        <v>500</v>
      </c>
      <c r="D454" s="49" t="s">
        <v>322</v>
      </c>
      <c r="E454" s="49" t="s">
        <v>632</v>
      </c>
      <c r="G454" s="49" t="s">
        <v>633</v>
      </c>
      <c r="H454" s="49" t="s">
        <v>23</v>
      </c>
      <c r="I454" s="7" t="s">
        <v>595</v>
      </c>
      <c r="K454" s="153" t="s">
        <v>643</v>
      </c>
      <c r="P454" s="49" t="s">
        <v>644</v>
      </c>
    </row>
    <row r="455" spans="1:16" ht="16" x14ac:dyDescent="0.2">
      <c r="A455" s="52" t="s">
        <v>650</v>
      </c>
      <c r="B455" s="7" t="s">
        <v>639</v>
      </c>
      <c r="C455" s="7">
        <v>500</v>
      </c>
      <c r="D455" s="7" t="s">
        <v>322</v>
      </c>
      <c r="E455" s="7" t="s">
        <v>632</v>
      </c>
      <c r="G455" s="7" t="s">
        <v>633</v>
      </c>
      <c r="H455" s="7" t="s">
        <v>23</v>
      </c>
      <c r="I455" s="7" t="s">
        <v>595</v>
      </c>
      <c r="K455" s="156" t="s">
        <v>643</v>
      </c>
      <c r="P455" s="7" t="s">
        <v>644</v>
      </c>
    </row>
    <row r="456" spans="1:16" ht="16" x14ac:dyDescent="0.2">
      <c r="A456" s="52" t="s">
        <v>651</v>
      </c>
      <c r="B456" s="202" t="s">
        <v>639</v>
      </c>
      <c r="C456" s="7">
        <v>500</v>
      </c>
      <c r="D456" s="7" t="s">
        <v>322</v>
      </c>
      <c r="E456" s="7" t="s">
        <v>632</v>
      </c>
      <c r="G456" s="7" t="s">
        <v>633</v>
      </c>
      <c r="H456" s="7" t="s">
        <v>23</v>
      </c>
      <c r="I456" s="7" t="s">
        <v>595</v>
      </c>
      <c r="K456" s="156" t="s">
        <v>643</v>
      </c>
      <c r="P456" s="7" t="s">
        <v>644</v>
      </c>
    </row>
    <row r="457" spans="1:16" ht="16" x14ac:dyDescent="0.2">
      <c r="A457" s="52" t="s">
        <v>652</v>
      </c>
      <c r="B457" s="202" t="s">
        <v>639</v>
      </c>
      <c r="C457" s="7">
        <v>500</v>
      </c>
      <c r="D457" s="7" t="s">
        <v>322</v>
      </c>
      <c r="E457" s="7" t="s">
        <v>632</v>
      </c>
      <c r="G457" s="7" t="s">
        <v>633</v>
      </c>
      <c r="H457" s="7" t="s">
        <v>23</v>
      </c>
      <c r="I457" s="7" t="s">
        <v>595</v>
      </c>
      <c r="K457" s="156" t="s">
        <v>643</v>
      </c>
      <c r="P457" s="7" t="s">
        <v>644</v>
      </c>
    </row>
    <row r="458" spans="1:16" s="51" customFormat="1" ht="16" x14ac:dyDescent="0.2">
      <c r="A458" s="50" t="s">
        <v>653</v>
      </c>
      <c r="B458" s="51" t="s">
        <v>639</v>
      </c>
      <c r="C458" s="51">
        <v>500</v>
      </c>
      <c r="D458" s="51" t="s">
        <v>322</v>
      </c>
      <c r="E458" s="51" t="s">
        <v>632</v>
      </c>
      <c r="G458" s="51" t="s">
        <v>633</v>
      </c>
      <c r="H458" s="51" t="s">
        <v>23</v>
      </c>
      <c r="I458" s="7" t="s">
        <v>595</v>
      </c>
      <c r="K458" s="154" t="s">
        <v>643</v>
      </c>
      <c r="P458" s="51" t="s">
        <v>644</v>
      </c>
    </row>
    <row r="459" spans="1:16" ht="16" x14ac:dyDescent="0.2">
      <c r="A459" s="7" t="s">
        <v>654</v>
      </c>
      <c r="B459" s="7" t="s">
        <v>655</v>
      </c>
      <c r="C459" s="7" t="s">
        <v>656</v>
      </c>
      <c r="D459" s="7" t="s">
        <v>657</v>
      </c>
      <c r="E459" s="7" t="s">
        <v>632</v>
      </c>
      <c r="G459" s="7" t="s">
        <v>633</v>
      </c>
      <c r="H459" s="7" t="s">
        <v>23</v>
      </c>
      <c r="I459" s="164" t="s">
        <v>657</v>
      </c>
      <c r="K459" s="155" t="s">
        <v>643</v>
      </c>
    </row>
    <row r="460" spans="1:16" ht="16" x14ac:dyDescent="0.2">
      <c r="A460" s="7" t="s">
        <v>658</v>
      </c>
      <c r="B460" s="7" t="s">
        <v>659</v>
      </c>
      <c r="C460" s="7" t="s">
        <v>656</v>
      </c>
      <c r="D460" s="7" t="s">
        <v>657</v>
      </c>
      <c r="E460" s="7" t="s">
        <v>632</v>
      </c>
      <c r="G460" s="7" t="s">
        <v>633</v>
      </c>
      <c r="H460" s="7" t="s">
        <v>23</v>
      </c>
      <c r="I460" s="164" t="s">
        <v>657</v>
      </c>
      <c r="K460" s="156" t="s">
        <v>643</v>
      </c>
    </row>
    <row r="461" spans="1:16" ht="16" x14ac:dyDescent="0.2">
      <c r="A461" s="7" t="s">
        <v>660</v>
      </c>
      <c r="B461" s="7" t="s">
        <v>661</v>
      </c>
      <c r="C461" s="7" t="s">
        <v>656</v>
      </c>
      <c r="D461" s="7" t="s">
        <v>657</v>
      </c>
      <c r="E461" s="7" t="s">
        <v>632</v>
      </c>
      <c r="G461" s="7" t="s">
        <v>633</v>
      </c>
      <c r="H461" s="7" t="s">
        <v>23</v>
      </c>
      <c r="I461" s="164" t="s">
        <v>657</v>
      </c>
      <c r="K461" s="156" t="s">
        <v>643</v>
      </c>
    </row>
    <row r="462" spans="1:16" ht="15.75" customHeight="1" x14ac:dyDescent="0.2">
      <c r="A462" s="7" t="s">
        <v>314</v>
      </c>
      <c r="B462" s="7" t="s">
        <v>662</v>
      </c>
      <c r="C462" s="7">
        <v>12</v>
      </c>
      <c r="D462" s="7" t="s">
        <v>21</v>
      </c>
      <c r="E462" s="7" t="s">
        <v>162</v>
      </c>
      <c r="G462" s="7" t="s">
        <v>316</v>
      </c>
      <c r="H462" s="7" t="s">
        <v>23</v>
      </c>
      <c r="I462" s="7" t="s">
        <v>663</v>
      </c>
      <c r="M462" s="7" t="s">
        <v>37</v>
      </c>
      <c r="N462" s="7" t="s">
        <v>33</v>
      </c>
    </row>
    <row r="463" spans="1:16" ht="15.75" customHeight="1" x14ac:dyDescent="0.2">
      <c r="A463" s="7" t="s">
        <v>664</v>
      </c>
      <c r="B463" s="7" t="s">
        <v>665</v>
      </c>
      <c r="C463" s="7">
        <v>12</v>
      </c>
      <c r="D463" s="7" t="s">
        <v>21</v>
      </c>
      <c r="E463" s="7" t="s">
        <v>162</v>
      </c>
      <c r="G463" s="7" t="s">
        <v>666</v>
      </c>
      <c r="H463" s="7" t="s">
        <v>23</v>
      </c>
      <c r="I463" s="7" t="s">
        <v>663</v>
      </c>
      <c r="M463" s="7" t="s">
        <v>37</v>
      </c>
      <c r="N463" s="7" t="s">
        <v>33</v>
      </c>
    </row>
    <row r="464" spans="1:16" ht="15.75" customHeight="1" x14ac:dyDescent="0.2">
      <c r="A464" s="7" t="s">
        <v>667</v>
      </c>
      <c r="B464" s="7" t="s">
        <v>668</v>
      </c>
      <c r="C464" s="7">
        <v>12</v>
      </c>
      <c r="D464" s="7" t="s">
        <v>21</v>
      </c>
      <c r="E464" s="7" t="s">
        <v>162</v>
      </c>
      <c r="G464" s="7" t="s">
        <v>318</v>
      </c>
      <c r="H464" s="7" t="s">
        <v>23</v>
      </c>
      <c r="I464" s="7" t="s">
        <v>663</v>
      </c>
      <c r="M464" s="7" t="s">
        <v>37</v>
      </c>
      <c r="N464" s="7" t="s">
        <v>33</v>
      </c>
    </row>
    <row r="465" spans="1:14" ht="15.75" customHeight="1" x14ac:dyDescent="0.2">
      <c r="A465" s="7" t="s">
        <v>669</v>
      </c>
      <c r="B465" s="7" t="s">
        <v>670</v>
      </c>
      <c r="C465" s="7">
        <v>12</v>
      </c>
      <c r="D465" s="7" t="s">
        <v>21</v>
      </c>
      <c r="E465" s="7" t="s">
        <v>162</v>
      </c>
      <c r="G465" s="7" t="s">
        <v>318</v>
      </c>
      <c r="H465" s="7" t="s">
        <v>23</v>
      </c>
      <c r="I465" s="7" t="s">
        <v>663</v>
      </c>
      <c r="M465" s="7" t="s">
        <v>37</v>
      </c>
      <c r="N465" s="7" t="s">
        <v>33</v>
      </c>
    </row>
    <row r="466" spans="1:14" ht="15.75" customHeight="1" x14ac:dyDescent="0.2">
      <c r="A466" s="7" t="s">
        <v>671</v>
      </c>
      <c r="B466" s="7" t="s">
        <v>672</v>
      </c>
      <c r="C466" s="7">
        <v>12</v>
      </c>
      <c r="D466" s="7" t="s">
        <v>21</v>
      </c>
      <c r="E466" s="7" t="s">
        <v>296</v>
      </c>
      <c r="G466" s="7" t="s">
        <v>297</v>
      </c>
      <c r="H466" s="7" t="s">
        <v>23</v>
      </c>
      <c r="I466" s="7" t="s">
        <v>663</v>
      </c>
      <c r="J466" s="7" t="s">
        <v>48</v>
      </c>
      <c r="K466" s="7" t="s">
        <v>673</v>
      </c>
      <c r="M466" s="7" t="s">
        <v>28</v>
      </c>
      <c r="N466" s="7" t="s">
        <v>33</v>
      </c>
    </row>
    <row r="467" spans="1:14" ht="15.75" customHeight="1" x14ac:dyDescent="0.2">
      <c r="A467" s="7" t="s">
        <v>674</v>
      </c>
      <c r="B467" s="7" t="s">
        <v>675</v>
      </c>
      <c r="C467" s="7">
        <v>12</v>
      </c>
      <c r="D467" s="7" t="s">
        <v>21</v>
      </c>
      <c r="E467" s="7" t="s">
        <v>296</v>
      </c>
      <c r="G467" s="7" t="s">
        <v>306</v>
      </c>
      <c r="H467" s="7" t="s">
        <v>23</v>
      </c>
      <c r="I467" s="7" t="s">
        <v>663</v>
      </c>
      <c r="J467" s="7" t="s">
        <v>48</v>
      </c>
      <c r="K467" s="7" t="s">
        <v>676</v>
      </c>
      <c r="M467" s="7" t="s">
        <v>28</v>
      </c>
      <c r="N467" s="7" t="s">
        <v>33</v>
      </c>
    </row>
    <row r="468" spans="1:14" ht="15.75" customHeight="1" x14ac:dyDescent="0.2">
      <c r="A468" s="7" t="s">
        <v>677</v>
      </c>
      <c r="B468" s="7" t="s">
        <v>678</v>
      </c>
      <c r="C468" s="7">
        <v>12</v>
      </c>
      <c r="D468" s="7" t="s">
        <v>21</v>
      </c>
      <c r="E468" s="7" t="s">
        <v>296</v>
      </c>
      <c r="G468" s="7" t="s">
        <v>297</v>
      </c>
      <c r="H468" s="7" t="s">
        <v>23</v>
      </c>
      <c r="I468" s="7" t="s">
        <v>663</v>
      </c>
      <c r="J468" s="7" t="s">
        <v>48</v>
      </c>
      <c r="K468" s="7" t="s">
        <v>679</v>
      </c>
      <c r="M468" s="7" t="s">
        <v>28</v>
      </c>
      <c r="N468" s="7" t="s">
        <v>33</v>
      </c>
    </row>
    <row r="469" spans="1:14" ht="15.75" customHeight="1" x14ac:dyDescent="0.2">
      <c r="A469" s="7" t="s">
        <v>680</v>
      </c>
      <c r="B469" s="7" t="s">
        <v>681</v>
      </c>
      <c r="C469" s="7">
        <v>12</v>
      </c>
      <c r="D469" s="7" t="s">
        <v>21</v>
      </c>
      <c r="E469" s="7" t="s">
        <v>296</v>
      </c>
      <c r="G469" s="7" t="s">
        <v>297</v>
      </c>
      <c r="H469" s="7" t="s">
        <v>23</v>
      </c>
      <c r="I469" s="7" t="s">
        <v>663</v>
      </c>
      <c r="J469" s="7" t="s">
        <v>48</v>
      </c>
      <c r="K469" s="7" t="s">
        <v>673</v>
      </c>
      <c r="M469" s="7" t="s">
        <v>28</v>
      </c>
      <c r="N469" s="7" t="s">
        <v>33</v>
      </c>
    </row>
    <row r="470" spans="1:14" ht="15.75" customHeight="1" x14ac:dyDescent="0.2">
      <c r="A470" s="7" t="s">
        <v>682</v>
      </c>
      <c r="B470" s="7" t="s">
        <v>683</v>
      </c>
      <c r="C470" s="7">
        <v>12</v>
      </c>
      <c r="D470" s="7" t="s">
        <v>21</v>
      </c>
      <c r="E470" s="7" t="s">
        <v>296</v>
      </c>
      <c r="G470" s="7" t="s">
        <v>297</v>
      </c>
      <c r="H470" s="7" t="s">
        <v>23</v>
      </c>
      <c r="I470" s="7" t="s">
        <v>663</v>
      </c>
      <c r="J470" s="7" t="s">
        <v>48</v>
      </c>
      <c r="K470" s="7" t="s">
        <v>684</v>
      </c>
      <c r="M470" s="7" t="s">
        <v>28</v>
      </c>
      <c r="N470" s="7" t="s">
        <v>33</v>
      </c>
    </row>
    <row r="471" spans="1:14" ht="15.75" customHeight="1" x14ac:dyDescent="0.2">
      <c r="A471" s="7" t="s">
        <v>685</v>
      </c>
      <c r="B471" s="7" t="s">
        <v>686</v>
      </c>
      <c r="C471" s="7">
        <v>12</v>
      </c>
      <c r="D471" s="7" t="s">
        <v>21</v>
      </c>
      <c r="E471" s="7" t="s">
        <v>296</v>
      </c>
      <c r="G471" s="7" t="s">
        <v>297</v>
      </c>
      <c r="H471" s="7" t="s">
        <v>23</v>
      </c>
      <c r="I471" s="7" t="s">
        <v>663</v>
      </c>
      <c r="J471" s="7" t="s">
        <v>48</v>
      </c>
      <c r="K471" s="7" t="s">
        <v>673</v>
      </c>
      <c r="M471" s="7" t="s">
        <v>28</v>
      </c>
      <c r="N471" s="7" t="s">
        <v>33</v>
      </c>
    </row>
    <row r="472" spans="1:14" ht="15.75" customHeight="1" x14ac:dyDescent="0.2">
      <c r="A472" s="7" t="s">
        <v>687</v>
      </c>
      <c r="B472" s="7" t="s">
        <v>688</v>
      </c>
      <c r="C472" s="7">
        <v>12</v>
      </c>
      <c r="D472" s="7" t="s">
        <v>21</v>
      </c>
      <c r="E472" s="7" t="s">
        <v>296</v>
      </c>
      <c r="G472" s="7" t="s">
        <v>306</v>
      </c>
      <c r="H472" s="7" t="s">
        <v>23</v>
      </c>
      <c r="I472" s="7" t="s">
        <v>663</v>
      </c>
      <c r="J472" s="7" t="s">
        <v>48</v>
      </c>
      <c r="K472" s="7" t="s">
        <v>689</v>
      </c>
      <c r="M472" s="7" t="s">
        <v>28</v>
      </c>
      <c r="N472" s="7" t="s">
        <v>33</v>
      </c>
    </row>
    <row r="473" spans="1:14" ht="15.75" customHeight="1" x14ac:dyDescent="0.2">
      <c r="A473" s="7" t="s">
        <v>690</v>
      </c>
      <c r="B473" s="7" t="s">
        <v>691</v>
      </c>
      <c r="C473" s="7">
        <v>12</v>
      </c>
      <c r="D473" s="7" t="s">
        <v>21</v>
      </c>
      <c r="E473" s="7" t="s">
        <v>296</v>
      </c>
      <c r="G473" s="7" t="s">
        <v>297</v>
      </c>
      <c r="H473" s="7" t="s">
        <v>23</v>
      </c>
      <c r="I473" s="7" t="s">
        <v>663</v>
      </c>
      <c r="J473" s="224"/>
      <c r="M473" s="7" t="s">
        <v>37</v>
      </c>
      <c r="N473" s="7" t="s">
        <v>33</v>
      </c>
    </row>
    <row r="474" spans="1:14" ht="15.75" customHeight="1" x14ac:dyDescent="0.2">
      <c r="A474" s="7" t="s">
        <v>692</v>
      </c>
      <c r="B474" s="7" t="s">
        <v>693</v>
      </c>
      <c r="C474" s="7">
        <v>12</v>
      </c>
      <c r="D474" s="7" t="s">
        <v>21</v>
      </c>
      <c r="E474" s="7" t="s">
        <v>296</v>
      </c>
      <c r="G474" s="7" t="s">
        <v>306</v>
      </c>
      <c r="H474" s="7" t="s">
        <v>23</v>
      </c>
      <c r="I474" s="7" t="s">
        <v>663</v>
      </c>
      <c r="J474" s="7" t="s">
        <v>48</v>
      </c>
      <c r="K474" s="7" t="s">
        <v>673</v>
      </c>
      <c r="M474" s="7" t="s">
        <v>28</v>
      </c>
      <c r="N474" s="7" t="s">
        <v>33</v>
      </c>
    </row>
    <row r="475" spans="1:14" ht="15.75" customHeight="1" x14ac:dyDescent="0.2">
      <c r="A475" s="7" t="s">
        <v>694</v>
      </c>
      <c r="B475" s="7" t="s">
        <v>695</v>
      </c>
      <c r="C475" s="7">
        <v>12</v>
      </c>
      <c r="D475" s="7" t="s">
        <v>21</v>
      </c>
      <c r="E475" s="7" t="s">
        <v>296</v>
      </c>
      <c r="G475" s="7" t="s">
        <v>696</v>
      </c>
      <c r="H475" s="7" t="s">
        <v>23</v>
      </c>
      <c r="I475" s="7" t="s">
        <v>663</v>
      </c>
      <c r="J475" s="7" t="s">
        <v>48</v>
      </c>
      <c r="M475" s="7" t="s">
        <v>28</v>
      </c>
      <c r="N475" s="7" t="s">
        <v>33</v>
      </c>
    </row>
    <row r="476" spans="1:14" ht="15.75" customHeight="1" x14ac:dyDescent="0.2">
      <c r="A476" s="7" t="s">
        <v>697</v>
      </c>
      <c r="B476" s="7" t="s">
        <v>698</v>
      </c>
      <c r="C476" s="7">
        <v>12</v>
      </c>
      <c r="D476" s="7" t="s">
        <v>21</v>
      </c>
      <c r="E476" s="7" t="s">
        <v>296</v>
      </c>
      <c r="G476" s="7" t="s">
        <v>699</v>
      </c>
      <c r="H476" s="7" t="s">
        <v>23</v>
      </c>
      <c r="I476" s="7" t="s">
        <v>663</v>
      </c>
      <c r="J476" s="7" t="s">
        <v>48</v>
      </c>
      <c r="K476" s="7" t="s">
        <v>700</v>
      </c>
      <c r="M476" s="7" t="s">
        <v>28</v>
      </c>
      <c r="N476" s="7" t="s">
        <v>28</v>
      </c>
    </row>
    <row r="477" spans="1:14" ht="15.75" customHeight="1" x14ac:dyDescent="0.2">
      <c r="A477" s="7" t="s">
        <v>701</v>
      </c>
      <c r="B477" s="7" t="s">
        <v>702</v>
      </c>
      <c r="C477" s="7">
        <v>12</v>
      </c>
      <c r="D477" s="7" t="s">
        <v>21</v>
      </c>
      <c r="E477" s="7" t="s">
        <v>296</v>
      </c>
      <c r="G477" s="7" t="s">
        <v>699</v>
      </c>
      <c r="H477" s="7" t="s">
        <v>23</v>
      </c>
      <c r="I477" s="7" t="s">
        <v>663</v>
      </c>
      <c r="J477" s="7" t="s">
        <v>48</v>
      </c>
      <c r="K477" s="7" t="s">
        <v>703</v>
      </c>
      <c r="M477" s="7" t="s">
        <v>28</v>
      </c>
      <c r="N477" s="7" t="s">
        <v>28</v>
      </c>
    </row>
    <row r="478" spans="1:14" ht="15.75" customHeight="1" x14ac:dyDescent="0.2">
      <c r="A478" s="7" t="s">
        <v>704</v>
      </c>
      <c r="B478" s="7" t="s">
        <v>705</v>
      </c>
      <c r="C478" s="7">
        <v>12</v>
      </c>
      <c r="D478" s="7" t="s">
        <v>21</v>
      </c>
      <c r="E478" s="7" t="s">
        <v>296</v>
      </c>
      <c r="G478" s="7" t="s">
        <v>696</v>
      </c>
      <c r="H478" s="7" t="s">
        <v>23</v>
      </c>
      <c r="I478" s="7" t="s">
        <v>663</v>
      </c>
      <c r="J478" s="7" t="s">
        <v>48</v>
      </c>
      <c r="K478" s="7" t="s">
        <v>706</v>
      </c>
      <c r="M478" s="7" t="s">
        <v>28</v>
      </c>
      <c r="N478" s="7" t="s">
        <v>33</v>
      </c>
    </row>
    <row r="479" spans="1:14" ht="15.75" customHeight="1" x14ac:dyDescent="0.2">
      <c r="A479" s="7" t="s">
        <v>707</v>
      </c>
      <c r="B479" s="7" t="s">
        <v>708</v>
      </c>
      <c r="C479" s="7">
        <v>12</v>
      </c>
      <c r="D479" s="7" t="s">
        <v>21</v>
      </c>
      <c r="E479" s="7" t="s">
        <v>296</v>
      </c>
      <c r="G479" s="7" t="s">
        <v>696</v>
      </c>
      <c r="H479" s="7" t="s">
        <v>23</v>
      </c>
      <c r="I479" s="7" t="s">
        <v>663</v>
      </c>
      <c r="J479" s="7" t="s">
        <v>48</v>
      </c>
      <c r="K479" s="7" t="s">
        <v>709</v>
      </c>
      <c r="M479" s="7" t="s">
        <v>710</v>
      </c>
      <c r="N479" s="7" t="s">
        <v>33</v>
      </c>
    </row>
    <row r="480" spans="1:14" ht="15.75" customHeight="1" x14ac:dyDescent="0.2">
      <c r="A480" s="7" t="s">
        <v>711</v>
      </c>
      <c r="B480" s="7" t="s">
        <v>712</v>
      </c>
      <c r="C480" s="7">
        <v>12</v>
      </c>
      <c r="D480" s="7" t="s">
        <v>21</v>
      </c>
      <c r="E480" s="7" t="s">
        <v>296</v>
      </c>
      <c r="G480" s="7" t="s">
        <v>699</v>
      </c>
      <c r="H480" s="7" t="s">
        <v>23</v>
      </c>
      <c r="I480" s="7" t="s">
        <v>663</v>
      </c>
      <c r="J480" s="7" t="s">
        <v>48</v>
      </c>
      <c r="K480" s="7" t="s">
        <v>713</v>
      </c>
      <c r="M480" s="7" t="s">
        <v>37</v>
      </c>
      <c r="N480" s="7" t="s">
        <v>33</v>
      </c>
    </row>
    <row r="481" spans="1:16" ht="15.75" customHeight="1" x14ac:dyDescent="0.2">
      <c r="A481" s="7" t="s">
        <v>714</v>
      </c>
      <c r="B481" s="7" t="s">
        <v>715</v>
      </c>
      <c r="C481" s="7">
        <v>12</v>
      </c>
      <c r="D481" s="7" t="s">
        <v>21</v>
      </c>
      <c r="E481" s="7" t="s">
        <v>296</v>
      </c>
      <c r="G481" s="7" t="s">
        <v>696</v>
      </c>
      <c r="H481" s="7" t="s">
        <v>23</v>
      </c>
      <c r="I481" s="7" t="s">
        <v>663</v>
      </c>
      <c r="J481" s="7" t="s">
        <v>48</v>
      </c>
      <c r="K481" s="7" t="s">
        <v>703</v>
      </c>
      <c r="M481" s="7" t="s">
        <v>28</v>
      </c>
      <c r="N481" s="7" t="s">
        <v>33</v>
      </c>
    </row>
    <row r="482" spans="1:16" ht="15.75" customHeight="1" x14ac:dyDescent="0.2">
      <c r="A482" s="7" t="s">
        <v>716</v>
      </c>
      <c r="B482" s="7" t="s">
        <v>717</v>
      </c>
      <c r="C482" s="7">
        <v>12</v>
      </c>
      <c r="D482" s="7" t="s">
        <v>21</v>
      </c>
      <c r="E482" s="7" t="s">
        <v>296</v>
      </c>
      <c r="G482" s="7" t="s">
        <v>696</v>
      </c>
      <c r="H482" s="7" t="s">
        <v>23</v>
      </c>
      <c r="I482" s="7" t="s">
        <v>663</v>
      </c>
      <c r="J482" s="7" t="s">
        <v>48</v>
      </c>
      <c r="K482" s="7" t="s">
        <v>703</v>
      </c>
      <c r="M482" s="7" t="s">
        <v>28</v>
      </c>
      <c r="N482" s="7" t="s">
        <v>33</v>
      </c>
    </row>
    <row r="483" spans="1:16" ht="15.75" customHeight="1" x14ac:dyDescent="0.2">
      <c r="A483" s="7" t="s">
        <v>718</v>
      </c>
      <c r="B483" s="7" t="s">
        <v>719</v>
      </c>
      <c r="C483" s="7">
        <v>12</v>
      </c>
      <c r="D483" s="7" t="s">
        <v>21</v>
      </c>
      <c r="E483" s="7" t="s">
        <v>296</v>
      </c>
      <c r="G483" s="7" t="s">
        <v>699</v>
      </c>
      <c r="H483" s="7" t="s">
        <v>23</v>
      </c>
      <c r="I483" s="7" t="s">
        <v>663</v>
      </c>
      <c r="J483" s="7" t="s">
        <v>48</v>
      </c>
      <c r="K483" s="7" t="s">
        <v>720</v>
      </c>
      <c r="M483" s="7" t="s">
        <v>710</v>
      </c>
      <c r="N483" s="7" t="s">
        <v>28</v>
      </c>
    </row>
    <row r="484" spans="1:16" ht="15.75" customHeight="1" x14ac:dyDescent="0.2">
      <c r="A484" s="7" t="s">
        <v>721</v>
      </c>
      <c r="B484" s="7" t="s">
        <v>722</v>
      </c>
      <c r="C484" s="7">
        <v>12</v>
      </c>
      <c r="D484" s="7" t="s">
        <v>21</v>
      </c>
      <c r="E484" s="7" t="s">
        <v>296</v>
      </c>
      <c r="G484" s="7" t="s">
        <v>696</v>
      </c>
      <c r="H484" s="7" t="s">
        <v>23</v>
      </c>
      <c r="I484" s="7" t="s">
        <v>663</v>
      </c>
      <c r="J484" s="7" t="s">
        <v>48</v>
      </c>
      <c r="K484" s="7" t="s">
        <v>723</v>
      </c>
      <c r="M484" s="7" t="s">
        <v>710</v>
      </c>
      <c r="N484" s="7" t="s">
        <v>33</v>
      </c>
    </row>
    <row r="485" spans="1:16" ht="15.75" customHeight="1" x14ac:dyDescent="0.2">
      <c r="A485" s="7" t="s">
        <v>724</v>
      </c>
      <c r="B485" s="7" t="s">
        <v>725</v>
      </c>
      <c r="C485" s="7">
        <v>12</v>
      </c>
      <c r="D485" s="7" t="s">
        <v>21</v>
      </c>
      <c r="E485" s="7" t="s">
        <v>296</v>
      </c>
      <c r="G485" s="7" t="s">
        <v>699</v>
      </c>
      <c r="H485" s="7" t="s">
        <v>23</v>
      </c>
      <c r="I485" s="7" t="s">
        <v>663</v>
      </c>
      <c r="J485" s="7" t="s">
        <v>48</v>
      </c>
      <c r="K485" s="7" t="s">
        <v>726</v>
      </c>
      <c r="M485" s="7" t="s">
        <v>710</v>
      </c>
      <c r="N485" s="7" t="s">
        <v>33</v>
      </c>
    </row>
    <row r="486" spans="1:16" ht="15" customHeight="1" x14ac:dyDescent="0.2">
      <c r="A486" s="7" t="s">
        <v>727</v>
      </c>
      <c r="B486" s="7" t="s">
        <v>728</v>
      </c>
      <c r="C486" s="7">
        <v>12</v>
      </c>
      <c r="D486" s="7" t="s">
        <v>21</v>
      </c>
      <c r="E486" s="7" t="s">
        <v>296</v>
      </c>
      <c r="G486" s="7" t="s">
        <v>699</v>
      </c>
      <c r="H486" s="7" t="s">
        <v>23</v>
      </c>
      <c r="I486" s="7" t="s">
        <v>663</v>
      </c>
      <c r="J486" s="7" t="s">
        <v>48</v>
      </c>
      <c r="K486" s="7" t="s">
        <v>703</v>
      </c>
      <c r="M486" s="7" t="s">
        <v>28</v>
      </c>
      <c r="N486" s="7" t="s">
        <v>28</v>
      </c>
    </row>
    <row r="487" spans="1:16" ht="15" customHeight="1" x14ac:dyDescent="0.2">
      <c r="A487" s="7" t="s">
        <v>729</v>
      </c>
      <c r="B487" s="7" t="s">
        <v>730</v>
      </c>
      <c r="C487" s="7">
        <v>12</v>
      </c>
      <c r="D487" s="7" t="s">
        <v>21</v>
      </c>
      <c r="E487" s="7" t="s">
        <v>731</v>
      </c>
      <c r="G487" s="7" t="s">
        <v>732</v>
      </c>
      <c r="H487" s="7" t="s">
        <v>272</v>
      </c>
      <c r="M487" s="7" t="s">
        <v>37</v>
      </c>
      <c r="N487" s="7" t="s">
        <v>33</v>
      </c>
    </row>
    <row r="488" spans="1:16" ht="15.75" customHeight="1" x14ac:dyDescent="0.2">
      <c r="A488" s="7" t="s">
        <v>733</v>
      </c>
      <c r="B488" s="7" t="s">
        <v>734</v>
      </c>
      <c r="C488" s="7">
        <v>12</v>
      </c>
      <c r="D488" s="7" t="s">
        <v>21</v>
      </c>
      <c r="E488" s="7" t="s">
        <v>731</v>
      </c>
      <c r="G488" s="7" t="s">
        <v>735</v>
      </c>
      <c r="H488" s="7" t="s">
        <v>272</v>
      </c>
      <c r="J488" s="7" t="s">
        <v>48</v>
      </c>
      <c r="N488" s="7" t="s">
        <v>33</v>
      </c>
      <c r="P488" s="7" t="s">
        <v>28</v>
      </c>
    </row>
    <row r="489" spans="1:16" ht="15.75" customHeight="1" x14ac:dyDescent="0.2">
      <c r="A489" s="7" t="s">
        <v>736</v>
      </c>
      <c r="B489" s="7" t="s">
        <v>737</v>
      </c>
      <c r="C489" s="7">
        <v>12</v>
      </c>
      <c r="D489" s="7" t="s">
        <v>21</v>
      </c>
      <c r="E489" s="7" t="s">
        <v>731</v>
      </c>
      <c r="G489" s="7" t="s">
        <v>735</v>
      </c>
      <c r="H489" s="7" t="s">
        <v>272</v>
      </c>
      <c r="J489" s="7" t="s">
        <v>48</v>
      </c>
      <c r="N489" s="7" t="s">
        <v>33</v>
      </c>
      <c r="P489" s="7" t="s">
        <v>28</v>
      </c>
    </row>
    <row r="490" spans="1:16" ht="15.75" customHeight="1" x14ac:dyDescent="0.2">
      <c r="A490" s="7" t="s">
        <v>738</v>
      </c>
      <c r="B490" s="7" t="s">
        <v>739</v>
      </c>
      <c r="C490" s="7">
        <v>12</v>
      </c>
      <c r="D490" s="7" t="s">
        <v>21</v>
      </c>
      <c r="E490" s="7" t="s">
        <v>731</v>
      </c>
      <c r="G490" s="7" t="s">
        <v>735</v>
      </c>
      <c r="H490" s="7" t="s">
        <v>272</v>
      </c>
      <c r="M490" s="7" t="s">
        <v>37</v>
      </c>
      <c r="N490" s="7" t="s">
        <v>33</v>
      </c>
    </row>
    <row r="491" spans="1:16" ht="15.75" customHeight="1" x14ac:dyDescent="0.2">
      <c r="A491" s="7" t="s">
        <v>740</v>
      </c>
      <c r="B491" s="7" t="s">
        <v>741</v>
      </c>
      <c r="C491" s="7">
        <v>12</v>
      </c>
      <c r="D491" s="7" t="s">
        <v>21</v>
      </c>
      <c r="E491" s="7" t="s">
        <v>296</v>
      </c>
      <c r="G491" s="7" t="s">
        <v>696</v>
      </c>
      <c r="H491" s="7" t="s">
        <v>23</v>
      </c>
      <c r="J491" s="7" t="s">
        <v>742</v>
      </c>
      <c r="K491" s="7" t="s">
        <v>700</v>
      </c>
      <c r="M491" s="7" t="s">
        <v>28</v>
      </c>
      <c r="N491" s="7" t="s">
        <v>33</v>
      </c>
    </row>
    <row r="492" spans="1:16" ht="15.75" customHeight="1" x14ac:dyDescent="0.2">
      <c r="A492" s="7" t="s">
        <v>743</v>
      </c>
      <c r="B492" s="7" t="s">
        <v>744</v>
      </c>
      <c r="C492" s="7">
        <v>12</v>
      </c>
      <c r="D492" s="7" t="s">
        <v>21</v>
      </c>
      <c r="E492" s="7" t="s">
        <v>296</v>
      </c>
      <c r="G492" s="7" t="s">
        <v>696</v>
      </c>
      <c r="H492" s="7" t="s">
        <v>23</v>
      </c>
      <c r="J492" s="7" t="s">
        <v>9</v>
      </c>
      <c r="K492" s="7" t="s">
        <v>703</v>
      </c>
      <c r="M492" s="7" t="s">
        <v>28</v>
      </c>
      <c r="N492" s="7" t="s">
        <v>33</v>
      </c>
    </row>
    <row r="493" spans="1:16" ht="15.75" customHeight="1" x14ac:dyDescent="0.2">
      <c r="A493" s="7" t="s">
        <v>745</v>
      </c>
      <c r="B493" s="7" t="s">
        <v>746</v>
      </c>
      <c r="C493" s="7">
        <v>12</v>
      </c>
      <c r="D493" s="7" t="s">
        <v>21</v>
      </c>
      <c r="E493" s="7" t="s">
        <v>296</v>
      </c>
      <c r="G493" s="7" t="s">
        <v>696</v>
      </c>
      <c r="H493" s="7" t="s">
        <v>23</v>
      </c>
      <c r="M493" s="7" t="s">
        <v>37</v>
      </c>
      <c r="N493" s="7" t="s">
        <v>33</v>
      </c>
    </row>
    <row r="494" spans="1:16" ht="15.75" customHeight="1" x14ac:dyDescent="0.2">
      <c r="A494" s="7" t="s">
        <v>747</v>
      </c>
      <c r="B494" s="7" t="s">
        <v>748</v>
      </c>
      <c r="C494" s="7">
        <v>12</v>
      </c>
      <c r="D494" s="7" t="s">
        <v>21</v>
      </c>
      <c r="E494" s="7" t="s">
        <v>296</v>
      </c>
      <c r="G494" s="7" t="s">
        <v>699</v>
      </c>
      <c r="H494" s="7" t="s">
        <v>23</v>
      </c>
      <c r="J494" s="7" t="s">
        <v>48</v>
      </c>
      <c r="K494" s="7" t="s">
        <v>703</v>
      </c>
      <c r="M494" s="7" t="s">
        <v>37</v>
      </c>
      <c r="N494" s="7" t="s">
        <v>33</v>
      </c>
    </row>
    <row r="495" spans="1:16" ht="15.75" customHeight="1" x14ac:dyDescent="0.2">
      <c r="A495" s="7" t="s">
        <v>749</v>
      </c>
      <c r="B495" s="7" t="s">
        <v>750</v>
      </c>
      <c r="C495" s="7">
        <v>12</v>
      </c>
      <c r="D495" s="7" t="s">
        <v>21</v>
      </c>
      <c r="E495" s="7" t="s">
        <v>296</v>
      </c>
      <c r="G495" s="7" t="s">
        <v>699</v>
      </c>
      <c r="H495" s="7" t="s">
        <v>23</v>
      </c>
      <c r="J495" s="7" t="s">
        <v>48</v>
      </c>
      <c r="K495" s="7" t="s">
        <v>703</v>
      </c>
      <c r="M495" s="7" t="s">
        <v>28</v>
      </c>
      <c r="N495" s="7" t="s">
        <v>33</v>
      </c>
    </row>
    <row r="496" spans="1:16" ht="15.75" customHeight="1" x14ac:dyDescent="0.2">
      <c r="A496" s="7" t="s">
        <v>751</v>
      </c>
      <c r="B496" s="7" t="s">
        <v>752</v>
      </c>
      <c r="C496" s="7">
        <v>12</v>
      </c>
      <c r="D496" s="7" t="s">
        <v>21</v>
      </c>
      <c r="E496" s="7" t="s">
        <v>296</v>
      </c>
      <c r="G496" s="7" t="s">
        <v>699</v>
      </c>
      <c r="H496" s="7" t="s">
        <v>23</v>
      </c>
      <c r="J496" s="7" t="s">
        <v>48</v>
      </c>
      <c r="K496" s="7" t="s">
        <v>753</v>
      </c>
      <c r="M496" s="7" t="s">
        <v>37</v>
      </c>
      <c r="N496" s="7" t="s">
        <v>33</v>
      </c>
    </row>
    <row r="497" spans="1:14" ht="15.75" customHeight="1" x14ac:dyDescent="0.2">
      <c r="A497" s="7" t="s">
        <v>754</v>
      </c>
      <c r="B497" s="7" t="s">
        <v>755</v>
      </c>
      <c r="C497" s="7">
        <v>12</v>
      </c>
      <c r="D497" s="7" t="s">
        <v>21</v>
      </c>
      <c r="E497" s="7" t="s">
        <v>296</v>
      </c>
      <c r="G497" s="7" t="s">
        <v>297</v>
      </c>
      <c r="H497" s="7" t="s">
        <v>23</v>
      </c>
      <c r="J497" s="7" t="s">
        <v>48</v>
      </c>
      <c r="K497" s="7" t="s">
        <v>703</v>
      </c>
      <c r="M497" s="7" t="s">
        <v>28</v>
      </c>
      <c r="N497" s="7" t="s">
        <v>33</v>
      </c>
    </row>
    <row r="498" spans="1:14" ht="15.75" customHeight="1" x14ac:dyDescent="0.2">
      <c r="A498" s="7" t="s">
        <v>756</v>
      </c>
      <c r="B498" s="7" t="s">
        <v>757</v>
      </c>
      <c r="C498" s="7">
        <v>12</v>
      </c>
      <c r="D498" s="7" t="s">
        <v>21</v>
      </c>
      <c r="E498" s="7" t="s">
        <v>296</v>
      </c>
      <c r="G498" s="7" t="s">
        <v>297</v>
      </c>
      <c r="H498" s="7" t="s">
        <v>23</v>
      </c>
      <c r="M498" s="7" t="s">
        <v>37</v>
      </c>
      <c r="N498" s="7" t="s">
        <v>33</v>
      </c>
    </row>
    <row r="499" spans="1:14" ht="15.75" customHeight="1" x14ac:dyDescent="0.2">
      <c r="A499" s="7" t="s">
        <v>758</v>
      </c>
      <c r="B499" s="7" t="s">
        <v>759</v>
      </c>
      <c r="C499" s="7">
        <v>12</v>
      </c>
      <c r="D499" s="7" t="s">
        <v>21</v>
      </c>
      <c r="E499" s="7" t="s">
        <v>296</v>
      </c>
      <c r="G499" s="7" t="s">
        <v>306</v>
      </c>
      <c r="H499" s="7" t="s">
        <v>23</v>
      </c>
      <c r="J499" s="7" t="s">
        <v>48</v>
      </c>
      <c r="K499" s="7" t="s">
        <v>703</v>
      </c>
      <c r="M499" s="7" t="s">
        <v>28</v>
      </c>
      <c r="N499" s="7" t="s">
        <v>33</v>
      </c>
    </row>
    <row r="500" spans="1:14" ht="15.75" customHeight="1" x14ac:dyDescent="0.2">
      <c r="A500" s="7" t="s">
        <v>760</v>
      </c>
      <c r="B500" s="7" t="s">
        <v>761</v>
      </c>
      <c r="C500" s="7">
        <v>12</v>
      </c>
      <c r="D500" s="7" t="s">
        <v>21</v>
      </c>
      <c r="E500" s="7" t="s">
        <v>296</v>
      </c>
      <c r="G500" s="7" t="s">
        <v>306</v>
      </c>
      <c r="H500" s="7" t="s">
        <v>23</v>
      </c>
      <c r="J500" s="7" t="s">
        <v>9</v>
      </c>
      <c r="K500" s="7" t="s">
        <v>703</v>
      </c>
      <c r="M500" s="7" t="s">
        <v>28</v>
      </c>
      <c r="N500" s="7" t="s">
        <v>33</v>
      </c>
    </row>
    <row r="501" spans="1:14" ht="15.75" customHeight="1" x14ac:dyDescent="0.2">
      <c r="A501" s="7" t="s">
        <v>762</v>
      </c>
      <c r="B501" s="269" t="s">
        <v>763</v>
      </c>
      <c r="C501" s="7">
        <v>14</v>
      </c>
      <c r="D501" s="7" t="s">
        <v>21</v>
      </c>
      <c r="E501" s="7" t="s">
        <v>172</v>
      </c>
      <c r="F501" s="7" t="s">
        <v>25</v>
      </c>
      <c r="G501" s="7" t="s">
        <v>188</v>
      </c>
      <c r="H501" s="7" t="s">
        <v>23</v>
      </c>
      <c r="J501" s="7" t="s">
        <v>48</v>
      </c>
      <c r="K501" s="7" t="s">
        <v>764</v>
      </c>
      <c r="M501" s="7" t="s">
        <v>28</v>
      </c>
      <c r="N501" s="7" t="s">
        <v>33</v>
      </c>
    </row>
    <row r="502" spans="1:14" ht="15.75" customHeight="1" x14ac:dyDescent="0.2">
      <c r="A502" s="7" t="s">
        <v>765</v>
      </c>
      <c r="B502" s="269" t="s">
        <v>766</v>
      </c>
      <c r="C502" s="7">
        <v>14</v>
      </c>
      <c r="D502" s="7" t="s">
        <v>21</v>
      </c>
      <c r="E502" s="7" t="s">
        <v>172</v>
      </c>
      <c r="F502" s="7" t="s">
        <v>25</v>
      </c>
      <c r="G502" s="7" t="s">
        <v>197</v>
      </c>
      <c r="H502" s="7" t="s">
        <v>23</v>
      </c>
      <c r="J502" s="7" t="s">
        <v>48</v>
      </c>
      <c r="K502" s="7" t="s">
        <v>703</v>
      </c>
      <c r="M502" s="7" t="s">
        <v>28</v>
      </c>
      <c r="N502" s="7" t="s">
        <v>33</v>
      </c>
    </row>
    <row r="503" spans="1:14" ht="15.75" customHeight="1" x14ac:dyDescent="0.2">
      <c r="A503" s="7" t="s">
        <v>767</v>
      </c>
      <c r="B503" s="269" t="s">
        <v>768</v>
      </c>
      <c r="C503" s="7">
        <v>14</v>
      </c>
      <c r="D503" s="7" t="s">
        <v>21</v>
      </c>
      <c r="E503" s="7" t="s">
        <v>172</v>
      </c>
      <c r="F503" s="7" t="s">
        <v>25</v>
      </c>
      <c r="G503" s="7" t="s">
        <v>173</v>
      </c>
      <c r="H503" s="7" t="s">
        <v>23</v>
      </c>
      <c r="J503" s="7" t="s">
        <v>48</v>
      </c>
      <c r="K503" s="7" t="s">
        <v>769</v>
      </c>
      <c r="M503" s="7" t="s">
        <v>28</v>
      </c>
      <c r="N503" s="7" t="s">
        <v>33</v>
      </c>
    </row>
    <row r="504" spans="1:14" ht="15.75" customHeight="1" x14ac:dyDescent="0.2">
      <c r="A504" s="7" t="s">
        <v>770</v>
      </c>
      <c r="B504" s="269" t="s">
        <v>771</v>
      </c>
      <c r="C504" s="7">
        <v>14</v>
      </c>
      <c r="D504" s="7" t="s">
        <v>21</v>
      </c>
      <c r="E504" s="7" t="s">
        <v>172</v>
      </c>
      <c r="F504" s="7" t="s">
        <v>25</v>
      </c>
      <c r="G504" s="7" t="s">
        <v>188</v>
      </c>
      <c r="H504" s="7" t="s">
        <v>23</v>
      </c>
      <c r="J504" s="7" t="s">
        <v>48</v>
      </c>
      <c r="K504" s="7" t="s">
        <v>772</v>
      </c>
      <c r="M504" s="7" t="s">
        <v>28</v>
      </c>
      <c r="N504" s="7" t="s">
        <v>33</v>
      </c>
    </row>
    <row r="505" spans="1:14" ht="15.75" customHeight="1" x14ac:dyDescent="0.2">
      <c r="A505" s="7" t="s">
        <v>773</v>
      </c>
      <c r="B505" s="269" t="s">
        <v>774</v>
      </c>
      <c r="C505" s="7">
        <v>14</v>
      </c>
      <c r="D505" s="7" t="s">
        <v>21</v>
      </c>
      <c r="E505" s="7" t="s">
        <v>172</v>
      </c>
      <c r="F505" s="7" t="s">
        <v>25</v>
      </c>
      <c r="G505" s="7" t="s">
        <v>197</v>
      </c>
      <c r="H505" s="7" t="s">
        <v>23</v>
      </c>
      <c r="J505" s="7" t="s">
        <v>48</v>
      </c>
      <c r="K505" s="7" t="s">
        <v>703</v>
      </c>
      <c r="M505" s="7" t="s">
        <v>28</v>
      </c>
      <c r="N505" s="7" t="s">
        <v>33</v>
      </c>
    </row>
    <row r="506" spans="1:14" ht="15.75" customHeight="1" x14ac:dyDescent="0.2">
      <c r="A506" s="7" t="s">
        <v>775</v>
      </c>
      <c r="B506" s="269" t="s">
        <v>776</v>
      </c>
      <c r="C506" s="7">
        <v>16</v>
      </c>
      <c r="D506" s="7" t="s">
        <v>21</v>
      </c>
      <c r="E506" s="7" t="s">
        <v>172</v>
      </c>
      <c r="F506" s="7" t="s">
        <v>25</v>
      </c>
      <c r="G506" s="7" t="s">
        <v>197</v>
      </c>
      <c r="H506" s="7" t="s">
        <v>23</v>
      </c>
      <c r="J506" s="7" t="s">
        <v>48</v>
      </c>
      <c r="M506" s="7" t="s">
        <v>37</v>
      </c>
      <c r="N506" s="7" t="s">
        <v>33</v>
      </c>
    </row>
    <row r="507" spans="1:14" ht="15.75" customHeight="1" x14ac:dyDescent="0.2">
      <c r="A507" s="7" t="s">
        <v>777</v>
      </c>
      <c r="B507" s="269" t="s">
        <v>778</v>
      </c>
      <c r="C507" s="7">
        <v>16</v>
      </c>
      <c r="D507" s="7" t="s">
        <v>21</v>
      </c>
      <c r="E507" s="7" t="s">
        <v>172</v>
      </c>
      <c r="F507" s="7" t="s">
        <v>25</v>
      </c>
      <c r="G507" s="7" t="s">
        <v>197</v>
      </c>
      <c r="H507" s="7" t="s">
        <v>23</v>
      </c>
      <c r="J507" s="7" t="s">
        <v>48</v>
      </c>
      <c r="M507" s="7" t="s">
        <v>37</v>
      </c>
      <c r="N507" s="7" t="s">
        <v>33</v>
      </c>
    </row>
    <row r="508" spans="1:14" ht="15.75" customHeight="1" x14ac:dyDescent="0.2">
      <c r="A508" s="7" t="s">
        <v>779</v>
      </c>
      <c r="B508" s="269" t="s">
        <v>780</v>
      </c>
      <c r="C508" s="7">
        <v>14</v>
      </c>
      <c r="D508" s="7" t="s">
        <v>21</v>
      </c>
      <c r="E508" s="7" t="s">
        <v>172</v>
      </c>
      <c r="F508" s="7" t="s">
        <v>25</v>
      </c>
      <c r="G508" s="7" t="s">
        <v>173</v>
      </c>
      <c r="H508" s="7" t="s">
        <v>23</v>
      </c>
      <c r="J508" s="7" t="s">
        <v>48</v>
      </c>
      <c r="K508" s="7" t="s">
        <v>703</v>
      </c>
      <c r="M508" s="7" t="s">
        <v>28</v>
      </c>
      <c r="N508" s="7" t="s">
        <v>33</v>
      </c>
    </row>
    <row r="509" spans="1:14" ht="15.75" customHeight="1" x14ac:dyDescent="0.2">
      <c r="A509" s="7" t="s">
        <v>781</v>
      </c>
      <c r="B509" s="269" t="s">
        <v>782</v>
      </c>
      <c r="C509" s="7">
        <v>14</v>
      </c>
      <c r="D509" s="7" t="s">
        <v>21</v>
      </c>
      <c r="E509" s="7" t="s">
        <v>172</v>
      </c>
      <c r="F509" s="7" t="s">
        <v>25</v>
      </c>
      <c r="G509" s="7" t="s">
        <v>173</v>
      </c>
      <c r="H509" s="7" t="s">
        <v>23</v>
      </c>
      <c r="J509" s="7" t="s">
        <v>48</v>
      </c>
      <c r="K509" s="7" t="s">
        <v>703</v>
      </c>
      <c r="M509" s="7" t="s">
        <v>37</v>
      </c>
      <c r="N509" s="7" t="s">
        <v>33</v>
      </c>
    </row>
    <row r="510" spans="1:14" ht="15.75" customHeight="1" x14ac:dyDescent="0.2">
      <c r="A510" s="7" t="s">
        <v>783</v>
      </c>
      <c r="B510" s="269" t="s">
        <v>784</v>
      </c>
      <c r="C510" s="7">
        <v>14</v>
      </c>
      <c r="D510" s="7" t="s">
        <v>21</v>
      </c>
      <c r="E510" s="7" t="s">
        <v>172</v>
      </c>
      <c r="F510" s="7" t="s">
        <v>25</v>
      </c>
      <c r="G510" s="7" t="s">
        <v>188</v>
      </c>
      <c r="H510" s="7" t="s">
        <v>23</v>
      </c>
      <c r="J510" s="7" t="s">
        <v>48</v>
      </c>
      <c r="K510" s="7" t="s">
        <v>703</v>
      </c>
      <c r="M510" s="7" t="s">
        <v>37</v>
      </c>
      <c r="N510" s="7" t="s">
        <v>33</v>
      </c>
    </row>
    <row r="511" spans="1:14" ht="15.75" customHeight="1" x14ac:dyDescent="0.2">
      <c r="A511" s="7" t="s">
        <v>785</v>
      </c>
      <c r="B511" s="269" t="s">
        <v>786</v>
      </c>
      <c r="C511" s="7">
        <v>16</v>
      </c>
      <c r="D511" s="7" t="s">
        <v>21</v>
      </c>
      <c r="E511" s="7" t="s">
        <v>172</v>
      </c>
      <c r="F511" s="7" t="s">
        <v>25</v>
      </c>
      <c r="G511" s="7" t="s">
        <v>787</v>
      </c>
      <c r="H511" s="7" t="s">
        <v>23</v>
      </c>
      <c r="J511" s="7" t="s">
        <v>48</v>
      </c>
      <c r="K511" s="7" t="s">
        <v>703</v>
      </c>
      <c r="M511" s="7" t="s">
        <v>37</v>
      </c>
      <c r="N511" s="7" t="s">
        <v>33</v>
      </c>
    </row>
    <row r="512" spans="1:14" ht="15.75" customHeight="1" x14ac:dyDescent="0.2">
      <c r="A512" s="7" t="s">
        <v>788</v>
      </c>
      <c r="B512" s="269" t="s">
        <v>789</v>
      </c>
      <c r="C512" s="7">
        <v>16</v>
      </c>
      <c r="D512" s="7" t="s">
        <v>21</v>
      </c>
      <c r="E512" s="7" t="s">
        <v>172</v>
      </c>
      <c r="F512" s="7" t="s">
        <v>25</v>
      </c>
      <c r="G512" s="7" t="s">
        <v>787</v>
      </c>
      <c r="H512" s="7" t="s">
        <v>23</v>
      </c>
      <c r="J512" s="7" t="s">
        <v>48</v>
      </c>
      <c r="K512" s="7" t="s">
        <v>703</v>
      </c>
      <c r="M512" s="7" t="s">
        <v>37</v>
      </c>
      <c r="N512" s="7" t="s">
        <v>33</v>
      </c>
    </row>
    <row r="513" spans="1:14" ht="15.75" customHeight="1" x14ac:dyDescent="0.2">
      <c r="A513" s="7" t="s">
        <v>790</v>
      </c>
      <c r="B513" s="269" t="s">
        <v>791</v>
      </c>
      <c r="C513" s="7">
        <v>16</v>
      </c>
      <c r="D513" s="7" t="s">
        <v>21</v>
      </c>
      <c r="E513" s="7" t="s">
        <v>172</v>
      </c>
      <c r="F513" s="7" t="s">
        <v>25</v>
      </c>
      <c r="G513" s="7" t="s">
        <v>787</v>
      </c>
      <c r="H513" s="7" t="s">
        <v>23</v>
      </c>
      <c r="J513" s="7" t="s">
        <v>48</v>
      </c>
      <c r="K513" s="7" t="s">
        <v>703</v>
      </c>
      <c r="M513" s="7" t="s">
        <v>37</v>
      </c>
      <c r="N513" s="7" t="s">
        <v>33</v>
      </c>
    </row>
    <row r="514" spans="1:14" ht="15.75" customHeight="1" x14ac:dyDescent="0.2">
      <c r="A514" s="7" t="s">
        <v>792</v>
      </c>
      <c r="B514" s="269" t="s">
        <v>793</v>
      </c>
      <c r="C514" s="7">
        <v>16</v>
      </c>
      <c r="D514" s="7" t="s">
        <v>21</v>
      </c>
      <c r="E514" s="7" t="s">
        <v>172</v>
      </c>
      <c r="F514" s="7" t="s">
        <v>25</v>
      </c>
      <c r="G514" s="7" t="s">
        <v>787</v>
      </c>
      <c r="H514" s="7" t="s">
        <v>23</v>
      </c>
      <c r="J514" s="7" t="s">
        <v>48</v>
      </c>
      <c r="K514" s="7" t="s">
        <v>703</v>
      </c>
      <c r="M514" s="7" t="s">
        <v>37</v>
      </c>
      <c r="N514" s="7" t="s">
        <v>33</v>
      </c>
    </row>
    <row r="515" spans="1:14" ht="15.75" customHeight="1" x14ac:dyDescent="0.2">
      <c r="A515" s="7" t="s">
        <v>794</v>
      </c>
      <c r="B515" s="269" t="s">
        <v>795</v>
      </c>
      <c r="C515" s="7">
        <v>16</v>
      </c>
      <c r="D515" s="7" t="s">
        <v>21</v>
      </c>
      <c r="E515" s="7" t="s">
        <v>172</v>
      </c>
      <c r="F515" s="7" t="s">
        <v>25</v>
      </c>
      <c r="G515" s="7" t="s">
        <v>787</v>
      </c>
      <c r="H515" s="7" t="s">
        <v>23</v>
      </c>
      <c r="J515" s="7" t="s">
        <v>48</v>
      </c>
      <c r="K515" s="7" t="s">
        <v>796</v>
      </c>
      <c r="M515" s="7" t="s">
        <v>37</v>
      </c>
      <c r="N515" s="7" t="s">
        <v>33</v>
      </c>
    </row>
    <row r="516" spans="1:14" ht="15.75" customHeight="1" x14ac:dyDescent="0.2">
      <c r="A516" s="7" t="s">
        <v>797</v>
      </c>
      <c r="B516" s="269" t="s">
        <v>798</v>
      </c>
      <c r="C516" s="7">
        <v>16</v>
      </c>
      <c r="D516" s="7" t="s">
        <v>21</v>
      </c>
      <c r="E516" s="7" t="s">
        <v>172</v>
      </c>
      <c r="F516" s="7" t="s">
        <v>25</v>
      </c>
      <c r="G516" s="7" t="s">
        <v>188</v>
      </c>
      <c r="H516" s="7" t="s">
        <v>23</v>
      </c>
      <c r="J516" s="7" t="s">
        <v>48</v>
      </c>
      <c r="K516" s="7" t="s">
        <v>703</v>
      </c>
      <c r="M516" s="7" t="s">
        <v>28</v>
      </c>
      <c r="N516" s="7" t="s">
        <v>33</v>
      </c>
    </row>
    <row r="517" spans="1:14" ht="15.75" customHeight="1" x14ac:dyDescent="0.2">
      <c r="A517" s="7" t="s">
        <v>799</v>
      </c>
      <c r="B517" s="269" t="s">
        <v>800</v>
      </c>
      <c r="C517" s="7">
        <v>16</v>
      </c>
      <c r="D517" s="7" t="s">
        <v>21</v>
      </c>
      <c r="E517" s="7" t="s">
        <v>172</v>
      </c>
      <c r="F517" s="7" t="s">
        <v>25</v>
      </c>
      <c r="G517" s="7" t="s">
        <v>188</v>
      </c>
      <c r="H517" s="7" t="s">
        <v>23</v>
      </c>
      <c r="J517" s="7" t="s">
        <v>48</v>
      </c>
      <c r="K517" s="7" t="s">
        <v>703</v>
      </c>
      <c r="M517" s="7" t="s">
        <v>28</v>
      </c>
      <c r="N517" s="7" t="s">
        <v>33</v>
      </c>
    </row>
    <row r="518" spans="1:14" ht="15.75" customHeight="1" x14ac:dyDescent="0.2">
      <c r="A518" s="7" t="s">
        <v>801</v>
      </c>
      <c r="B518" s="269" t="s">
        <v>802</v>
      </c>
      <c r="C518" s="7">
        <v>16</v>
      </c>
      <c r="D518" s="7" t="s">
        <v>21</v>
      </c>
      <c r="E518" s="7" t="s">
        <v>172</v>
      </c>
      <c r="F518" s="7" t="s">
        <v>25</v>
      </c>
      <c r="G518" s="7" t="s">
        <v>188</v>
      </c>
      <c r="H518" s="7" t="s">
        <v>23</v>
      </c>
      <c r="J518" s="7" t="s">
        <v>48</v>
      </c>
      <c r="K518" s="7" t="s">
        <v>703</v>
      </c>
      <c r="M518" s="7" t="s">
        <v>28</v>
      </c>
      <c r="N518" s="7" t="s">
        <v>33</v>
      </c>
    </row>
    <row r="519" spans="1:14" ht="15.75" customHeight="1" x14ac:dyDescent="0.2">
      <c r="A519" s="7" t="s">
        <v>803</v>
      </c>
      <c r="B519" s="269" t="s">
        <v>804</v>
      </c>
      <c r="C519" s="7">
        <v>16</v>
      </c>
      <c r="D519" s="7" t="s">
        <v>21</v>
      </c>
      <c r="E519" s="7" t="s">
        <v>172</v>
      </c>
      <c r="F519" s="7" t="s">
        <v>25</v>
      </c>
      <c r="G519" s="7" t="s">
        <v>188</v>
      </c>
      <c r="H519" s="7" t="s">
        <v>23</v>
      </c>
      <c r="J519" s="7" t="s">
        <v>48</v>
      </c>
      <c r="K519" s="7" t="s">
        <v>703</v>
      </c>
      <c r="M519" s="7" t="s">
        <v>28</v>
      </c>
      <c r="N519" s="7" t="s">
        <v>33</v>
      </c>
    </row>
    <row r="520" spans="1:14" ht="15.75" customHeight="1" x14ac:dyDescent="0.2">
      <c r="A520" s="7" t="s">
        <v>805</v>
      </c>
      <c r="B520" s="269" t="s">
        <v>806</v>
      </c>
      <c r="C520" s="7">
        <v>16</v>
      </c>
      <c r="D520" s="7" t="s">
        <v>21</v>
      </c>
      <c r="E520" s="7" t="s">
        <v>172</v>
      </c>
      <c r="F520" s="7" t="s">
        <v>25</v>
      </c>
      <c r="G520" s="7" t="s">
        <v>188</v>
      </c>
      <c r="H520" s="7" t="s">
        <v>23</v>
      </c>
      <c r="J520" s="7" t="s">
        <v>48</v>
      </c>
      <c r="K520" s="7" t="s">
        <v>703</v>
      </c>
      <c r="M520" s="7" t="s">
        <v>28</v>
      </c>
      <c r="N520" s="7" t="s">
        <v>33</v>
      </c>
    </row>
    <row r="521" spans="1:14" ht="15.75" customHeight="1" x14ac:dyDescent="0.2">
      <c r="A521" s="7" t="s">
        <v>807</v>
      </c>
      <c r="B521" s="7" t="s">
        <v>808</v>
      </c>
      <c r="C521" s="7">
        <v>14</v>
      </c>
      <c r="D521" s="7" t="s">
        <v>21</v>
      </c>
      <c r="E521" s="7" t="s">
        <v>172</v>
      </c>
      <c r="F521" s="7" t="s">
        <v>25</v>
      </c>
      <c r="G521" s="7" t="s">
        <v>173</v>
      </c>
      <c r="H521" s="7" t="s">
        <v>23</v>
      </c>
      <c r="J521" s="7" t="s">
        <v>48</v>
      </c>
      <c r="K521" s="7" t="s">
        <v>703</v>
      </c>
      <c r="M521" s="7" t="s">
        <v>28</v>
      </c>
      <c r="N521" s="7" t="s">
        <v>33</v>
      </c>
    </row>
    <row r="522" spans="1:14" ht="15.75" customHeight="1" x14ac:dyDescent="0.2">
      <c r="A522" s="7" t="s">
        <v>809</v>
      </c>
      <c r="B522" s="269" t="s">
        <v>810</v>
      </c>
      <c r="C522" s="7">
        <v>14</v>
      </c>
      <c r="D522" s="7" t="s">
        <v>21</v>
      </c>
      <c r="E522" s="7" t="s">
        <v>172</v>
      </c>
      <c r="F522" s="7" t="s">
        <v>25</v>
      </c>
      <c r="G522" s="7" t="s">
        <v>188</v>
      </c>
      <c r="H522" s="7" t="s">
        <v>23</v>
      </c>
      <c r="J522" s="7" t="s">
        <v>48</v>
      </c>
      <c r="K522" s="7" t="s">
        <v>703</v>
      </c>
      <c r="M522" s="7" t="s">
        <v>28</v>
      </c>
      <c r="N522" s="7" t="s">
        <v>33</v>
      </c>
    </row>
    <row r="523" spans="1:14" ht="15.75" customHeight="1" x14ac:dyDescent="0.2">
      <c r="A523" s="7" t="s">
        <v>811</v>
      </c>
      <c r="B523" s="269" t="s">
        <v>812</v>
      </c>
      <c r="C523" s="7">
        <v>14</v>
      </c>
      <c r="D523" s="7" t="s">
        <v>21</v>
      </c>
      <c r="E523" s="7" t="s">
        <v>172</v>
      </c>
      <c r="F523" s="7" t="s">
        <v>25</v>
      </c>
      <c r="G523" s="7" t="s">
        <v>173</v>
      </c>
      <c r="H523" s="7" t="s">
        <v>23</v>
      </c>
      <c r="J523" s="7" t="s">
        <v>48</v>
      </c>
      <c r="K523" s="7" t="s">
        <v>703</v>
      </c>
      <c r="M523" s="7" t="s">
        <v>28</v>
      </c>
      <c r="N523" s="7" t="s">
        <v>33</v>
      </c>
    </row>
    <row r="524" spans="1:14" ht="15.75" customHeight="1" x14ac:dyDescent="0.2">
      <c r="A524" s="7" t="s">
        <v>813</v>
      </c>
      <c r="B524" s="269" t="s">
        <v>814</v>
      </c>
      <c r="C524" s="7">
        <v>14</v>
      </c>
      <c r="D524" s="7" t="s">
        <v>21</v>
      </c>
      <c r="E524" s="7" t="s">
        <v>172</v>
      </c>
      <c r="F524" s="7" t="s">
        <v>25</v>
      </c>
      <c r="G524" s="7" t="s">
        <v>188</v>
      </c>
      <c r="H524" s="7" t="s">
        <v>23</v>
      </c>
      <c r="J524" s="7" t="s">
        <v>48</v>
      </c>
      <c r="K524" s="7" t="s">
        <v>703</v>
      </c>
      <c r="M524" s="7" t="s">
        <v>28</v>
      </c>
      <c r="N524" s="7" t="s">
        <v>33</v>
      </c>
    </row>
    <row r="525" spans="1:14" ht="15.75" customHeight="1" x14ac:dyDescent="0.2">
      <c r="A525" s="7" t="s">
        <v>815</v>
      </c>
      <c r="B525" s="269" t="s">
        <v>816</v>
      </c>
      <c r="C525" s="7">
        <v>14</v>
      </c>
      <c r="D525" s="7" t="s">
        <v>21</v>
      </c>
      <c r="E525" s="7" t="s">
        <v>172</v>
      </c>
      <c r="F525" s="7" t="s">
        <v>25</v>
      </c>
      <c r="G525" s="7" t="s">
        <v>188</v>
      </c>
      <c r="H525" s="7" t="s">
        <v>23</v>
      </c>
      <c r="J525" s="7" t="s">
        <v>48</v>
      </c>
      <c r="K525" s="7" t="s">
        <v>703</v>
      </c>
      <c r="M525" s="7" t="s">
        <v>28</v>
      </c>
      <c r="N525" s="7" t="s">
        <v>33</v>
      </c>
    </row>
    <row r="526" spans="1:14" ht="15.75" customHeight="1" x14ac:dyDescent="0.2">
      <c r="A526" s="7" t="s">
        <v>817</v>
      </c>
      <c r="B526" s="269" t="s">
        <v>818</v>
      </c>
      <c r="C526" s="7">
        <v>14</v>
      </c>
      <c r="D526" s="7" t="s">
        <v>21</v>
      </c>
      <c r="E526" s="7" t="s">
        <v>172</v>
      </c>
      <c r="F526" s="7" t="s">
        <v>25</v>
      </c>
      <c r="G526" s="7" t="s">
        <v>489</v>
      </c>
      <c r="H526" s="7" t="s">
        <v>23</v>
      </c>
      <c r="J526" s="7" t="s">
        <v>48</v>
      </c>
      <c r="K526" s="7" t="s">
        <v>703</v>
      </c>
      <c r="M526" s="7" t="s">
        <v>28</v>
      </c>
      <c r="N526" s="7" t="s">
        <v>33</v>
      </c>
    </row>
    <row r="527" spans="1:14" ht="15.75" customHeight="1" x14ac:dyDescent="0.2">
      <c r="A527" s="7" t="s">
        <v>819</v>
      </c>
      <c r="B527" s="269" t="s">
        <v>820</v>
      </c>
      <c r="C527" s="7">
        <v>14</v>
      </c>
      <c r="D527" s="7" t="s">
        <v>21</v>
      </c>
      <c r="E527" s="7" t="s">
        <v>172</v>
      </c>
      <c r="F527" s="7" t="s">
        <v>25</v>
      </c>
      <c r="G527" s="7" t="s">
        <v>489</v>
      </c>
      <c r="H527" s="7" t="s">
        <v>23</v>
      </c>
      <c r="J527" s="7" t="s">
        <v>48</v>
      </c>
      <c r="K527" s="7" t="s">
        <v>703</v>
      </c>
      <c r="M527" s="7" t="s">
        <v>28</v>
      </c>
      <c r="N527" s="7" t="s">
        <v>33</v>
      </c>
    </row>
    <row r="528" spans="1:14" ht="15.75" customHeight="1" x14ac:dyDescent="0.2">
      <c r="A528" s="7" t="s">
        <v>821</v>
      </c>
      <c r="B528" s="269" t="s">
        <v>822</v>
      </c>
      <c r="C528" s="7">
        <v>14</v>
      </c>
      <c r="D528" s="7" t="s">
        <v>21</v>
      </c>
      <c r="E528" s="7" t="s">
        <v>172</v>
      </c>
      <c r="F528" s="7" t="s">
        <v>25</v>
      </c>
      <c r="G528" s="7" t="s">
        <v>489</v>
      </c>
      <c r="H528" s="7" t="s">
        <v>23</v>
      </c>
      <c r="J528" s="7" t="s">
        <v>48</v>
      </c>
      <c r="K528" s="7" t="s">
        <v>703</v>
      </c>
      <c r="M528" s="7" t="s">
        <v>28</v>
      </c>
      <c r="N528" s="7" t="s">
        <v>33</v>
      </c>
    </row>
    <row r="529" spans="1:14" ht="15.75" customHeight="1" x14ac:dyDescent="0.2">
      <c r="A529" s="7">
        <v>332</v>
      </c>
      <c r="B529" s="7" t="s">
        <v>823</v>
      </c>
      <c r="C529" s="7">
        <v>16</v>
      </c>
      <c r="D529" s="7" t="s">
        <v>21</v>
      </c>
      <c r="E529" s="7" t="s">
        <v>172</v>
      </c>
      <c r="F529" s="7" t="s">
        <v>25</v>
      </c>
      <c r="G529" s="7" t="s">
        <v>188</v>
      </c>
      <c r="H529" s="7" t="s">
        <v>23</v>
      </c>
      <c r="J529" s="7" t="s">
        <v>48</v>
      </c>
      <c r="K529" s="7" t="s">
        <v>703</v>
      </c>
      <c r="M529" s="7" t="s">
        <v>28</v>
      </c>
      <c r="N529" s="7" t="s">
        <v>33</v>
      </c>
    </row>
    <row r="530" spans="1:14" ht="15.75" customHeight="1" x14ac:dyDescent="0.2">
      <c r="A530" s="7" t="s">
        <v>824</v>
      </c>
      <c r="B530" s="269" t="s">
        <v>825</v>
      </c>
      <c r="C530" s="7">
        <v>14</v>
      </c>
      <c r="D530" s="7" t="s">
        <v>21</v>
      </c>
      <c r="E530" s="7" t="s">
        <v>172</v>
      </c>
      <c r="F530" s="7" t="s">
        <v>25</v>
      </c>
      <c r="G530" s="7" t="s">
        <v>489</v>
      </c>
      <c r="H530" s="7" t="s">
        <v>23</v>
      </c>
      <c r="J530" s="7" t="s">
        <v>48</v>
      </c>
      <c r="K530" s="7" t="s">
        <v>703</v>
      </c>
      <c r="M530" s="7" t="s">
        <v>28</v>
      </c>
      <c r="N530" s="7" t="s">
        <v>33</v>
      </c>
    </row>
    <row r="531" spans="1:14" ht="15.75" customHeight="1" x14ac:dyDescent="0.2">
      <c r="A531" s="7" t="s">
        <v>826</v>
      </c>
      <c r="B531" s="269" t="s">
        <v>827</v>
      </c>
      <c r="C531" s="7">
        <v>14</v>
      </c>
      <c r="D531" s="7" t="s">
        <v>21</v>
      </c>
      <c r="E531" s="7" t="s">
        <v>172</v>
      </c>
      <c r="F531" s="7" t="s">
        <v>25</v>
      </c>
      <c r="G531" s="7" t="s">
        <v>489</v>
      </c>
      <c r="H531" s="7" t="s">
        <v>23</v>
      </c>
      <c r="J531" s="7" t="s">
        <v>48</v>
      </c>
      <c r="K531" s="7" t="s">
        <v>703</v>
      </c>
      <c r="M531" s="7" t="s">
        <v>28</v>
      </c>
      <c r="N531" s="7" t="s">
        <v>33</v>
      </c>
    </row>
    <row r="532" spans="1:14" ht="15.75" customHeight="1" x14ac:dyDescent="0.2">
      <c r="A532" s="7" t="s">
        <v>828</v>
      </c>
      <c r="B532" s="7" t="s">
        <v>829</v>
      </c>
      <c r="C532" s="7">
        <v>14</v>
      </c>
      <c r="D532" s="7" t="s">
        <v>21</v>
      </c>
      <c r="E532" s="7" t="s">
        <v>172</v>
      </c>
      <c r="F532" s="7" t="s">
        <v>25</v>
      </c>
      <c r="G532" s="7" t="s">
        <v>188</v>
      </c>
      <c r="H532" s="7" t="s">
        <v>23</v>
      </c>
      <c r="J532" s="7" t="s">
        <v>48</v>
      </c>
      <c r="K532" s="7" t="s">
        <v>703</v>
      </c>
      <c r="M532" s="7" t="s">
        <v>28</v>
      </c>
      <c r="N532" s="7" t="s">
        <v>33</v>
      </c>
    </row>
    <row r="533" spans="1:14" ht="15.75" customHeight="1" x14ac:dyDescent="0.2">
      <c r="A533" s="7" t="s">
        <v>830</v>
      </c>
      <c r="B533" s="269" t="s">
        <v>831</v>
      </c>
      <c r="C533" s="7">
        <v>14</v>
      </c>
      <c r="D533" s="7" t="s">
        <v>21</v>
      </c>
      <c r="E533" s="7" t="s">
        <v>172</v>
      </c>
      <c r="F533" s="7" t="s">
        <v>25</v>
      </c>
      <c r="G533" s="7" t="s">
        <v>188</v>
      </c>
      <c r="H533" s="7" t="s">
        <v>23</v>
      </c>
      <c r="J533" s="7" t="s">
        <v>48</v>
      </c>
      <c r="K533" s="7" t="s">
        <v>832</v>
      </c>
      <c r="M533" s="7" t="s">
        <v>28</v>
      </c>
      <c r="N533" s="7" t="s">
        <v>33</v>
      </c>
    </row>
    <row r="534" spans="1:14" ht="15.75" customHeight="1" x14ac:dyDescent="0.2">
      <c r="A534" s="7" t="s">
        <v>833</v>
      </c>
      <c r="B534" s="269" t="s">
        <v>834</v>
      </c>
      <c r="C534" s="7">
        <v>14</v>
      </c>
      <c r="D534" s="7" t="s">
        <v>21</v>
      </c>
      <c r="E534" s="7" t="s">
        <v>172</v>
      </c>
      <c r="F534" s="7" t="s">
        <v>25</v>
      </c>
      <c r="G534" s="7" t="s">
        <v>188</v>
      </c>
      <c r="H534" s="7" t="s">
        <v>23</v>
      </c>
      <c r="J534" s="7" t="s">
        <v>48</v>
      </c>
      <c r="K534" s="7" t="s">
        <v>703</v>
      </c>
      <c r="M534" s="7" t="s">
        <v>28</v>
      </c>
      <c r="N534" s="7" t="s">
        <v>33</v>
      </c>
    </row>
    <row r="535" spans="1:14" ht="15.75" customHeight="1" x14ac:dyDescent="0.2">
      <c r="A535" s="7" t="s">
        <v>835</v>
      </c>
      <c r="B535" s="269" t="s">
        <v>836</v>
      </c>
      <c r="C535" s="7">
        <v>14</v>
      </c>
      <c r="D535" s="7" t="s">
        <v>21</v>
      </c>
      <c r="E535" s="7" t="s">
        <v>172</v>
      </c>
      <c r="F535" s="7" t="s">
        <v>25</v>
      </c>
      <c r="G535" s="7" t="s">
        <v>188</v>
      </c>
      <c r="H535" s="7" t="s">
        <v>23</v>
      </c>
      <c r="J535" s="7" t="s">
        <v>48</v>
      </c>
      <c r="K535" s="7" t="s">
        <v>703</v>
      </c>
      <c r="M535" s="7" t="s">
        <v>28</v>
      </c>
      <c r="N535" s="7" t="s">
        <v>33</v>
      </c>
    </row>
    <row r="536" spans="1:14" ht="15.75" customHeight="1" x14ac:dyDescent="0.2">
      <c r="A536" s="7" t="s">
        <v>837</v>
      </c>
      <c r="B536" s="269" t="s">
        <v>838</v>
      </c>
      <c r="C536" s="7">
        <v>14</v>
      </c>
      <c r="D536" s="7" t="s">
        <v>21</v>
      </c>
      <c r="E536" s="7" t="s">
        <v>172</v>
      </c>
      <c r="F536" s="7" t="s">
        <v>25</v>
      </c>
      <c r="G536" s="7" t="s">
        <v>839</v>
      </c>
      <c r="H536" s="7" t="s">
        <v>23</v>
      </c>
      <c r="J536" s="7" t="s">
        <v>48</v>
      </c>
      <c r="K536" s="7" t="s">
        <v>840</v>
      </c>
      <c r="M536" s="7" t="s">
        <v>28</v>
      </c>
      <c r="N536" s="7" t="s">
        <v>33</v>
      </c>
    </row>
    <row r="537" spans="1:14" ht="15.75" customHeight="1" x14ac:dyDescent="0.2">
      <c r="A537" s="7" t="s">
        <v>841</v>
      </c>
      <c r="B537" s="269" t="s">
        <v>842</v>
      </c>
      <c r="C537" s="7">
        <v>14</v>
      </c>
      <c r="D537" s="7" t="s">
        <v>21</v>
      </c>
      <c r="E537" s="7" t="s">
        <v>172</v>
      </c>
      <c r="F537" s="7" t="s">
        <v>25</v>
      </c>
      <c r="G537" s="7" t="s">
        <v>839</v>
      </c>
      <c r="H537" s="7" t="s">
        <v>23</v>
      </c>
      <c r="J537" s="7" t="s">
        <v>48</v>
      </c>
      <c r="K537" s="7" t="s">
        <v>703</v>
      </c>
      <c r="M537" s="7" t="s">
        <v>28</v>
      </c>
      <c r="N537" s="7" t="s">
        <v>33</v>
      </c>
    </row>
    <row r="538" spans="1:14" ht="15.75" customHeight="1" x14ac:dyDescent="0.2">
      <c r="A538" s="7" t="s">
        <v>843</v>
      </c>
      <c r="B538" s="269" t="s">
        <v>844</v>
      </c>
      <c r="C538" s="7">
        <v>14</v>
      </c>
      <c r="D538" s="7" t="s">
        <v>21</v>
      </c>
      <c r="E538" s="7" t="s">
        <v>172</v>
      </c>
      <c r="F538" s="7" t="s">
        <v>25</v>
      </c>
      <c r="G538" s="7" t="s">
        <v>197</v>
      </c>
      <c r="H538" s="7" t="s">
        <v>23</v>
      </c>
      <c r="J538" s="7" t="s">
        <v>48</v>
      </c>
      <c r="K538" s="7" t="s">
        <v>703</v>
      </c>
      <c r="M538" s="7" t="s">
        <v>28</v>
      </c>
      <c r="N538" s="7" t="s">
        <v>33</v>
      </c>
    </row>
    <row r="539" spans="1:14" ht="15.75" customHeight="1" x14ac:dyDescent="0.2">
      <c r="A539" s="7" t="s">
        <v>845</v>
      </c>
      <c r="B539" s="269" t="s">
        <v>846</v>
      </c>
      <c r="C539" s="7">
        <v>14</v>
      </c>
      <c r="D539" s="7" t="s">
        <v>21</v>
      </c>
      <c r="E539" s="7" t="s">
        <v>172</v>
      </c>
      <c r="F539" s="7" t="s">
        <v>25</v>
      </c>
      <c r="G539" s="7" t="s">
        <v>197</v>
      </c>
      <c r="H539" s="7" t="s">
        <v>23</v>
      </c>
      <c r="J539" s="7" t="s">
        <v>48</v>
      </c>
      <c r="K539" s="7" t="s">
        <v>703</v>
      </c>
      <c r="M539" s="7" t="s">
        <v>28</v>
      </c>
      <c r="N539" s="7" t="s">
        <v>33</v>
      </c>
    </row>
    <row r="540" spans="1:14" ht="15.75" customHeight="1" x14ac:dyDescent="0.2">
      <c r="A540" s="7" t="s">
        <v>847</v>
      </c>
    </row>
    <row r="541" spans="1:14" ht="15.75" customHeight="1" x14ac:dyDescent="0.2">
      <c r="A541" s="7" t="s">
        <v>848</v>
      </c>
    </row>
    <row r="542" spans="1:14" ht="15.75" customHeight="1" x14ac:dyDescent="0.2">
      <c r="A542" s="7" t="s">
        <v>849</v>
      </c>
    </row>
    <row r="543" spans="1:14" ht="15.75" customHeight="1" x14ac:dyDescent="0.2">
      <c r="A543" s="7" t="s">
        <v>850</v>
      </c>
    </row>
    <row r="544" spans="1:14" ht="15.75" customHeight="1" x14ac:dyDescent="0.2">
      <c r="A544" s="7" t="s">
        <v>851</v>
      </c>
    </row>
    <row r="545" spans="1:14" ht="15.75" customHeight="1" x14ac:dyDescent="0.2">
      <c r="A545" s="7" t="s">
        <v>852</v>
      </c>
    </row>
    <row r="546" spans="1:14" ht="15.75" customHeight="1" x14ac:dyDescent="0.2">
      <c r="A546" s="7">
        <v>355</v>
      </c>
      <c r="B546" s="7" t="s">
        <v>853</v>
      </c>
      <c r="C546" s="7">
        <v>60</v>
      </c>
      <c r="D546" s="7" t="s">
        <v>21</v>
      </c>
      <c r="E546" s="7" t="s">
        <v>110</v>
      </c>
      <c r="G546" s="7" t="s">
        <v>251</v>
      </c>
      <c r="H546" s="7" t="s">
        <v>23</v>
      </c>
      <c r="M546" s="7" t="s">
        <v>28</v>
      </c>
      <c r="N546" s="7" t="s">
        <v>33</v>
      </c>
    </row>
    <row r="547" spans="1:14" ht="15.75" customHeight="1" x14ac:dyDescent="0.2">
      <c r="A547" s="7">
        <v>356</v>
      </c>
      <c r="B547" s="7" t="s">
        <v>854</v>
      </c>
      <c r="C547" s="7">
        <v>60</v>
      </c>
      <c r="D547" s="7" t="s">
        <v>21</v>
      </c>
      <c r="E547" s="7" t="s">
        <v>110</v>
      </c>
      <c r="G547" s="7" t="s">
        <v>251</v>
      </c>
      <c r="H547" s="7" t="s">
        <v>23</v>
      </c>
      <c r="M547" s="7" t="s">
        <v>28</v>
      </c>
      <c r="N547" s="7" t="s">
        <v>33</v>
      </c>
    </row>
    <row r="548" spans="1:14" ht="15.75" customHeight="1" x14ac:dyDescent="0.2">
      <c r="A548" s="7">
        <v>357</v>
      </c>
      <c r="B548" s="7" t="s">
        <v>855</v>
      </c>
      <c r="C548" s="7">
        <v>60</v>
      </c>
      <c r="D548" s="7" t="s">
        <v>21</v>
      </c>
      <c r="E548" s="7" t="s">
        <v>110</v>
      </c>
      <c r="G548" s="7" t="s">
        <v>111</v>
      </c>
      <c r="H548" s="7" t="s">
        <v>23</v>
      </c>
      <c r="M548" s="7" t="s">
        <v>28</v>
      </c>
      <c r="N548" s="7" t="s">
        <v>33</v>
      </c>
    </row>
    <row r="549" spans="1:14" ht="15.75" customHeight="1" x14ac:dyDescent="0.2">
      <c r="A549" s="7">
        <v>358</v>
      </c>
      <c r="B549" s="7" t="s">
        <v>856</v>
      </c>
      <c r="C549" s="7">
        <v>60</v>
      </c>
      <c r="D549" s="7" t="s">
        <v>21</v>
      </c>
      <c r="E549" s="7" t="s">
        <v>110</v>
      </c>
      <c r="G549" s="7" t="s">
        <v>111</v>
      </c>
      <c r="H549" s="7" t="s">
        <v>23</v>
      </c>
      <c r="M549" s="7" t="s">
        <v>37</v>
      </c>
      <c r="N549" s="7" t="s">
        <v>33</v>
      </c>
    </row>
    <row r="550" spans="1:14" ht="15.75" customHeight="1" x14ac:dyDescent="0.2">
      <c r="A550" s="7">
        <v>359</v>
      </c>
      <c r="B550" s="7" t="s">
        <v>857</v>
      </c>
      <c r="C550" s="7">
        <v>60</v>
      </c>
      <c r="D550" s="7" t="s">
        <v>21</v>
      </c>
      <c r="E550" s="7" t="s">
        <v>22</v>
      </c>
      <c r="G550" s="7" t="s">
        <v>111</v>
      </c>
      <c r="H550" s="7" t="s">
        <v>23</v>
      </c>
      <c r="M550" s="7" t="s">
        <v>28</v>
      </c>
      <c r="N550" s="7" t="s">
        <v>33</v>
      </c>
    </row>
    <row r="551" spans="1:14" ht="15.75" customHeight="1" x14ac:dyDescent="0.2">
      <c r="A551" s="7">
        <v>360</v>
      </c>
      <c r="B551" s="7" t="s">
        <v>858</v>
      </c>
      <c r="C551" s="7">
        <v>30</v>
      </c>
      <c r="D551" s="7" t="s">
        <v>21</v>
      </c>
      <c r="E551" s="7" t="s">
        <v>22</v>
      </c>
      <c r="G551" s="7" t="s">
        <v>22</v>
      </c>
      <c r="H551" s="7" t="s">
        <v>23</v>
      </c>
      <c r="M551" s="7" t="s">
        <v>37</v>
      </c>
      <c r="N551" s="7" t="s">
        <v>33</v>
      </c>
    </row>
    <row r="552" spans="1:14" ht="15.75" customHeight="1" x14ac:dyDescent="0.2">
      <c r="A552" s="7">
        <v>361</v>
      </c>
      <c r="B552" s="7" t="s">
        <v>858</v>
      </c>
      <c r="C552" s="7">
        <v>30</v>
      </c>
      <c r="D552" s="7" t="s">
        <v>21</v>
      </c>
      <c r="E552" s="7" t="s">
        <v>22</v>
      </c>
      <c r="G552" s="7" t="s">
        <v>22</v>
      </c>
      <c r="H552" s="7" t="s">
        <v>23</v>
      </c>
      <c r="M552" s="7" t="s">
        <v>37</v>
      </c>
      <c r="N552" s="7" t="s">
        <v>33</v>
      </c>
    </row>
    <row r="553" spans="1:14" ht="15.75" customHeight="1" x14ac:dyDescent="0.2">
      <c r="A553" s="7">
        <v>362</v>
      </c>
      <c r="B553" s="7" t="s">
        <v>859</v>
      </c>
      <c r="C553" s="7">
        <v>30</v>
      </c>
      <c r="D553" s="7" t="s">
        <v>21</v>
      </c>
      <c r="E553" s="7" t="s">
        <v>22</v>
      </c>
      <c r="G553" s="7" t="s">
        <v>22</v>
      </c>
      <c r="H553" s="7" t="s">
        <v>23</v>
      </c>
      <c r="M553" s="7" t="s">
        <v>37</v>
      </c>
      <c r="N553" s="7" t="s">
        <v>33</v>
      </c>
    </row>
    <row r="554" spans="1:14" ht="15.75" customHeight="1" x14ac:dyDescent="0.2">
      <c r="A554" s="7">
        <v>363</v>
      </c>
      <c r="B554" s="7" t="s">
        <v>860</v>
      </c>
      <c r="C554" s="7">
        <v>20</v>
      </c>
      <c r="D554" s="7" t="s">
        <v>21</v>
      </c>
      <c r="E554" s="7" t="s">
        <v>22</v>
      </c>
      <c r="G554" s="7" t="s">
        <v>22</v>
      </c>
      <c r="H554" s="7" t="s">
        <v>23</v>
      </c>
      <c r="M554" s="7" t="s">
        <v>37</v>
      </c>
      <c r="N554" s="7" t="s">
        <v>33</v>
      </c>
    </row>
    <row r="555" spans="1:14" ht="15.75" customHeight="1" x14ac:dyDescent="0.2">
      <c r="A555" s="7">
        <v>364</v>
      </c>
      <c r="B555" s="7" t="s">
        <v>861</v>
      </c>
      <c r="C555" s="7">
        <v>20</v>
      </c>
      <c r="D555" s="7" t="s">
        <v>21</v>
      </c>
      <c r="E555" s="7" t="s">
        <v>22</v>
      </c>
      <c r="G555" s="7" t="s">
        <v>22</v>
      </c>
      <c r="H555" s="7" t="s">
        <v>23</v>
      </c>
      <c r="M555" s="7" t="s">
        <v>37</v>
      </c>
      <c r="N555" s="7" t="s">
        <v>33</v>
      </c>
    </row>
    <row r="556" spans="1:14" ht="15.75" customHeight="1" x14ac:dyDescent="0.2">
      <c r="A556" s="7" t="s">
        <v>862</v>
      </c>
      <c r="B556" s="7" t="s">
        <v>863</v>
      </c>
      <c r="C556" s="7">
        <v>12</v>
      </c>
      <c r="D556" s="7" t="s">
        <v>21</v>
      </c>
      <c r="E556" s="7" t="s">
        <v>864</v>
      </c>
      <c r="G556" s="7" t="s">
        <v>864</v>
      </c>
      <c r="H556" s="7" t="s">
        <v>23</v>
      </c>
      <c r="M556" s="7" t="s">
        <v>37</v>
      </c>
      <c r="N556" s="7" t="s">
        <v>33</v>
      </c>
    </row>
    <row r="557" spans="1:14" ht="15.75" customHeight="1" x14ac:dyDescent="0.2">
      <c r="A557" s="7">
        <v>376</v>
      </c>
      <c r="B557" s="7" t="s">
        <v>863</v>
      </c>
      <c r="C557" s="7">
        <v>12</v>
      </c>
      <c r="D557" s="7" t="s">
        <v>21</v>
      </c>
      <c r="E557" s="7" t="s">
        <v>864</v>
      </c>
      <c r="G557" s="7" t="s">
        <v>864</v>
      </c>
      <c r="H557" s="7" t="s">
        <v>23</v>
      </c>
      <c r="J557" s="7" t="s">
        <v>48</v>
      </c>
      <c r="K557" s="7" t="s">
        <v>703</v>
      </c>
      <c r="M557" s="7" t="s">
        <v>28</v>
      </c>
      <c r="N557" s="7" t="s">
        <v>33</v>
      </c>
    </row>
    <row r="558" spans="1:14" ht="15.75" customHeight="1" x14ac:dyDescent="0.2">
      <c r="A558" s="7">
        <v>377</v>
      </c>
      <c r="B558" s="7" t="s">
        <v>863</v>
      </c>
      <c r="C558" s="7">
        <v>12</v>
      </c>
      <c r="D558" s="7" t="s">
        <v>21</v>
      </c>
      <c r="E558" s="7" t="s">
        <v>864</v>
      </c>
      <c r="G558" s="7" t="s">
        <v>864</v>
      </c>
      <c r="H558" s="7" t="s">
        <v>23</v>
      </c>
      <c r="M558" s="7" t="s">
        <v>37</v>
      </c>
      <c r="N558" s="7" t="s">
        <v>33</v>
      </c>
    </row>
    <row r="559" spans="1:14" ht="15.75" customHeight="1" x14ac:dyDescent="0.2">
      <c r="A559" s="7">
        <v>378</v>
      </c>
      <c r="B559" s="7" t="s">
        <v>865</v>
      </c>
      <c r="C559" s="7">
        <v>12</v>
      </c>
      <c r="D559" s="7" t="s">
        <v>21</v>
      </c>
      <c r="E559" s="7" t="s">
        <v>864</v>
      </c>
      <c r="G559" s="7" t="s">
        <v>864</v>
      </c>
      <c r="H559" s="7" t="s">
        <v>23</v>
      </c>
      <c r="M559" s="7" t="s">
        <v>37</v>
      </c>
      <c r="N559" s="7" t="s">
        <v>33</v>
      </c>
    </row>
    <row r="560" spans="1:14" ht="15.75" customHeight="1" x14ac:dyDescent="0.2">
      <c r="A560" s="7">
        <v>379</v>
      </c>
      <c r="B560" s="7" t="s">
        <v>865</v>
      </c>
      <c r="C560" s="7">
        <v>12</v>
      </c>
      <c r="D560" s="7" t="s">
        <v>21</v>
      </c>
      <c r="E560" s="7" t="s">
        <v>864</v>
      </c>
      <c r="G560" s="7" t="s">
        <v>864</v>
      </c>
      <c r="H560" s="7" t="s">
        <v>23</v>
      </c>
      <c r="J560" s="7" t="s">
        <v>48</v>
      </c>
      <c r="M560" s="7" t="s">
        <v>28</v>
      </c>
      <c r="N560" s="7" t="s">
        <v>33</v>
      </c>
    </row>
    <row r="561" spans="1:16" ht="15.75" customHeight="1" x14ac:dyDescent="0.2">
      <c r="A561" s="7">
        <v>380</v>
      </c>
      <c r="B561" s="7" t="s">
        <v>865</v>
      </c>
      <c r="C561" s="7">
        <v>12</v>
      </c>
      <c r="D561" s="7" t="s">
        <v>21</v>
      </c>
      <c r="E561" s="7" t="s">
        <v>864</v>
      </c>
      <c r="G561" s="7" t="s">
        <v>864</v>
      </c>
      <c r="H561" s="7" t="s">
        <v>23</v>
      </c>
      <c r="M561" s="7" t="s">
        <v>37</v>
      </c>
      <c r="N561" s="7" t="s">
        <v>33</v>
      </c>
    </row>
    <row r="562" spans="1:16" ht="15.75" customHeight="1" x14ac:dyDescent="0.2">
      <c r="A562" s="7">
        <v>381</v>
      </c>
      <c r="B562" s="7" t="s">
        <v>866</v>
      </c>
      <c r="C562" s="7">
        <v>12</v>
      </c>
      <c r="D562" s="7" t="s">
        <v>21</v>
      </c>
      <c r="E562" s="7" t="s">
        <v>864</v>
      </c>
      <c r="G562" s="7" t="s">
        <v>864</v>
      </c>
      <c r="H562" s="7" t="s">
        <v>23</v>
      </c>
      <c r="M562" s="7" t="s">
        <v>37</v>
      </c>
      <c r="N562" s="7" t="s">
        <v>33</v>
      </c>
    </row>
    <row r="563" spans="1:16" ht="15.75" customHeight="1" x14ac:dyDescent="0.2">
      <c r="A563" s="7">
        <v>382</v>
      </c>
      <c r="B563" s="7" t="s">
        <v>866</v>
      </c>
      <c r="C563" s="7">
        <v>12</v>
      </c>
      <c r="D563" s="7" t="s">
        <v>21</v>
      </c>
      <c r="E563" s="7" t="s">
        <v>864</v>
      </c>
      <c r="G563" s="7" t="s">
        <v>864</v>
      </c>
      <c r="H563" s="7" t="s">
        <v>23</v>
      </c>
      <c r="J563" s="7" t="s">
        <v>48</v>
      </c>
      <c r="M563" s="7" t="s">
        <v>28</v>
      </c>
      <c r="N563" s="7" t="s">
        <v>33</v>
      </c>
    </row>
    <row r="564" spans="1:16" ht="15.75" customHeight="1" x14ac:dyDescent="0.2">
      <c r="A564" s="7">
        <v>383</v>
      </c>
      <c r="B564" s="7" t="s">
        <v>866</v>
      </c>
      <c r="C564" s="7">
        <v>12</v>
      </c>
      <c r="D564" s="7" t="s">
        <v>21</v>
      </c>
      <c r="E564" s="7" t="s">
        <v>864</v>
      </c>
      <c r="G564" s="7" t="s">
        <v>864</v>
      </c>
      <c r="H564" s="7" t="s">
        <v>23</v>
      </c>
      <c r="M564" s="7" t="s">
        <v>37</v>
      </c>
      <c r="N564" s="7" t="s">
        <v>33</v>
      </c>
    </row>
    <row r="565" spans="1:16" ht="15.75" customHeight="1" x14ac:dyDescent="0.2">
      <c r="A565" s="7">
        <v>384</v>
      </c>
      <c r="B565" s="7" t="s">
        <v>867</v>
      </c>
      <c r="C565" s="7">
        <v>12</v>
      </c>
      <c r="D565" s="7" t="s">
        <v>21</v>
      </c>
      <c r="E565" s="7" t="s">
        <v>864</v>
      </c>
      <c r="G565" s="7" t="s">
        <v>864</v>
      </c>
      <c r="H565" s="7" t="s">
        <v>23</v>
      </c>
      <c r="M565" s="7" t="s">
        <v>37</v>
      </c>
      <c r="N565" s="7" t="s">
        <v>33</v>
      </c>
    </row>
    <row r="566" spans="1:16" ht="15.75" customHeight="1" x14ac:dyDescent="0.2">
      <c r="A566" s="7">
        <v>385</v>
      </c>
      <c r="B566" s="7" t="s">
        <v>867</v>
      </c>
      <c r="C566" s="7">
        <v>12</v>
      </c>
      <c r="D566" s="7" t="s">
        <v>21</v>
      </c>
      <c r="E566" s="7" t="s">
        <v>864</v>
      </c>
      <c r="G566" s="7" t="s">
        <v>864</v>
      </c>
      <c r="H566" s="7" t="s">
        <v>23</v>
      </c>
      <c r="M566" s="7" t="s">
        <v>37</v>
      </c>
      <c r="N566" s="7" t="s">
        <v>33</v>
      </c>
    </row>
    <row r="567" spans="1:16" ht="15.75" customHeight="1" x14ac:dyDescent="0.2">
      <c r="A567" s="7">
        <v>386</v>
      </c>
      <c r="B567" s="7" t="s">
        <v>867</v>
      </c>
      <c r="C567" s="7">
        <v>12</v>
      </c>
      <c r="D567" s="7" t="s">
        <v>21</v>
      </c>
      <c r="E567" s="7" t="s">
        <v>864</v>
      </c>
      <c r="G567" s="7" t="s">
        <v>864</v>
      </c>
      <c r="H567" s="7" t="s">
        <v>23</v>
      </c>
      <c r="J567" s="7" t="s">
        <v>48</v>
      </c>
      <c r="M567" s="7" t="s">
        <v>28</v>
      </c>
      <c r="N567" s="7" t="s">
        <v>33</v>
      </c>
    </row>
    <row r="568" spans="1:16" ht="15.75" customHeight="1" x14ac:dyDescent="0.2">
      <c r="A568" s="7">
        <v>387</v>
      </c>
      <c r="B568" s="7" t="s">
        <v>868</v>
      </c>
      <c r="C568" s="7">
        <v>12</v>
      </c>
      <c r="D568" s="7" t="s">
        <v>21</v>
      </c>
      <c r="E568" s="7" t="s">
        <v>864</v>
      </c>
      <c r="G568" s="7" t="s">
        <v>864</v>
      </c>
      <c r="H568" s="7" t="s">
        <v>23</v>
      </c>
      <c r="J568" s="7" t="s">
        <v>48</v>
      </c>
      <c r="M568" s="7" t="s">
        <v>28</v>
      </c>
      <c r="N568" s="7" t="s">
        <v>33</v>
      </c>
    </row>
    <row r="569" spans="1:16" ht="15.75" customHeight="1" x14ac:dyDescent="0.2">
      <c r="A569" s="7">
        <v>388</v>
      </c>
      <c r="B569" s="7" t="s">
        <v>868</v>
      </c>
      <c r="C569" s="7">
        <v>12</v>
      </c>
      <c r="D569" s="7" t="s">
        <v>21</v>
      </c>
      <c r="E569" s="7" t="s">
        <v>864</v>
      </c>
      <c r="G569" s="7" t="s">
        <v>864</v>
      </c>
      <c r="H569" s="7" t="s">
        <v>23</v>
      </c>
      <c r="M569" s="7" t="s">
        <v>37</v>
      </c>
      <c r="N569" s="7" t="s">
        <v>33</v>
      </c>
    </row>
    <row r="570" spans="1:16" ht="15.75" customHeight="1" x14ac:dyDescent="0.2">
      <c r="A570" s="7">
        <v>389</v>
      </c>
      <c r="B570" s="7" t="s">
        <v>868</v>
      </c>
      <c r="C570" s="7">
        <v>12</v>
      </c>
      <c r="D570" s="7" t="s">
        <v>21</v>
      </c>
      <c r="E570" s="7" t="s">
        <v>864</v>
      </c>
      <c r="G570" s="7" t="s">
        <v>864</v>
      </c>
      <c r="H570" s="7" t="s">
        <v>23</v>
      </c>
      <c r="M570" s="7" t="s">
        <v>37</v>
      </c>
      <c r="N570" s="7" t="s">
        <v>33</v>
      </c>
    </row>
    <row r="571" spans="1:16" ht="15.75" customHeight="1" x14ac:dyDescent="0.2">
      <c r="A571" s="7">
        <v>390</v>
      </c>
      <c r="B571" s="7" t="s">
        <v>869</v>
      </c>
      <c r="C571" s="7">
        <v>12</v>
      </c>
      <c r="D571" s="7" t="s">
        <v>21</v>
      </c>
      <c r="E571" s="7" t="s">
        <v>864</v>
      </c>
      <c r="G571" s="7" t="s">
        <v>864</v>
      </c>
      <c r="H571" s="7" t="s">
        <v>23</v>
      </c>
      <c r="J571" s="7" t="s">
        <v>48</v>
      </c>
      <c r="M571" s="7" t="s">
        <v>28</v>
      </c>
      <c r="N571" s="7" t="s">
        <v>33</v>
      </c>
    </row>
    <row r="572" spans="1:16" ht="15.75" customHeight="1" x14ac:dyDescent="0.2">
      <c r="A572" s="7">
        <v>391</v>
      </c>
      <c r="B572" s="7" t="s">
        <v>869</v>
      </c>
      <c r="C572" s="7">
        <v>12</v>
      </c>
      <c r="D572" s="7" t="s">
        <v>21</v>
      </c>
      <c r="E572" s="7" t="s">
        <v>864</v>
      </c>
      <c r="G572" s="7" t="s">
        <v>864</v>
      </c>
      <c r="H572" s="7" t="s">
        <v>23</v>
      </c>
      <c r="M572" s="7" t="s">
        <v>37</v>
      </c>
      <c r="N572" s="7" t="s">
        <v>33</v>
      </c>
    </row>
    <row r="573" spans="1:16" ht="15.75" customHeight="1" x14ac:dyDescent="0.2">
      <c r="A573" s="7">
        <v>392</v>
      </c>
      <c r="B573" s="7" t="s">
        <v>869</v>
      </c>
      <c r="C573" s="7">
        <v>12</v>
      </c>
      <c r="D573" s="7" t="s">
        <v>21</v>
      </c>
      <c r="E573" s="7" t="s">
        <v>864</v>
      </c>
      <c r="G573" s="7" t="s">
        <v>864</v>
      </c>
      <c r="H573" s="7" t="s">
        <v>23</v>
      </c>
      <c r="M573" s="7" t="s">
        <v>37</v>
      </c>
      <c r="N573" s="7" t="s">
        <v>33</v>
      </c>
    </row>
    <row r="574" spans="1:16" ht="15.75" customHeight="1" x14ac:dyDescent="0.2">
      <c r="A574" s="7">
        <v>393</v>
      </c>
      <c r="B574" s="7" t="s">
        <v>870</v>
      </c>
      <c r="C574" s="7">
        <v>12</v>
      </c>
      <c r="D574" s="7" t="s">
        <v>21</v>
      </c>
      <c r="E574" s="7" t="s">
        <v>864</v>
      </c>
      <c r="G574" s="7" t="s">
        <v>864</v>
      </c>
      <c r="H574" s="7" t="s">
        <v>23</v>
      </c>
      <c r="M574" s="7" t="s">
        <v>37</v>
      </c>
      <c r="N574" s="7" t="s">
        <v>33</v>
      </c>
    </row>
    <row r="575" spans="1:16" ht="15.75" customHeight="1" x14ac:dyDescent="0.2">
      <c r="A575" s="7">
        <v>394</v>
      </c>
      <c r="B575" s="7" t="s">
        <v>870</v>
      </c>
      <c r="C575" s="7">
        <v>12</v>
      </c>
      <c r="D575" s="7" t="s">
        <v>21</v>
      </c>
      <c r="E575" s="7" t="s">
        <v>864</v>
      </c>
      <c r="G575" s="7" t="s">
        <v>864</v>
      </c>
      <c r="H575" s="7" t="s">
        <v>23</v>
      </c>
      <c r="M575" s="7" t="s">
        <v>37</v>
      </c>
      <c r="N575" s="7" t="s">
        <v>33</v>
      </c>
    </row>
    <row r="576" spans="1:16" ht="15.75" customHeight="1" x14ac:dyDescent="0.2">
      <c r="A576" s="7">
        <v>400</v>
      </c>
      <c r="B576" s="7" t="s">
        <v>870</v>
      </c>
      <c r="C576" s="7">
        <v>500</v>
      </c>
      <c r="D576" s="7" t="s">
        <v>322</v>
      </c>
      <c r="E576" s="7" t="s">
        <v>864</v>
      </c>
      <c r="G576" s="7" t="s">
        <v>864</v>
      </c>
      <c r="H576" s="7" t="s">
        <v>23</v>
      </c>
      <c r="J576" s="7" t="s">
        <v>48</v>
      </c>
      <c r="P576" s="7" t="s">
        <v>28</v>
      </c>
    </row>
    <row r="577" spans="1:16" ht="15.75" customHeight="1" x14ac:dyDescent="0.2">
      <c r="A577" s="7">
        <v>401</v>
      </c>
      <c r="B577" s="7" t="s">
        <v>870</v>
      </c>
      <c r="C577" s="7">
        <v>500</v>
      </c>
      <c r="D577" s="7" t="s">
        <v>322</v>
      </c>
      <c r="E577" s="7" t="s">
        <v>864</v>
      </c>
      <c r="G577" s="7" t="s">
        <v>864</v>
      </c>
      <c r="H577" s="7" t="s">
        <v>23</v>
      </c>
      <c r="J577" s="7" t="s">
        <v>48</v>
      </c>
      <c r="P577" s="7" t="s">
        <v>28</v>
      </c>
    </row>
    <row r="578" spans="1:16" ht="15.75" customHeight="1" x14ac:dyDescent="0.2">
      <c r="A578" s="7">
        <v>402</v>
      </c>
      <c r="B578" s="7" t="s">
        <v>870</v>
      </c>
      <c r="C578" s="7">
        <v>500</v>
      </c>
      <c r="D578" s="7" t="s">
        <v>322</v>
      </c>
      <c r="E578" s="7" t="s">
        <v>864</v>
      </c>
      <c r="G578" s="7" t="s">
        <v>864</v>
      </c>
      <c r="H578" s="7" t="s">
        <v>23</v>
      </c>
      <c r="J578" s="7" t="s">
        <v>48</v>
      </c>
      <c r="P578" s="7" t="s">
        <v>28</v>
      </c>
    </row>
    <row r="579" spans="1:16" ht="15.75" customHeight="1" x14ac:dyDescent="0.2">
      <c r="A579" s="7">
        <v>403</v>
      </c>
      <c r="B579" s="7" t="s">
        <v>865</v>
      </c>
      <c r="C579" s="7">
        <v>500</v>
      </c>
      <c r="D579" s="7" t="s">
        <v>322</v>
      </c>
      <c r="E579" s="7" t="s">
        <v>864</v>
      </c>
      <c r="G579" s="7" t="s">
        <v>864</v>
      </c>
      <c r="H579" s="7" t="s">
        <v>23</v>
      </c>
      <c r="J579" s="7" t="s">
        <v>48</v>
      </c>
      <c r="P579" s="7" t="s">
        <v>28</v>
      </c>
    </row>
    <row r="580" spans="1:16" ht="15.75" customHeight="1" x14ac:dyDescent="0.2">
      <c r="A580" s="7">
        <v>404</v>
      </c>
      <c r="B580" s="7" t="s">
        <v>865</v>
      </c>
      <c r="C580" s="7">
        <v>500</v>
      </c>
      <c r="D580" s="7" t="s">
        <v>322</v>
      </c>
      <c r="E580" s="7" t="s">
        <v>864</v>
      </c>
      <c r="G580" s="7" t="s">
        <v>864</v>
      </c>
      <c r="H580" s="7" t="s">
        <v>23</v>
      </c>
      <c r="J580" s="7" t="s">
        <v>48</v>
      </c>
      <c r="P580" s="7" t="s">
        <v>28</v>
      </c>
    </row>
    <row r="581" spans="1:16" ht="15.75" customHeight="1" x14ac:dyDescent="0.2">
      <c r="A581" s="7">
        <v>405</v>
      </c>
      <c r="B581" s="7" t="s">
        <v>867</v>
      </c>
      <c r="C581" s="7">
        <v>500</v>
      </c>
      <c r="D581" s="7" t="s">
        <v>322</v>
      </c>
      <c r="E581" s="7" t="s">
        <v>864</v>
      </c>
      <c r="G581" s="7" t="s">
        <v>864</v>
      </c>
      <c r="H581" s="7" t="s">
        <v>23</v>
      </c>
      <c r="J581" s="7" t="s">
        <v>48</v>
      </c>
      <c r="P581" s="7" t="s">
        <v>28</v>
      </c>
    </row>
    <row r="582" spans="1:16" ht="15.75" customHeight="1" x14ac:dyDescent="0.2">
      <c r="A582" s="7">
        <v>406</v>
      </c>
      <c r="B582" s="7" t="s">
        <v>867</v>
      </c>
      <c r="C582" s="7">
        <v>500</v>
      </c>
      <c r="D582" s="7" t="s">
        <v>322</v>
      </c>
      <c r="E582" s="7" t="s">
        <v>864</v>
      </c>
      <c r="G582" s="7" t="s">
        <v>864</v>
      </c>
      <c r="H582" s="7" t="s">
        <v>23</v>
      </c>
      <c r="J582" s="7" t="s">
        <v>48</v>
      </c>
      <c r="P582" s="7" t="s">
        <v>28</v>
      </c>
    </row>
    <row r="583" spans="1:16" ht="15.75" customHeight="1" x14ac:dyDescent="0.2">
      <c r="A583" s="7">
        <v>407</v>
      </c>
      <c r="B583" s="7" t="s">
        <v>868</v>
      </c>
      <c r="C583" s="7">
        <v>500</v>
      </c>
      <c r="D583" s="7" t="s">
        <v>322</v>
      </c>
      <c r="E583" s="7" t="s">
        <v>864</v>
      </c>
      <c r="G583" s="7" t="s">
        <v>864</v>
      </c>
      <c r="H583" s="7" t="s">
        <v>23</v>
      </c>
      <c r="J583" s="7" t="s">
        <v>48</v>
      </c>
      <c r="P583" s="7" t="s">
        <v>28</v>
      </c>
    </row>
    <row r="584" spans="1:16" ht="15.75" customHeight="1" x14ac:dyDescent="0.2">
      <c r="A584" s="7">
        <v>408</v>
      </c>
      <c r="B584" s="7" t="s">
        <v>868</v>
      </c>
      <c r="C584" s="7">
        <v>500</v>
      </c>
      <c r="D584" s="7" t="s">
        <v>322</v>
      </c>
      <c r="E584" s="7" t="s">
        <v>864</v>
      </c>
      <c r="G584" s="7" t="s">
        <v>864</v>
      </c>
      <c r="H584" s="7" t="s">
        <v>23</v>
      </c>
      <c r="J584" s="7" t="s">
        <v>48</v>
      </c>
      <c r="P584" s="7" t="s">
        <v>28</v>
      </c>
    </row>
    <row r="585" spans="1:16" ht="15.75" customHeight="1" x14ac:dyDescent="0.2">
      <c r="A585" s="7">
        <v>409</v>
      </c>
      <c r="B585" s="7" t="s">
        <v>869</v>
      </c>
      <c r="C585" s="7">
        <v>500</v>
      </c>
      <c r="D585" s="7" t="s">
        <v>322</v>
      </c>
      <c r="E585" s="7" t="s">
        <v>864</v>
      </c>
      <c r="G585" s="7" t="s">
        <v>864</v>
      </c>
      <c r="H585" s="7" t="s">
        <v>23</v>
      </c>
      <c r="J585" s="7" t="s">
        <v>48</v>
      </c>
      <c r="P585" s="7" t="s">
        <v>28</v>
      </c>
    </row>
    <row r="586" spans="1:16" ht="15.75" customHeight="1" x14ac:dyDescent="0.2">
      <c r="A586" s="7">
        <v>410</v>
      </c>
      <c r="B586" s="7" t="s">
        <v>869</v>
      </c>
      <c r="C586" s="7">
        <v>500</v>
      </c>
      <c r="D586" s="7" t="s">
        <v>322</v>
      </c>
      <c r="E586" s="7" t="s">
        <v>864</v>
      </c>
      <c r="G586" s="7" t="s">
        <v>864</v>
      </c>
      <c r="H586" s="7" t="s">
        <v>23</v>
      </c>
      <c r="J586" s="7" t="s">
        <v>48</v>
      </c>
      <c r="P586" s="7" t="s">
        <v>28</v>
      </c>
    </row>
    <row r="587" spans="1:16" ht="15.75" customHeight="1" x14ac:dyDescent="0.2">
      <c r="A587" s="7">
        <v>411</v>
      </c>
      <c r="B587" s="7" t="s">
        <v>871</v>
      </c>
      <c r="C587" s="7">
        <v>500</v>
      </c>
      <c r="D587" s="7" t="s">
        <v>322</v>
      </c>
      <c r="E587" s="7" t="s">
        <v>864</v>
      </c>
      <c r="G587" s="7" t="s">
        <v>864</v>
      </c>
      <c r="H587" s="7" t="s">
        <v>23</v>
      </c>
      <c r="J587" s="7" t="s">
        <v>48</v>
      </c>
      <c r="P587" s="7" t="s">
        <v>28</v>
      </c>
    </row>
    <row r="588" spans="1:16" ht="15.75" customHeight="1" x14ac:dyDescent="0.2">
      <c r="A588" s="7">
        <v>412</v>
      </c>
      <c r="B588" s="7" t="s">
        <v>871</v>
      </c>
      <c r="C588" s="7">
        <v>500</v>
      </c>
      <c r="D588" s="7" t="s">
        <v>322</v>
      </c>
      <c r="E588" s="7" t="s">
        <v>864</v>
      </c>
      <c r="G588" s="7" t="s">
        <v>864</v>
      </c>
      <c r="H588" s="7" t="s">
        <v>23</v>
      </c>
      <c r="J588" s="7" t="s">
        <v>48</v>
      </c>
      <c r="K588" s="7" t="s">
        <v>872</v>
      </c>
    </row>
    <row r="589" spans="1:16" ht="15.75" customHeight="1" x14ac:dyDescent="0.2">
      <c r="A589" s="7">
        <v>413</v>
      </c>
      <c r="B589" s="7" t="s">
        <v>873</v>
      </c>
      <c r="C589" s="7">
        <v>500</v>
      </c>
      <c r="D589" s="7" t="s">
        <v>322</v>
      </c>
      <c r="E589" s="7" t="s">
        <v>864</v>
      </c>
      <c r="G589" s="7" t="s">
        <v>864</v>
      </c>
      <c r="H589" s="7" t="s">
        <v>23</v>
      </c>
      <c r="J589" s="7" t="s">
        <v>48</v>
      </c>
      <c r="P589" s="7" t="s">
        <v>28</v>
      </c>
    </row>
    <row r="590" spans="1:16" ht="15.75" customHeight="1" x14ac:dyDescent="0.2">
      <c r="A590" s="7">
        <v>414</v>
      </c>
      <c r="B590" s="7" t="s">
        <v>873</v>
      </c>
      <c r="C590" s="7">
        <v>500</v>
      </c>
      <c r="D590" s="7" t="s">
        <v>322</v>
      </c>
      <c r="E590" s="7" t="s">
        <v>864</v>
      </c>
      <c r="G590" s="7" t="s">
        <v>864</v>
      </c>
      <c r="H590" s="7" t="s">
        <v>23</v>
      </c>
      <c r="J590" s="7" t="s">
        <v>48</v>
      </c>
      <c r="P590" s="7" t="s">
        <v>28</v>
      </c>
    </row>
    <row r="591" spans="1:16" ht="15.75" customHeight="1" x14ac:dyDescent="0.2">
      <c r="A591" s="7">
        <v>415</v>
      </c>
      <c r="B591" s="7" t="s">
        <v>863</v>
      </c>
      <c r="C591" s="7">
        <v>500</v>
      </c>
      <c r="D591" s="7" t="s">
        <v>322</v>
      </c>
      <c r="E591" s="7" t="s">
        <v>864</v>
      </c>
      <c r="G591" s="7" t="s">
        <v>864</v>
      </c>
      <c r="H591" s="7" t="s">
        <v>23</v>
      </c>
      <c r="J591" s="7" t="s">
        <v>48</v>
      </c>
      <c r="P591" s="7" t="s">
        <v>28</v>
      </c>
    </row>
    <row r="592" spans="1:16" ht="15.75" customHeight="1" x14ac:dyDescent="0.2">
      <c r="A592" s="7">
        <v>416</v>
      </c>
      <c r="B592" s="7" t="s">
        <v>863</v>
      </c>
      <c r="C592" s="7">
        <v>500</v>
      </c>
      <c r="D592" s="7" t="s">
        <v>322</v>
      </c>
      <c r="E592" s="7" t="s">
        <v>864</v>
      </c>
      <c r="G592" s="7" t="s">
        <v>864</v>
      </c>
      <c r="H592" s="7" t="s">
        <v>23</v>
      </c>
      <c r="J592" s="7" t="s">
        <v>48</v>
      </c>
    </row>
    <row r="593" spans="1:16" ht="15.75" customHeight="1" x14ac:dyDescent="0.2">
      <c r="A593" s="7">
        <v>417</v>
      </c>
      <c r="B593" s="7" t="s">
        <v>866</v>
      </c>
      <c r="C593" s="7">
        <v>500</v>
      </c>
      <c r="D593" s="7" t="s">
        <v>322</v>
      </c>
      <c r="E593" s="7" t="s">
        <v>864</v>
      </c>
      <c r="G593" s="7" t="s">
        <v>864</v>
      </c>
      <c r="H593" s="7" t="s">
        <v>23</v>
      </c>
      <c r="J593" s="7" t="s">
        <v>48</v>
      </c>
    </row>
    <row r="594" spans="1:16" ht="15.75" customHeight="1" x14ac:dyDescent="0.2">
      <c r="A594" s="7">
        <v>418</v>
      </c>
      <c r="B594" s="7" t="s">
        <v>866</v>
      </c>
      <c r="C594" s="7">
        <v>500</v>
      </c>
      <c r="D594" s="7" t="s">
        <v>322</v>
      </c>
      <c r="E594" s="7" t="s">
        <v>864</v>
      </c>
      <c r="G594" s="7" t="s">
        <v>864</v>
      </c>
      <c r="H594" s="7" t="s">
        <v>23</v>
      </c>
      <c r="J594" s="7" t="s">
        <v>48</v>
      </c>
      <c r="P594" s="7" t="s">
        <v>28</v>
      </c>
    </row>
    <row r="595" spans="1:16" ht="15.75" customHeight="1" x14ac:dyDescent="0.2">
      <c r="A595" s="7">
        <v>419</v>
      </c>
      <c r="B595" s="7" t="s">
        <v>866</v>
      </c>
      <c r="C595" s="7">
        <v>500</v>
      </c>
      <c r="D595" s="7" t="s">
        <v>322</v>
      </c>
      <c r="E595" s="7" t="s">
        <v>864</v>
      </c>
      <c r="G595" s="7" t="s">
        <v>864</v>
      </c>
      <c r="H595" s="7" t="s">
        <v>23</v>
      </c>
      <c r="J595" s="7" t="s">
        <v>48</v>
      </c>
    </row>
    <row r="596" spans="1:16" ht="15.75" customHeight="1" x14ac:dyDescent="0.2">
      <c r="A596" s="7">
        <v>420</v>
      </c>
      <c r="B596" s="7" t="s">
        <v>866</v>
      </c>
      <c r="C596" s="7">
        <v>500</v>
      </c>
      <c r="D596" s="7" t="s">
        <v>322</v>
      </c>
      <c r="E596" s="7" t="s">
        <v>864</v>
      </c>
      <c r="G596" s="7" t="s">
        <v>864</v>
      </c>
      <c r="H596" s="7" t="s">
        <v>23</v>
      </c>
      <c r="J596" s="7" t="s">
        <v>48</v>
      </c>
      <c r="P596" s="7" t="s">
        <v>28</v>
      </c>
    </row>
    <row r="597" spans="1:16" ht="15.75" customHeight="1" x14ac:dyDescent="0.2">
      <c r="A597" s="7">
        <v>421</v>
      </c>
      <c r="B597" s="7" t="s">
        <v>863</v>
      </c>
      <c r="C597" s="7">
        <v>100</v>
      </c>
      <c r="D597" s="7" t="s">
        <v>322</v>
      </c>
      <c r="E597" s="7" t="s">
        <v>864</v>
      </c>
      <c r="G597" s="7" t="s">
        <v>864</v>
      </c>
      <c r="H597" s="7" t="s">
        <v>23</v>
      </c>
      <c r="J597" s="7" t="s">
        <v>48</v>
      </c>
      <c r="P597" s="7" t="s">
        <v>28</v>
      </c>
    </row>
    <row r="598" spans="1:16" ht="15.75" customHeight="1" x14ac:dyDescent="0.2">
      <c r="A598" s="7">
        <v>422</v>
      </c>
      <c r="B598" s="7" t="s">
        <v>863</v>
      </c>
      <c r="C598" s="7">
        <v>100</v>
      </c>
      <c r="D598" s="7" t="s">
        <v>322</v>
      </c>
      <c r="E598" s="7" t="s">
        <v>864</v>
      </c>
      <c r="G598" s="7" t="s">
        <v>864</v>
      </c>
      <c r="H598" s="7" t="s">
        <v>23</v>
      </c>
      <c r="J598" s="7" t="s">
        <v>48</v>
      </c>
      <c r="P598" s="7" t="s">
        <v>28</v>
      </c>
    </row>
    <row r="599" spans="1:16" ht="15.75" customHeight="1" x14ac:dyDescent="0.2">
      <c r="A599" s="7">
        <v>423</v>
      </c>
      <c r="B599" s="7" t="s">
        <v>863</v>
      </c>
      <c r="C599" s="7">
        <v>60</v>
      </c>
      <c r="D599" s="7" t="s">
        <v>322</v>
      </c>
      <c r="E599" s="7" t="s">
        <v>864</v>
      </c>
      <c r="G599" s="7" t="s">
        <v>864</v>
      </c>
      <c r="H599" s="7" t="s">
        <v>23</v>
      </c>
      <c r="J599" s="7" t="s">
        <v>48</v>
      </c>
      <c r="P599" s="7" t="s">
        <v>28</v>
      </c>
    </row>
    <row r="600" spans="1:16" ht="15.75" customHeight="1" x14ac:dyDescent="0.2">
      <c r="A600" s="7">
        <v>424</v>
      </c>
      <c r="B600" s="7" t="s">
        <v>863</v>
      </c>
      <c r="C600" s="7">
        <v>60</v>
      </c>
      <c r="D600" s="7" t="s">
        <v>322</v>
      </c>
      <c r="E600" s="7" t="s">
        <v>864</v>
      </c>
      <c r="G600" s="7" t="s">
        <v>864</v>
      </c>
      <c r="H600" s="7" t="s">
        <v>23</v>
      </c>
      <c r="J600" s="7" t="s">
        <v>48</v>
      </c>
      <c r="P600" s="7" t="s">
        <v>28</v>
      </c>
    </row>
    <row r="601" spans="1:16" ht="15.75" customHeight="1" x14ac:dyDescent="0.2">
      <c r="A601" s="7">
        <v>425</v>
      </c>
      <c r="B601" s="7" t="s">
        <v>863</v>
      </c>
      <c r="C601" s="7">
        <v>30</v>
      </c>
      <c r="D601" s="7" t="s">
        <v>322</v>
      </c>
      <c r="E601" s="7" t="s">
        <v>864</v>
      </c>
      <c r="G601" s="7" t="s">
        <v>864</v>
      </c>
      <c r="H601" s="7" t="s">
        <v>23</v>
      </c>
      <c r="J601" s="7" t="s">
        <v>48</v>
      </c>
      <c r="P601" s="7" t="s">
        <v>28</v>
      </c>
    </row>
    <row r="602" spans="1:16" ht="15.75" customHeight="1" x14ac:dyDescent="0.2">
      <c r="A602" s="7">
        <v>426</v>
      </c>
      <c r="B602" s="7" t="s">
        <v>863</v>
      </c>
      <c r="C602" s="7">
        <v>30</v>
      </c>
      <c r="D602" s="7" t="s">
        <v>322</v>
      </c>
      <c r="E602" s="7" t="s">
        <v>864</v>
      </c>
      <c r="G602" s="7" t="s">
        <v>864</v>
      </c>
      <c r="H602" s="7" t="s">
        <v>23</v>
      </c>
      <c r="J602" s="7" t="s">
        <v>48</v>
      </c>
      <c r="P602" s="7" t="s">
        <v>28</v>
      </c>
    </row>
    <row r="603" spans="1:16" ht="15.75" customHeight="1" x14ac:dyDescent="0.2">
      <c r="A603" s="7">
        <v>427</v>
      </c>
      <c r="B603" s="7" t="s">
        <v>863</v>
      </c>
      <c r="C603" s="7">
        <v>15</v>
      </c>
      <c r="D603" s="7" t="s">
        <v>322</v>
      </c>
      <c r="E603" s="7" t="s">
        <v>864</v>
      </c>
      <c r="G603" s="7" t="s">
        <v>864</v>
      </c>
      <c r="H603" s="7" t="s">
        <v>23</v>
      </c>
      <c r="J603" s="7" t="s">
        <v>48</v>
      </c>
      <c r="P603" s="7" t="s">
        <v>28</v>
      </c>
    </row>
    <row r="604" spans="1:16" ht="15.75" customHeight="1" x14ac:dyDescent="0.2">
      <c r="A604" s="7">
        <v>428</v>
      </c>
      <c r="B604" s="7" t="s">
        <v>863</v>
      </c>
      <c r="C604" s="7">
        <v>15</v>
      </c>
      <c r="D604" s="7" t="s">
        <v>322</v>
      </c>
      <c r="E604" s="7" t="s">
        <v>864</v>
      </c>
      <c r="G604" s="7" t="s">
        <v>864</v>
      </c>
      <c r="H604" s="7" t="s">
        <v>23</v>
      </c>
      <c r="J604" s="7" t="s">
        <v>48</v>
      </c>
      <c r="P604" s="7" t="s">
        <v>28</v>
      </c>
    </row>
    <row r="605" spans="1:16" ht="15.75" customHeight="1" x14ac:dyDescent="0.2">
      <c r="A605" s="7">
        <v>429</v>
      </c>
      <c r="B605" s="7" t="s">
        <v>874</v>
      </c>
      <c r="C605" s="7">
        <v>100</v>
      </c>
      <c r="D605" s="7" t="s">
        <v>322</v>
      </c>
      <c r="E605" s="7" t="s">
        <v>864</v>
      </c>
      <c r="G605" s="7" t="s">
        <v>864</v>
      </c>
      <c r="H605" s="7" t="s">
        <v>23</v>
      </c>
      <c r="J605" s="7" t="s">
        <v>48</v>
      </c>
      <c r="P605" s="7" t="s">
        <v>28</v>
      </c>
    </row>
    <row r="606" spans="1:16" ht="15.75" customHeight="1" x14ac:dyDescent="0.2">
      <c r="A606" s="7">
        <v>430</v>
      </c>
      <c r="B606" s="7" t="s">
        <v>874</v>
      </c>
      <c r="C606" s="7">
        <v>100</v>
      </c>
      <c r="D606" s="7" t="s">
        <v>322</v>
      </c>
      <c r="E606" s="7" t="s">
        <v>864</v>
      </c>
      <c r="G606" s="7" t="s">
        <v>864</v>
      </c>
      <c r="H606" s="7" t="s">
        <v>23</v>
      </c>
      <c r="J606" s="7" t="s">
        <v>48</v>
      </c>
      <c r="P606" s="7" t="s">
        <v>28</v>
      </c>
    </row>
    <row r="607" spans="1:16" ht="15.75" customHeight="1" x14ac:dyDescent="0.2">
      <c r="A607" s="7">
        <v>431</v>
      </c>
      <c r="B607" s="7" t="s">
        <v>874</v>
      </c>
      <c r="C607" s="7">
        <v>60</v>
      </c>
      <c r="D607" s="7" t="s">
        <v>322</v>
      </c>
      <c r="E607" s="7" t="s">
        <v>864</v>
      </c>
      <c r="G607" s="7" t="s">
        <v>864</v>
      </c>
      <c r="H607" s="7" t="s">
        <v>23</v>
      </c>
      <c r="J607" s="7" t="s">
        <v>48</v>
      </c>
      <c r="P607" s="7" t="s">
        <v>28</v>
      </c>
    </row>
    <row r="608" spans="1:16" ht="15.75" customHeight="1" x14ac:dyDescent="0.2">
      <c r="A608" s="7">
        <v>432</v>
      </c>
      <c r="B608" s="7" t="s">
        <v>874</v>
      </c>
      <c r="C608" s="7">
        <v>60</v>
      </c>
      <c r="D608" s="7" t="s">
        <v>322</v>
      </c>
      <c r="E608" s="7" t="s">
        <v>864</v>
      </c>
      <c r="G608" s="7" t="s">
        <v>864</v>
      </c>
      <c r="H608" s="7" t="s">
        <v>23</v>
      </c>
      <c r="J608" s="7" t="s">
        <v>48</v>
      </c>
      <c r="P608" s="7" t="s">
        <v>28</v>
      </c>
    </row>
    <row r="609" spans="1:16" ht="15.75" customHeight="1" x14ac:dyDescent="0.2">
      <c r="A609" s="7">
        <v>433</v>
      </c>
      <c r="B609" s="7" t="s">
        <v>874</v>
      </c>
      <c r="C609" s="7">
        <v>30</v>
      </c>
      <c r="D609" s="7" t="s">
        <v>322</v>
      </c>
      <c r="E609" s="7" t="s">
        <v>864</v>
      </c>
      <c r="G609" s="7" t="s">
        <v>864</v>
      </c>
      <c r="H609" s="7" t="s">
        <v>23</v>
      </c>
      <c r="J609" s="7" t="s">
        <v>48</v>
      </c>
      <c r="P609" s="7" t="s">
        <v>28</v>
      </c>
    </row>
    <row r="610" spans="1:16" ht="15.75" customHeight="1" x14ac:dyDescent="0.2">
      <c r="A610" s="7">
        <v>434</v>
      </c>
      <c r="B610" s="7" t="s">
        <v>874</v>
      </c>
      <c r="C610" s="7">
        <v>30</v>
      </c>
      <c r="D610" s="7" t="s">
        <v>322</v>
      </c>
      <c r="E610" s="7" t="s">
        <v>864</v>
      </c>
      <c r="G610" s="7" t="s">
        <v>864</v>
      </c>
      <c r="H610" s="7" t="s">
        <v>23</v>
      </c>
      <c r="J610" s="7" t="s">
        <v>48</v>
      </c>
      <c r="P610" s="7" t="s">
        <v>28</v>
      </c>
    </row>
    <row r="611" spans="1:16" ht="15.75" customHeight="1" x14ac:dyDescent="0.2">
      <c r="A611" s="7">
        <v>435</v>
      </c>
      <c r="B611" s="7" t="s">
        <v>874</v>
      </c>
      <c r="C611" s="7">
        <v>15</v>
      </c>
      <c r="D611" s="7" t="s">
        <v>322</v>
      </c>
      <c r="E611" s="7" t="s">
        <v>864</v>
      </c>
      <c r="G611" s="7" t="s">
        <v>864</v>
      </c>
      <c r="H611" s="7" t="s">
        <v>23</v>
      </c>
      <c r="J611" s="7" t="s">
        <v>48</v>
      </c>
      <c r="P611" s="7" t="s">
        <v>28</v>
      </c>
    </row>
    <row r="612" spans="1:16" ht="15.75" customHeight="1" x14ac:dyDescent="0.2">
      <c r="A612" s="7">
        <v>436</v>
      </c>
      <c r="B612" s="7" t="s">
        <v>874</v>
      </c>
      <c r="C612" s="7">
        <v>15</v>
      </c>
      <c r="D612" s="7" t="s">
        <v>322</v>
      </c>
      <c r="E612" s="7" t="s">
        <v>864</v>
      </c>
      <c r="G612" s="7" t="s">
        <v>864</v>
      </c>
      <c r="H612" s="7" t="s">
        <v>23</v>
      </c>
      <c r="J612" s="7" t="s">
        <v>48</v>
      </c>
      <c r="P612" s="7" t="s">
        <v>28</v>
      </c>
    </row>
    <row r="613" spans="1:16" ht="15.75" customHeight="1" x14ac:dyDescent="0.2">
      <c r="A613" s="7">
        <v>439</v>
      </c>
      <c r="B613" s="7" t="s">
        <v>875</v>
      </c>
      <c r="C613" s="7">
        <v>10</v>
      </c>
      <c r="D613" s="7" t="s">
        <v>21</v>
      </c>
      <c r="E613" s="7" t="s">
        <v>731</v>
      </c>
      <c r="G613" s="7" t="s">
        <v>735</v>
      </c>
      <c r="H613" s="7" t="s">
        <v>272</v>
      </c>
      <c r="M613" s="7" t="s">
        <v>37</v>
      </c>
      <c r="N613" s="7" t="s">
        <v>33</v>
      </c>
      <c r="P613" s="7" t="s">
        <v>33</v>
      </c>
    </row>
    <row r="614" spans="1:16" ht="15.75" customHeight="1" x14ac:dyDescent="0.2">
      <c r="A614" s="7">
        <v>440</v>
      </c>
      <c r="B614" s="7" t="s">
        <v>875</v>
      </c>
      <c r="C614" s="7">
        <v>10</v>
      </c>
      <c r="D614" s="7" t="s">
        <v>21</v>
      </c>
      <c r="E614" s="7" t="s">
        <v>731</v>
      </c>
      <c r="G614" s="7" t="s">
        <v>735</v>
      </c>
      <c r="H614" s="7" t="s">
        <v>272</v>
      </c>
      <c r="M614" s="7" t="s">
        <v>37</v>
      </c>
      <c r="N614" s="7" t="s">
        <v>33</v>
      </c>
      <c r="P614" s="7" t="s">
        <v>33</v>
      </c>
    </row>
    <row r="615" spans="1:16" ht="15.75" customHeight="1" x14ac:dyDescent="0.2">
      <c r="A615" s="7">
        <v>441</v>
      </c>
      <c r="B615" s="7" t="s">
        <v>875</v>
      </c>
      <c r="C615" s="7">
        <v>10</v>
      </c>
      <c r="D615" s="7" t="s">
        <v>21</v>
      </c>
      <c r="E615" s="7" t="s">
        <v>731</v>
      </c>
      <c r="G615" s="7" t="s">
        <v>735</v>
      </c>
      <c r="H615" s="7" t="s">
        <v>272</v>
      </c>
      <c r="M615" s="7" t="s">
        <v>37</v>
      </c>
      <c r="N615" s="7" t="s">
        <v>33</v>
      </c>
      <c r="P615" s="7" t="s">
        <v>33</v>
      </c>
    </row>
    <row r="616" spans="1:16" ht="15.75" customHeight="1" x14ac:dyDescent="0.2">
      <c r="A616" s="7">
        <v>442</v>
      </c>
      <c r="B616" s="7" t="s">
        <v>876</v>
      </c>
      <c r="C616" s="7">
        <v>10</v>
      </c>
      <c r="D616" s="7" t="s">
        <v>21</v>
      </c>
      <c r="E616" s="7" t="s">
        <v>731</v>
      </c>
      <c r="G616" s="7" t="s">
        <v>735</v>
      </c>
      <c r="H616" s="7" t="s">
        <v>272</v>
      </c>
      <c r="J616" s="7" t="s">
        <v>48</v>
      </c>
      <c r="N616" s="7" t="s">
        <v>33</v>
      </c>
      <c r="P616" s="7" t="s">
        <v>28</v>
      </c>
    </row>
    <row r="617" spans="1:16" ht="15.75" customHeight="1" x14ac:dyDescent="0.2">
      <c r="A617" s="7">
        <v>443</v>
      </c>
      <c r="B617" s="7" t="s">
        <v>876</v>
      </c>
      <c r="C617" s="7">
        <v>10</v>
      </c>
      <c r="D617" s="7" t="s">
        <v>21</v>
      </c>
      <c r="E617" s="7" t="s">
        <v>731</v>
      </c>
      <c r="G617" s="7" t="s">
        <v>735</v>
      </c>
      <c r="H617" s="7" t="s">
        <v>272</v>
      </c>
      <c r="M617" s="7" t="s">
        <v>37</v>
      </c>
      <c r="N617" s="7" t="s">
        <v>33</v>
      </c>
      <c r="P617" s="7" t="s">
        <v>33</v>
      </c>
    </row>
    <row r="618" spans="1:16" ht="15.75" customHeight="1" x14ac:dyDescent="0.2">
      <c r="A618" s="7">
        <v>444</v>
      </c>
      <c r="B618" s="7" t="s">
        <v>876</v>
      </c>
      <c r="C618" s="7">
        <v>10</v>
      </c>
      <c r="D618" s="7" t="s">
        <v>21</v>
      </c>
      <c r="E618" s="7" t="s">
        <v>731</v>
      </c>
      <c r="G618" s="7" t="s">
        <v>735</v>
      </c>
      <c r="H618" s="7" t="s">
        <v>272</v>
      </c>
      <c r="M618" s="7" t="s">
        <v>37</v>
      </c>
      <c r="N618" s="7" t="s">
        <v>33</v>
      </c>
      <c r="P618" s="7" t="s">
        <v>33</v>
      </c>
    </row>
    <row r="619" spans="1:16" ht="15.75" customHeight="1" x14ac:dyDescent="0.2">
      <c r="A619" s="7">
        <v>445</v>
      </c>
      <c r="B619" s="7" t="s">
        <v>877</v>
      </c>
      <c r="C619" s="7">
        <v>10</v>
      </c>
      <c r="D619" s="7" t="s">
        <v>21</v>
      </c>
      <c r="E619" s="7" t="s">
        <v>731</v>
      </c>
      <c r="G619" s="7" t="s">
        <v>732</v>
      </c>
      <c r="H619" s="7" t="s">
        <v>272</v>
      </c>
      <c r="J619" s="7" t="s">
        <v>48</v>
      </c>
      <c r="N619" s="7" t="s">
        <v>33</v>
      </c>
      <c r="P619" s="7" t="s">
        <v>28</v>
      </c>
    </row>
    <row r="620" spans="1:16" ht="15.75" customHeight="1" x14ac:dyDescent="0.2">
      <c r="A620" s="7">
        <v>446</v>
      </c>
      <c r="B620" s="7" t="s">
        <v>878</v>
      </c>
      <c r="C620" s="7">
        <v>10</v>
      </c>
      <c r="D620" s="7" t="s">
        <v>21</v>
      </c>
      <c r="E620" s="7" t="s">
        <v>731</v>
      </c>
      <c r="G620" s="7" t="s">
        <v>732</v>
      </c>
      <c r="H620" s="7" t="s">
        <v>272</v>
      </c>
      <c r="M620" s="7" t="s">
        <v>37</v>
      </c>
      <c r="N620" s="7" t="s">
        <v>33</v>
      </c>
      <c r="P620" s="7" t="s">
        <v>33</v>
      </c>
    </row>
    <row r="621" spans="1:16" ht="15.75" customHeight="1" x14ac:dyDescent="0.2">
      <c r="A621" s="7">
        <v>447</v>
      </c>
      <c r="B621" s="7" t="s">
        <v>879</v>
      </c>
      <c r="C621" s="7">
        <v>12</v>
      </c>
      <c r="D621" s="7" t="s">
        <v>21</v>
      </c>
      <c r="E621" s="7" t="s">
        <v>296</v>
      </c>
      <c r="G621" s="7" t="s">
        <v>880</v>
      </c>
      <c r="H621" s="7" t="s">
        <v>23</v>
      </c>
      <c r="N621" s="7" t="s">
        <v>33</v>
      </c>
    </row>
    <row r="622" spans="1:16" ht="15.75" customHeight="1" x14ac:dyDescent="0.2">
      <c r="A622" s="7">
        <v>448</v>
      </c>
      <c r="B622" s="7" t="s">
        <v>879</v>
      </c>
      <c r="C622" s="7">
        <v>12</v>
      </c>
      <c r="D622" s="7" t="s">
        <v>21</v>
      </c>
      <c r="E622" s="7" t="s">
        <v>296</v>
      </c>
      <c r="G622" s="7" t="s">
        <v>880</v>
      </c>
      <c r="H622" s="7" t="s">
        <v>23</v>
      </c>
      <c r="N622" s="7" t="s">
        <v>33</v>
      </c>
    </row>
    <row r="623" spans="1:16" ht="15.75" customHeight="1" x14ac:dyDescent="0.2">
      <c r="A623" s="7">
        <v>449</v>
      </c>
      <c r="B623" s="7" t="s">
        <v>879</v>
      </c>
      <c r="C623" s="7">
        <v>12</v>
      </c>
      <c r="D623" s="7" t="s">
        <v>21</v>
      </c>
      <c r="E623" s="7" t="s">
        <v>296</v>
      </c>
      <c r="G623" s="7" t="s">
        <v>880</v>
      </c>
      <c r="H623" s="7" t="s">
        <v>23</v>
      </c>
      <c r="N623" s="7" t="s">
        <v>33</v>
      </c>
    </row>
    <row r="624" spans="1:16" ht="15.75" customHeight="1" x14ac:dyDescent="0.2">
      <c r="A624" s="7">
        <v>450</v>
      </c>
      <c r="B624" s="7" t="s">
        <v>879</v>
      </c>
      <c r="C624" s="7">
        <v>12</v>
      </c>
      <c r="D624" s="7" t="s">
        <v>21</v>
      </c>
      <c r="E624" s="7" t="s">
        <v>296</v>
      </c>
      <c r="G624" s="7" t="s">
        <v>880</v>
      </c>
      <c r="H624" s="7" t="s">
        <v>23</v>
      </c>
      <c r="N624" s="7" t="s">
        <v>33</v>
      </c>
    </row>
    <row r="625" spans="1:16" ht="15.75" customHeight="1" x14ac:dyDescent="0.2">
      <c r="A625" s="7">
        <v>451</v>
      </c>
      <c r="B625" s="7" t="s">
        <v>881</v>
      </c>
      <c r="C625" s="7">
        <v>12</v>
      </c>
      <c r="D625" s="7" t="s">
        <v>21</v>
      </c>
      <c r="E625" s="7" t="s">
        <v>296</v>
      </c>
      <c r="G625" s="7" t="s">
        <v>882</v>
      </c>
      <c r="H625" s="7" t="s">
        <v>23</v>
      </c>
      <c r="N625" s="7" t="s">
        <v>33</v>
      </c>
    </row>
    <row r="626" spans="1:16" ht="15.75" customHeight="1" x14ac:dyDescent="0.2">
      <c r="A626" s="7">
        <v>452</v>
      </c>
      <c r="B626" s="7" t="s">
        <v>881</v>
      </c>
      <c r="C626" s="7">
        <v>12</v>
      </c>
      <c r="D626" s="7" t="s">
        <v>21</v>
      </c>
      <c r="E626" s="7" t="s">
        <v>296</v>
      </c>
      <c r="G626" s="7" t="s">
        <v>882</v>
      </c>
      <c r="H626" s="7" t="s">
        <v>23</v>
      </c>
      <c r="N626" s="7" t="s">
        <v>33</v>
      </c>
    </row>
    <row r="627" spans="1:16" ht="15.75" customHeight="1" x14ac:dyDescent="0.2">
      <c r="A627" s="7">
        <v>453</v>
      </c>
      <c r="B627" s="7" t="s">
        <v>881</v>
      </c>
      <c r="C627" s="7">
        <v>12</v>
      </c>
      <c r="D627" s="7" t="s">
        <v>21</v>
      </c>
      <c r="E627" s="7" t="s">
        <v>296</v>
      </c>
      <c r="G627" s="7" t="s">
        <v>882</v>
      </c>
      <c r="H627" s="7" t="s">
        <v>23</v>
      </c>
      <c r="N627" s="7" t="s">
        <v>33</v>
      </c>
    </row>
    <row r="628" spans="1:16" ht="15.75" customHeight="1" x14ac:dyDescent="0.2">
      <c r="A628" s="7">
        <v>454</v>
      </c>
      <c r="B628" s="7" t="s">
        <v>881</v>
      </c>
      <c r="C628" s="7">
        <v>12</v>
      </c>
      <c r="D628" s="7" t="s">
        <v>21</v>
      </c>
      <c r="E628" s="7" t="s">
        <v>296</v>
      </c>
      <c r="G628" s="7" t="s">
        <v>882</v>
      </c>
      <c r="H628" s="7" t="s">
        <v>23</v>
      </c>
      <c r="N628" s="7" t="s">
        <v>33</v>
      </c>
    </row>
    <row r="631" spans="1:16" ht="15.75" customHeight="1" x14ac:dyDescent="0.2">
      <c r="A631" s="7">
        <v>457</v>
      </c>
      <c r="B631" s="7" t="s">
        <v>883</v>
      </c>
      <c r="C631" s="7" t="s">
        <v>884</v>
      </c>
      <c r="D631" s="7" t="s">
        <v>657</v>
      </c>
      <c r="E631" s="7" t="s">
        <v>885</v>
      </c>
      <c r="G631" s="7" t="s">
        <v>885</v>
      </c>
      <c r="H631" s="7" t="s">
        <v>886</v>
      </c>
    </row>
    <row r="632" spans="1:16" ht="15.75" customHeight="1" x14ac:dyDescent="0.2">
      <c r="A632" s="7">
        <v>458</v>
      </c>
      <c r="B632" s="7" t="s">
        <v>887</v>
      </c>
      <c r="C632" s="7" t="s">
        <v>888</v>
      </c>
      <c r="D632" s="7" t="s">
        <v>657</v>
      </c>
      <c r="E632" s="7" t="s">
        <v>885</v>
      </c>
      <c r="G632" s="7" t="s">
        <v>885</v>
      </c>
      <c r="H632" s="7" t="s">
        <v>886</v>
      </c>
    </row>
    <row r="633" spans="1:16" ht="15.75" customHeight="1" x14ac:dyDescent="0.2">
      <c r="A633" s="7">
        <v>459</v>
      </c>
      <c r="B633" s="7" t="s">
        <v>887</v>
      </c>
      <c r="C633" s="7" t="s">
        <v>889</v>
      </c>
      <c r="D633" s="7" t="s">
        <v>657</v>
      </c>
      <c r="E633" s="7" t="s">
        <v>885</v>
      </c>
      <c r="G633" s="7" t="s">
        <v>885</v>
      </c>
      <c r="H633" s="7" t="s">
        <v>886</v>
      </c>
    </row>
    <row r="634" spans="1:16" ht="15.75" customHeight="1" x14ac:dyDescent="0.2">
      <c r="A634" s="7">
        <v>460</v>
      </c>
      <c r="B634" s="7" t="s">
        <v>887</v>
      </c>
      <c r="C634" s="7" t="s">
        <v>889</v>
      </c>
      <c r="D634" s="7" t="s">
        <v>657</v>
      </c>
      <c r="E634" s="7" t="s">
        <v>885</v>
      </c>
      <c r="G634" s="7" t="s">
        <v>885</v>
      </c>
      <c r="H634" s="7" t="s">
        <v>886</v>
      </c>
    </row>
    <row r="635" spans="1:16" ht="15.75" customHeight="1" x14ac:dyDescent="0.2">
      <c r="A635" s="7">
        <v>461</v>
      </c>
      <c r="B635" s="7" t="s">
        <v>890</v>
      </c>
      <c r="C635" s="7">
        <v>12</v>
      </c>
      <c r="D635" s="7" t="s">
        <v>21</v>
      </c>
      <c r="E635" s="7" t="s">
        <v>891</v>
      </c>
      <c r="G635" s="7" t="s">
        <v>892</v>
      </c>
      <c r="H635" s="7" t="s">
        <v>272</v>
      </c>
      <c r="J635" s="7" t="s">
        <v>48</v>
      </c>
      <c r="N635" s="7" t="s">
        <v>37</v>
      </c>
      <c r="P635" s="7" t="s">
        <v>28</v>
      </c>
    </row>
    <row r="636" spans="1:16" ht="15.75" customHeight="1" x14ac:dyDescent="0.2">
      <c r="A636" s="7">
        <v>462</v>
      </c>
      <c r="B636" s="7" t="s">
        <v>893</v>
      </c>
      <c r="C636" s="7">
        <v>12</v>
      </c>
      <c r="D636" s="7" t="s">
        <v>21</v>
      </c>
      <c r="E636" s="7" t="s">
        <v>891</v>
      </c>
      <c r="G636" s="7" t="s">
        <v>892</v>
      </c>
      <c r="H636" s="7" t="s">
        <v>272</v>
      </c>
      <c r="J636" s="7" t="s">
        <v>48</v>
      </c>
      <c r="N636" s="7" t="s">
        <v>37</v>
      </c>
      <c r="P636" s="7" t="s">
        <v>28</v>
      </c>
    </row>
    <row r="637" spans="1:16" ht="15.75" customHeight="1" x14ac:dyDescent="0.2">
      <c r="A637" s="7">
        <v>463</v>
      </c>
      <c r="B637" s="7" t="s">
        <v>894</v>
      </c>
      <c r="C637" s="7">
        <v>12</v>
      </c>
      <c r="D637" s="7" t="s">
        <v>21</v>
      </c>
      <c r="E637" s="7" t="s">
        <v>891</v>
      </c>
      <c r="G637" s="7" t="s">
        <v>892</v>
      </c>
      <c r="H637" s="7" t="s">
        <v>272</v>
      </c>
      <c r="J637" s="7" t="s">
        <v>48</v>
      </c>
      <c r="N637" s="7" t="s">
        <v>37</v>
      </c>
      <c r="P637" s="7" t="s">
        <v>28</v>
      </c>
    </row>
    <row r="638" spans="1:16" ht="15.75" customHeight="1" x14ac:dyDescent="0.2">
      <c r="A638" s="7">
        <v>464</v>
      </c>
      <c r="B638" s="7" t="s">
        <v>895</v>
      </c>
      <c r="C638" s="7">
        <v>12</v>
      </c>
      <c r="D638" s="7" t="s">
        <v>21</v>
      </c>
      <c r="E638" s="7" t="s">
        <v>891</v>
      </c>
      <c r="G638" s="7" t="s">
        <v>896</v>
      </c>
      <c r="H638" s="7" t="s">
        <v>272</v>
      </c>
      <c r="J638" s="7" t="s">
        <v>48</v>
      </c>
      <c r="N638" s="7" t="s">
        <v>37</v>
      </c>
      <c r="P638" s="7" t="s">
        <v>28</v>
      </c>
    </row>
    <row r="639" spans="1:16" ht="15.75" customHeight="1" x14ac:dyDescent="0.2">
      <c r="A639" s="7">
        <v>465</v>
      </c>
      <c r="B639" s="7" t="s">
        <v>897</v>
      </c>
      <c r="C639" s="7">
        <v>12</v>
      </c>
      <c r="D639" s="7" t="s">
        <v>21</v>
      </c>
      <c r="E639" s="7" t="s">
        <v>891</v>
      </c>
      <c r="G639" s="7" t="s">
        <v>896</v>
      </c>
      <c r="H639" s="7" t="s">
        <v>272</v>
      </c>
      <c r="J639" s="7" t="s">
        <v>48</v>
      </c>
      <c r="N639" s="7" t="s">
        <v>37</v>
      </c>
      <c r="P639" s="7" t="s">
        <v>28</v>
      </c>
    </row>
    <row r="640" spans="1:16" ht="15.75" customHeight="1" x14ac:dyDescent="0.2">
      <c r="A640" s="7">
        <v>466</v>
      </c>
      <c r="B640" s="7" t="s">
        <v>898</v>
      </c>
      <c r="C640" s="7">
        <v>12</v>
      </c>
      <c r="D640" s="7" t="s">
        <v>21</v>
      </c>
      <c r="E640" s="7" t="s">
        <v>891</v>
      </c>
      <c r="G640" s="7" t="s">
        <v>896</v>
      </c>
      <c r="H640" s="7" t="s">
        <v>272</v>
      </c>
      <c r="J640" s="7" t="s">
        <v>48</v>
      </c>
      <c r="N640" s="7" t="s">
        <v>37</v>
      </c>
      <c r="P640" s="7" t="s">
        <v>28</v>
      </c>
    </row>
    <row r="641" spans="1:16" ht="15.75" customHeight="1" x14ac:dyDescent="0.2">
      <c r="A641" s="7">
        <v>467</v>
      </c>
      <c r="B641" s="7" t="s">
        <v>899</v>
      </c>
      <c r="C641" s="7">
        <v>12</v>
      </c>
      <c r="D641" s="7" t="s">
        <v>21</v>
      </c>
      <c r="E641" s="7" t="s">
        <v>891</v>
      </c>
      <c r="G641" s="7" t="s">
        <v>896</v>
      </c>
      <c r="H641" s="7" t="s">
        <v>272</v>
      </c>
      <c r="J641" s="7" t="s">
        <v>48</v>
      </c>
      <c r="N641" s="7" t="s">
        <v>37</v>
      </c>
      <c r="P641" s="7" t="s">
        <v>28</v>
      </c>
    </row>
    <row r="642" spans="1:16" ht="15.75" customHeight="1" x14ac:dyDescent="0.2">
      <c r="A642" s="7">
        <v>468</v>
      </c>
      <c r="B642" s="7" t="s">
        <v>900</v>
      </c>
      <c r="C642" s="7">
        <v>12</v>
      </c>
      <c r="D642" s="7" t="s">
        <v>21</v>
      </c>
      <c r="E642" s="7" t="s">
        <v>891</v>
      </c>
      <c r="G642" s="7" t="s">
        <v>896</v>
      </c>
      <c r="H642" s="7" t="s">
        <v>272</v>
      </c>
      <c r="J642" s="7" t="s">
        <v>48</v>
      </c>
      <c r="N642" s="7" t="s">
        <v>37</v>
      </c>
      <c r="P642" s="7" t="s">
        <v>28</v>
      </c>
    </row>
    <row r="643" spans="1:16" ht="15.75" customHeight="1" x14ac:dyDescent="0.2">
      <c r="A643" s="269">
        <v>469</v>
      </c>
      <c r="B643" s="7" t="s">
        <v>901</v>
      </c>
      <c r="C643" s="7">
        <v>12</v>
      </c>
      <c r="D643" s="7" t="s">
        <v>21</v>
      </c>
      <c r="E643" s="7" t="s">
        <v>902</v>
      </c>
      <c r="G643" s="7" t="s">
        <v>903</v>
      </c>
      <c r="H643" s="7" t="s">
        <v>23</v>
      </c>
      <c r="I643" s="7" t="s">
        <v>904</v>
      </c>
      <c r="M643" s="7" t="s">
        <v>37</v>
      </c>
      <c r="N643" s="7" t="s">
        <v>37</v>
      </c>
    </row>
    <row r="644" spans="1:16" ht="15.75" customHeight="1" x14ac:dyDescent="0.2">
      <c r="A644" s="269">
        <v>470</v>
      </c>
      <c r="B644" s="7" t="s">
        <v>901</v>
      </c>
      <c r="C644" s="7">
        <v>12</v>
      </c>
      <c r="D644" s="7" t="s">
        <v>21</v>
      </c>
      <c r="E644" s="7" t="s">
        <v>902</v>
      </c>
      <c r="G644" s="7" t="s">
        <v>903</v>
      </c>
      <c r="H644" s="7" t="s">
        <v>23</v>
      </c>
      <c r="I644" s="7" t="s">
        <v>904</v>
      </c>
      <c r="M644" s="7" t="s">
        <v>37</v>
      </c>
      <c r="N644" s="7" t="s">
        <v>37</v>
      </c>
    </row>
    <row r="645" spans="1:16" ht="15.75" customHeight="1" x14ac:dyDescent="0.2">
      <c r="A645" s="269">
        <v>471</v>
      </c>
      <c r="B645" s="7" t="s">
        <v>901</v>
      </c>
      <c r="C645" s="7">
        <v>12</v>
      </c>
      <c r="D645" s="7" t="s">
        <v>21</v>
      </c>
      <c r="E645" s="7" t="s">
        <v>902</v>
      </c>
      <c r="G645" s="7" t="s">
        <v>903</v>
      </c>
      <c r="H645" s="7" t="s">
        <v>23</v>
      </c>
      <c r="I645" s="7" t="s">
        <v>904</v>
      </c>
      <c r="M645" s="7" t="s">
        <v>37</v>
      </c>
      <c r="N645" s="7" t="s">
        <v>37</v>
      </c>
    </row>
    <row r="646" spans="1:16" ht="15.75" customHeight="1" x14ac:dyDescent="0.2">
      <c r="A646" s="269">
        <v>472</v>
      </c>
      <c r="B646" s="7" t="s">
        <v>905</v>
      </c>
      <c r="C646" s="7">
        <v>12</v>
      </c>
      <c r="D646" s="7" t="s">
        <v>21</v>
      </c>
      <c r="E646" s="7" t="s">
        <v>902</v>
      </c>
      <c r="G646" s="7" t="s">
        <v>906</v>
      </c>
      <c r="H646" s="7" t="s">
        <v>23</v>
      </c>
      <c r="I646" s="7" t="s">
        <v>907</v>
      </c>
      <c r="J646" s="7" t="s">
        <v>48</v>
      </c>
      <c r="M646" s="7" t="s">
        <v>28</v>
      </c>
      <c r="N646" s="7" t="s">
        <v>37</v>
      </c>
    </row>
    <row r="647" spans="1:16" ht="15.75" customHeight="1" x14ac:dyDescent="0.2">
      <c r="A647" s="269">
        <v>473</v>
      </c>
      <c r="B647" s="7" t="s">
        <v>908</v>
      </c>
      <c r="C647" s="7">
        <v>12</v>
      </c>
      <c r="D647" s="7" t="s">
        <v>21</v>
      </c>
      <c r="E647" s="7" t="s">
        <v>902</v>
      </c>
      <c r="G647" s="7" t="s">
        <v>906</v>
      </c>
      <c r="H647" s="7" t="s">
        <v>23</v>
      </c>
      <c r="I647" s="7" t="s">
        <v>907</v>
      </c>
      <c r="M647" s="7" t="s">
        <v>37</v>
      </c>
      <c r="N647" s="7" t="s">
        <v>37</v>
      </c>
    </row>
    <row r="648" spans="1:16" ht="15.75" customHeight="1" x14ac:dyDescent="0.2">
      <c r="A648" s="269">
        <v>474</v>
      </c>
      <c r="B648" s="7" t="s">
        <v>908</v>
      </c>
      <c r="C648" s="7">
        <v>12</v>
      </c>
      <c r="D648" s="7" t="s">
        <v>21</v>
      </c>
      <c r="E648" s="7" t="s">
        <v>902</v>
      </c>
      <c r="G648" s="7" t="s">
        <v>906</v>
      </c>
      <c r="H648" s="7" t="s">
        <v>23</v>
      </c>
      <c r="I648" s="7" t="s">
        <v>907</v>
      </c>
      <c r="M648" s="7" t="s">
        <v>37</v>
      </c>
      <c r="N648" s="7" t="s">
        <v>37</v>
      </c>
    </row>
    <row r="649" spans="1:16" ht="15.75" customHeight="1" x14ac:dyDescent="0.2">
      <c r="A649" s="269">
        <v>475</v>
      </c>
      <c r="B649" s="7" t="s">
        <v>909</v>
      </c>
      <c r="C649" s="7">
        <v>12</v>
      </c>
      <c r="D649" s="7" t="s">
        <v>21</v>
      </c>
      <c r="E649" s="7" t="s">
        <v>902</v>
      </c>
      <c r="G649" s="7" t="s">
        <v>906</v>
      </c>
      <c r="H649" s="7" t="s">
        <v>23</v>
      </c>
      <c r="I649" s="7" t="s">
        <v>907</v>
      </c>
      <c r="J649" s="7" t="s">
        <v>48</v>
      </c>
      <c r="M649" s="7" t="s">
        <v>28</v>
      </c>
      <c r="N649" s="7" t="s">
        <v>37</v>
      </c>
    </row>
    <row r="650" spans="1:16" ht="15.75" customHeight="1" x14ac:dyDescent="0.2">
      <c r="A650" s="269">
        <v>476</v>
      </c>
      <c r="B650" s="7" t="s">
        <v>909</v>
      </c>
      <c r="C650" s="7">
        <v>12</v>
      </c>
      <c r="D650" s="7" t="s">
        <v>21</v>
      </c>
      <c r="E650" s="7" t="s">
        <v>902</v>
      </c>
      <c r="G650" s="7" t="s">
        <v>906</v>
      </c>
      <c r="H650" s="7" t="s">
        <v>23</v>
      </c>
      <c r="I650" s="7" t="s">
        <v>907</v>
      </c>
      <c r="M650" s="7" t="s">
        <v>37</v>
      </c>
      <c r="N650" s="7" t="s">
        <v>37</v>
      </c>
    </row>
    <row r="651" spans="1:16" ht="15.75" customHeight="1" x14ac:dyDescent="0.2">
      <c r="A651" s="269">
        <v>477</v>
      </c>
      <c r="B651" s="7" t="s">
        <v>909</v>
      </c>
      <c r="C651" s="7">
        <v>12</v>
      </c>
      <c r="D651" s="7" t="s">
        <v>21</v>
      </c>
      <c r="E651" s="7" t="s">
        <v>902</v>
      </c>
      <c r="G651" s="7" t="s">
        <v>906</v>
      </c>
      <c r="H651" s="7" t="s">
        <v>23</v>
      </c>
      <c r="I651" s="7" t="s">
        <v>907</v>
      </c>
      <c r="M651" s="7" t="s">
        <v>37</v>
      </c>
      <c r="N651" s="7" t="s">
        <v>37</v>
      </c>
    </row>
    <row r="652" spans="1:16" ht="15.75" customHeight="1" x14ac:dyDescent="0.2">
      <c r="A652" s="269">
        <v>478</v>
      </c>
      <c r="B652" s="7" t="s">
        <v>910</v>
      </c>
      <c r="C652" s="7">
        <v>12</v>
      </c>
      <c r="D652" s="7" t="s">
        <v>21</v>
      </c>
      <c r="E652" s="7" t="s">
        <v>902</v>
      </c>
      <c r="G652" s="7" t="s">
        <v>911</v>
      </c>
      <c r="H652" s="7" t="s">
        <v>23</v>
      </c>
      <c r="I652" s="7" t="s">
        <v>907</v>
      </c>
      <c r="J652" s="7" t="s">
        <v>48</v>
      </c>
      <c r="M652" s="7" t="s">
        <v>28</v>
      </c>
      <c r="N652" s="7" t="s">
        <v>37</v>
      </c>
    </row>
    <row r="653" spans="1:16" ht="15.75" customHeight="1" x14ac:dyDescent="0.2">
      <c r="A653" s="269">
        <v>479</v>
      </c>
      <c r="B653" s="7" t="s">
        <v>910</v>
      </c>
      <c r="C653" s="7">
        <v>12</v>
      </c>
      <c r="D653" s="7" t="s">
        <v>21</v>
      </c>
      <c r="E653" s="7" t="s">
        <v>902</v>
      </c>
      <c r="G653" s="7" t="s">
        <v>911</v>
      </c>
      <c r="H653" s="7" t="s">
        <v>23</v>
      </c>
      <c r="I653" s="7" t="s">
        <v>907</v>
      </c>
      <c r="M653" s="7" t="s">
        <v>37</v>
      </c>
      <c r="N653" s="7" t="s">
        <v>37</v>
      </c>
    </row>
    <row r="654" spans="1:16" ht="15.75" customHeight="1" x14ac:dyDescent="0.2">
      <c r="A654" s="269">
        <v>480</v>
      </c>
      <c r="B654" s="7" t="s">
        <v>910</v>
      </c>
      <c r="C654" s="7">
        <v>12</v>
      </c>
      <c r="D654" s="7" t="s">
        <v>21</v>
      </c>
      <c r="E654" s="7" t="s">
        <v>902</v>
      </c>
      <c r="G654" s="7" t="s">
        <v>911</v>
      </c>
      <c r="H654" s="7" t="s">
        <v>23</v>
      </c>
      <c r="I654" s="7" t="s">
        <v>907</v>
      </c>
      <c r="M654" s="7" t="s">
        <v>37</v>
      </c>
      <c r="N654" s="7" t="s">
        <v>37</v>
      </c>
    </row>
    <row r="655" spans="1:16" ht="15.75" customHeight="1" x14ac:dyDescent="0.2">
      <c r="A655" s="269">
        <v>481</v>
      </c>
      <c r="B655" s="7" t="s">
        <v>912</v>
      </c>
      <c r="C655" s="7">
        <v>12</v>
      </c>
      <c r="D655" s="7" t="s">
        <v>21</v>
      </c>
      <c r="E655" s="7" t="s">
        <v>902</v>
      </c>
      <c r="G655" s="7" t="s">
        <v>911</v>
      </c>
      <c r="H655" s="7" t="s">
        <v>23</v>
      </c>
      <c r="I655" s="7" t="s">
        <v>907</v>
      </c>
      <c r="M655" s="7" t="s">
        <v>37</v>
      </c>
      <c r="N655" s="7" t="s">
        <v>37</v>
      </c>
    </row>
    <row r="656" spans="1:16" ht="15.75" customHeight="1" x14ac:dyDescent="0.2">
      <c r="A656" s="269">
        <v>482</v>
      </c>
      <c r="B656" s="7" t="s">
        <v>912</v>
      </c>
      <c r="C656" s="7">
        <v>12</v>
      </c>
      <c r="D656" s="7" t="s">
        <v>21</v>
      </c>
      <c r="E656" s="7" t="s">
        <v>902</v>
      </c>
      <c r="G656" s="7" t="s">
        <v>911</v>
      </c>
      <c r="H656" s="7" t="s">
        <v>23</v>
      </c>
      <c r="I656" s="7" t="s">
        <v>907</v>
      </c>
      <c r="M656" s="7" t="s">
        <v>28</v>
      </c>
      <c r="N656" s="7" t="s">
        <v>37</v>
      </c>
    </row>
    <row r="657" spans="1:14" ht="15.75" customHeight="1" x14ac:dyDescent="0.2">
      <c r="A657" s="269">
        <v>483</v>
      </c>
      <c r="B657" s="7" t="s">
        <v>912</v>
      </c>
      <c r="C657" s="7">
        <v>12</v>
      </c>
      <c r="D657" s="7" t="s">
        <v>21</v>
      </c>
      <c r="E657" s="7" t="s">
        <v>902</v>
      </c>
      <c r="G657" s="7" t="s">
        <v>911</v>
      </c>
      <c r="H657" s="7" t="s">
        <v>23</v>
      </c>
      <c r="I657" s="7" t="s">
        <v>907</v>
      </c>
      <c r="M657" s="7" t="s">
        <v>37</v>
      </c>
      <c r="N657" s="7" t="s">
        <v>37</v>
      </c>
    </row>
    <row r="658" spans="1:14" ht="15.75" customHeight="1" x14ac:dyDescent="0.2">
      <c r="A658" s="269">
        <v>484</v>
      </c>
      <c r="B658" s="7" t="s">
        <v>913</v>
      </c>
      <c r="C658" s="7">
        <v>12</v>
      </c>
      <c r="D658" s="7" t="s">
        <v>21</v>
      </c>
      <c r="E658" s="7" t="s">
        <v>902</v>
      </c>
      <c r="G658" s="7" t="s">
        <v>911</v>
      </c>
      <c r="H658" s="7" t="s">
        <v>23</v>
      </c>
      <c r="I658" s="7" t="s">
        <v>907</v>
      </c>
      <c r="M658" s="7" t="s">
        <v>28</v>
      </c>
      <c r="N658" s="7" t="s">
        <v>37</v>
      </c>
    </row>
    <row r="659" spans="1:14" ht="15.75" customHeight="1" x14ac:dyDescent="0.2">
      <c r="A659" s="269">
        <v>485</v>
      </c>
      <c r="B659" s="7" t="s">
        <v>913</v>
      </c>
      <c r="C659" s="7">
        <v>12</v>
      </c>
      <c r="D659" s="7" t="s">
        <v>21</v>
      </c>
      <c r="E659" s="7" t="s">
        <v>902</v>
      </c>
      <c r="G659" s="7" t="s">
        <v>911</v>
      </c>
      <c r="H659" s="7" t="s">
        <v>23</v>
      </c>
      <c r="I659" s="7" t="s">
        <v>907</v>
      </c>
      <c r="M659" s="7" t="s">
        <v>37</v>
      </c>
      <c r="N659" s="7" t="s">
        <v>37</v>
      </c>
    </row>
    <row r="660" spans="1:14" ht="15.75" customHeight="1" x14ac:dyDescent="0.2">
      <c r="A660" s="269">
        <v>486</v>
      </c>
      <c r="B660" s="7" t="s">
        <v>913</v>
      </c>
      <c r="C660" s="7">
        <v>12</v>
      </c>
      <c r="D660" s="7" t="s">
        <v>21</v>
      </c>
      <c r="E660" s="7" t="s">
        <v>902</v>
      </c>
      <c r="G660" s="7" t="s">
        <v>911</v>
      </c>
      <c r="H660" s="7" t="s">
        <v>23</v>
      </c>
      <c r="I660" s="7" t="s">
        <v>907</v>
      </c>
      <c r="M660" s="7" t="s">
        <v>37</v>
      </c>
      <c r="N660" s="7" t="s">
        <v>37</v>
      </c>
    </row>
    <row r="661" spans="1:14" ht="15.75" customHeight="1" x14ac:dyDescent="0.2">
      <c r="A661" s="269">
        <v>487</v>
      </c>
      <c r="B661" s="7" t="s">
        <v>914</v>
      </c>
      <c r="C661" s="7">
        <v>12</v>
      </c>
      <c r="D661" s="7" t="s">
        <v>21</v>
      </c>
      <c r="E661" s="7" t="s">
        <v>902</v>
      </c>
      <c r="G661" s="7" t="s">
        <v>906</v>
      </c>
      <c r="H661" s="7" t="s">
        <v>23</v>
      </c>
      <c r="I661" s="7" t="s">
        <v>907</v>
      </c>
      <c r="M661" s="7" t="s">
        <v>28</v>
      </c>
      <c r="N661" s="7" t="s">
        <v>37</v>
      </c>
    </row>
    <row r="662" spans="1:14" ht="15.75" customHeight="1" x14ac:dyDescent="0.2">
      <c r="A662" s="269">
        <v>488</v>
      </c>
      <c r="B662" s="7" t="s">
        <v>914</v>
      </c>
      <c r="C662" s="7">
        <v>12</v>
      </c>
      <c r="D662" s="7" t="s">
        <v>21</v>
      </c>
      <c r="E662" s="7" t="s">
        <v>902</v>
      </c>
      <c r="G662" s="7" t="s">
        <v>906</v>
      </c>
      <c r="H662" s="7" t="s">
        <v>23</v>
      </c>
      <c r="I662" s="7" t="s">
        <v>907</v>
      </c>
      <c r="M662" s="7" t="s">
        <v>37</v>
      </c>
      <c r="N662" s="7" t="s">
        <v>37</v>
      </c>
    </row>
    <row r="663" spans="1:14" ht="15.75" customHeight="1" x14ac:dyDescent="0.2">
      <c r="A663" s="269">
        <v>489</v>
      </c>
      <c r="B663" s="7" t="s">
        <v>914</v>
      </c>
      <c r="C663" s="7">
        <v>12</v>
      </c>
      <c r="D663" s="7" t="s">
        <v>21</v>
      </c>
      <c r="E663" s="7" t="s">
        <v>902</v>
      </c>
      <c r="G663" s="7" t="s">
        <v>906</v>
      </c>
      <c r="H663" s="7" t="s">
        <v>23</v>
      </c>
      <c r="I663" s="7" t="s">
        <v>907</v>
      </c>
      <c r="M663" s="7" t="s">
        <v>37</v>
      </c>
      <c r="N663" s="7" t="s">
        <v>37</v>
      </c>
    </row>
    <row r="664" spans="1:14" ht="15.75" customHeight="1" x14ac:dyDescent="0.2">
      <c r="A664" s="269">
        <v>490</v>
      </c>
      <c r="B664" s="7" t="s">
        <v>915</v>
      </c>
      <c r="C664" s="7">
        <v>12</v>
      </c>
      <c r="D664" s="7" t="s">
        <v>21</v>
      </c>
      <c r="E664" s="7" t="s">
        <v>902</v>
      </c>
      <c r="G664" s="7" t="s">
        <v>911</v>
      </c>
      <c r="H664" s="7" t="s">
        <v>23</v>
      </c>
      <c r="I664" s="7" t="s">
        <v>907</v>
      </c>
      <c r="J664" s="7" t="s">
        <v>48</v>
      </c>
      <c r="M664" s="7" t="s">
        <v>28</v>
      </c>
      <c r="N664" s="7" t="s">
        <v>37</v>
      </c>
    </row>
    <row r="665" spans="1:14" ht="15.75" customHeight="1" x14ac:dyDescent="0.2">
      <c r="A665" s="269">
        <v>491</v>
      </c>
      <c r="B665" s="7" t="s">
        <v>915</v>
      </c>
      <c r="C665" s="7">
        <v>12</v>
      </c>
      <c r="D665" s="7" t="s">
        <v>21</v>
      </c>
      <c r="E665" s="7" t="s">
        <v>902</v>
      </c>
      <c r="G665" s="7" t="s">
        <v>911</v>
      </c>
      <c r="H665" s="7" t="s">
        <v>23</v>
      </c>
      <c r="I665" s="7" t="s">
        <v>907</v>
      </c>
      <c r="M665" s="7" t="s">
        <v>37</v>
      </c>
      <c r="N665" s="7" t="s">
        <v>37</v>
      </c>
    </row>
    <row r="666" spans="1:14" ht="15.75" customHeight="1" x14ac:dyDescent="0.2">
      <c r="A666" s="269">
        <v>492</v>
      </c>
      <c r="B666" s="7" t="s">
        <v>915</v>
      </c>
      <c r="C666" s="7">
        <v>12</v>
      </c>
      <c r="D666" s="7" t="s">
        <v>21</v>
      </c>
      <c r="E666" s="7" t="s">
        <v>902</v>
      </c>
      <c r="G666" s="7" t="s">
        <v>911</v>
      </c>
      <c r="H666" s="7" t="s">
        <v>23</v>
      </c>
      <c r="I666" s="7" t="s">
        <v>907</v>
      </c>
      <c r="M666" s="7" t="s">
        <v>37</v>
      </c>
      <c r="N666" s="7" t="s">
        <v>37</v>
      </c>
    </row>
    <row r="667" spans="1:14" ht="15.75" customHeight="1" x14ac:dyDescent="0.2">
      <c r="A667" s="269">
        <v>493</v>
      </c>
      <c r="B667" s="7" t="s">
        <v>916</v>
      </c>
      <c r="C667" s="7">
        <v>12</v>
      </c>
      <c r="D667" s="7" t="s">
        <v>21</v>
      </c>
      <c r="E667" s="7" t="s">
        <v>902</v>
      </c>
      <c r="G667" s="7" t="s">
        <v>917</v>
      </c>
      <c r="H667" s="7" t="s">
        <v>23</v>
      </c>
      <c r="I667" s="7" t="s">
        <v>907</v>
      </c>
      <c r="M667" s="7" t="s">
        <v>37</v>
      </c>
      <c r="N667" s="7" t="s">
        <v>37</v>
      </c>
    </row>
    <row r="668" spans="1:14" ht="15.75" customHeight="1" x14ac:dyDescent="0.2">
      <c r="A668" s="269">
        <v>494</v>
      </c>
      <c r="B668" s="7" t="s">
        <v>916</v>
      </c>
      <c r="C668" s="7">
        <v>12</v>
      </c>
      <c r="D668" s="7" t="s">
        <v>21</v>
      </c>
      <c r="E668" s="7" t="s">
        <v>902</v>
      </c>
      <c r="G668" s="7" t="s">
        <v>917</v>
      </c>
      <c r="H668" s="7" t="s">
        <v>23</v>
      </c>
      <c r="I668" s="7" t="s">
        <v>907</v>
      </c>
      <c r="M668" s="7" t="s">
        <v>37</v>
      </c>
      <c r="N668" s="7" t="s">
        <v>37</v>
      </c>
    </row>
    <row r="669" spans="1:14" ht="15.75" customHeight="1" x14ac:dyDescent="0.2">
      <c r="A669" s="269">
        <v>495</v>
      </c>
      <c r="B669" s="7" t="s">
        <v>916</v>
      </c>
      <c r="C669" s="7">
        <v>12</v>
      </c>
      <c r="D669" s="7" t="s">
        <v>21</v>
      </c>
      <c r="E669" s="7" t="s">
        <v>902</v>
      </c>
      <c r="G669" s="7" t="s">
        <v>917</v>
      </c>
      <c r="H669" s="7" t="s">
        <v>23</v>
      </c>
      <c r="I669" s="7" t="s">
        <v>907</v>
      </c>
      <c r="M669" s="7" t="s">
        <v>37</v>
      </c>
      <c r="N669" s="7" t="s">
        <v>37</v>
      </c>
    </row>
    <row r="670" spans="1:14" ht="15.75" customHeight="1" x14ac:dyDescent="0.2">
      <c r="A670" s="269">
        <v>496</v>
      </c>
      <c r="B670" s="7" t="s">
        <v>918</v>
      </c>
      <c r="C670" s="7">
        <v>12</v>
      </c>
      <c r="D670" s="7" t="s">
        <v>21</v>
      </c>
      <c r="E670" s="7" t="s">
        <v>902</v>
      </c>
      <c r="G670" s="7" t="s">
        <v>919</v>
      </c>
      <c r="H670" s="7" t="s">
        <v>23</v>
      </c>
      <c r="I670" s="7" t="s">
        <v>907</v>
      </c>
      <c r="M670" s="7" t="s">
        <v>37</v>
      </c>
      <c r="N670" s="7" t="s">
        <v>37</v>
      </c>
    </row>
    <row r="671" spans="1:14" ht="15.75" customHeight="1" x14ac:dyDescent="0.2">
      <c r="A671" s="269">
        <v>497</v>
      </c>
      <c r="B671" s="7" t="s">
        <v>918</v>
      </c>
      <c r="C671" s="7">
        <v>12</v>
      </c>
      <c r="D671" s="7" t="s">
        <v>21</v>
      </c>
      <c r="E671" s="7" t="s">
        <v>902</v>
      </c>
      <c r="G671" s="7" t="s">
        <v>919</v>
      </c>
      <c r="H671" s="7" t="s">
        <v>23</v>
      </c>
      <c r="I671" s="7" t="s">
        <v>907</v>
      </c>
      <c r="M671" s="7" t="s">
        <v>37</v>
      </c>
      <c r="N671" s="7" t="s">
        <v>37</v>
      </c>
    </row>
    <row r="672" spans="1:14" ht="15.75" customHeight="1" x14ac:dyDescent="0.2">
      <c r="A672" s="269">
        <v>498</v>
      </c>
      <c r="B672" s="7" t="s">
        <v>918</v>
      </c>
      <c r="C672" s="7">
        <v>12</v>
      </c>
      <c r="D672" s="7" t="s">
        <v>21</v>
      </c>
      <c r="E672" s="7" t="s">
        <v>902</v>
      </c>
      <c r="G672" s="7" t="s">
        <v>919</v>
      </c>
      <c r="H672" s="7" t="s">
        <v>23</v>
      </c>
      <c r="I672" s="7" t="s">
        <v>907</v>
      </c>
      <c r="M672" s="7" t="s">
        <v>37</v>
      </c>
      <c r="N672" s="7" t="s">
        <v>37</v>
      </c>
    </row>
    <row r="673" spans="1:14" ht="15.75" customHeight="1" x14ac:dyDescent="0.2">
      <c r="A673" s="269">
        <v>499</v>
      </c>
      <c r="B673" s="7" t="s">
        <v>920</v>
      </c>
      <c r="C673" s="7">
        <v>12</v>
      </c>
      <c r="D673" s="7" t="s">
        <v>21</v>
      </c>
      <c r="E673" s="7" t="s">
        <v>902</v>
      </c>
      <c r="G673" s="7" t="s">
        <v>917</v>
      </c>
      <c r="H673" s="7" t="s">
        <v>23</v>
      </c>
      <c r="I673" s="7" t="s">
        <v>907</v>
      </c>
      <c r="M673" s="7" t="s">
        <v>37</v>
      </c>
      <c r="N673" s="7" t="s">
        <v>37</v>
      </c>
    </row>
    <row r="674" spans="1:14" ht="15.75" customHeight="1" x14ac:dyDescent="0.2">
      <c r="A674" s="269">
        <v>500</v>
      </c>
      <c r="B674" s="7" t="s">
        <v>920</v>
      </c>
      <c r="C674" s="7">
        <v>12</v>
      </c>
      <c r="D674" s="7" t="s">
        <v>21</v>
      </c>
      <c r="E674" s="7" t="s">
        <v>902</v>
      </c>
      <c r="G674" s="7" t="s">
        <v>917</v>
      </c>
      <c r="H674" s="7" t="s">
        <v>23</v>
      </c>
      <c r="I674" s="7" t="s">
        <v>907</v>
      </c>
      <c r="M674" s="7" t="s">
        <v>37</v>
      </c>
      <c r="N674" s="7" t="s">
        <v>37</v>
      </c>
    </row>
    <row r="675" spans="1:14" ht="15.75" customHeight="1" x14ac:dyDescent="0.2">
      <c r="A675" s="269">
        <v>501</v>
      </c>
      <c r="B675" s="7" t="s">
        <v>920</v>
      </c>
      <c r="C675" s="7">
        <v>12</v>
      </c>
      <c r="D675" s="7" t="s">
        <v>21</v>
      </c>
      <c r="E675" s="7" t="s">
        <v>902</v>
      </c>
      <c r="G675" s="7" t="s">
        <v>917</v>
      </c>
      <c r="H675" s="7" t="s">
        <v>23</v>
      </c>
      <c r="I675" s="7" t="s">
        <v>907</v>
      </c>
      <c r="M675" s="7" t="s">
        <v>37</v>
      </c>
      <c r="N675" s="7" t="s">
        <v>37</v>
      </c>
    </row>
    <row r="676" spans="1:14" ht="15.75" customHeight="1" x14ac:dyDescent="0.2">
      <c r="A676" s="269">
        <v>502</v>
      </c>
      <c r="B676" s="7" t="s">
        <v>921</v>
      </c>
      <c r="C676" s="7">
        <v>12</v>
      </c>
      <c r="D676" s="7" t="s">
        <v>21</v>
      </c>
      <c r="E676" s="7" t="s">
        <v>902</v>
      </c>
      <c r="G676" s="7" t="s">
        <v>919</v>
      </c>
      <c r="H676" s="7" t="s">
        <v>23</v>
      </c>
      <c r="I676" s="7" t="s">
        <v>907</v>
      </c>
      <c r="M676" s="7" t="s">
        <v>37</v>
      </c>
      <c r="N676" s="7" t="s">
        <v>37</v>
      </c>
    </row>
    <row r="677" spans="1:14" ht="15.75" customHeight="1" x14ac:dyDescent="0.2">
      <c r="A677" s="269">
        <v>503</v>
      </c>
      <c r="B677" s="7" t="s">
        <v>921</v>
      </c>
      <c r="C677" s="7">
        <v>12</v>
      </c>
      <c r="D677" s="7" t="s">
        <v>21</v>
      </c>
      <c r="E677" s="7" t="s">
        <v>902</v>
      </c>
      <c r="G677" s="7" t="s">
        <v>919</v>
      </c>
      <c r="H677" s="7" t="s">
        <v>23</v>
      </c>
      <c r="I677" s="7" t="s">
        <v>907</v>
      </c>
      <c r="M677" s="7" t="s">
        <v>37</v>
      </c>
      <c r="N677" s="7" t="s">
        <v>37</v>
      </c>
    </row>
    <row r="678" spans="1:14" ht="15.75" customHeight="1" x14ac:dyDescent="0.2">
      <c r="A678" s="269">
        <v>504</v>
      </c>
      <c r="B678" s="7" t="s">
        <v>921</v>
      </c>
      <c r="C678" s="7">
        <v>12</v>
      </c>
      <c r="D678" s="7" t="s">
        <v>21</v>
      </c>
      <c r="E678" s="7" t="s">
        <v>902</v>
      </c>
      <c r="G678" s="7" t="s">
        <v>919</v>
      </c>
      <c r="H678" s="7" t="s">
        <v>23</v>
      </c>
      <c r="I678" s="7" t="s">
        <v>907</v>
      </c>
      <c r="M678" s="7" t="s">
        <v>37</v>
      </c>
      <c r="N678" s="7" t="s">
        <v>37</v>
      </c>
    </row>
    <row r="679" spans="1:14" ht="15.75" customHeight="1" x14ac:dyDescent="0.2">
      <c r="A679" s="269">
        <v>505</v>
      </c>
      <c r="B679" s="7" t="s">
        <v>922</v>
      </c>
      <c r="C679" s="7">
        <v>12</v>
      </c>
      <c r="D679" s="7" t="s">
        <v>21</v>
      </c>
      <c r="E679" s="7" t="s">
        <v>902</v>
      </c>
      <c r="G679" s="7" t="s">
        <v>919</v>
      </c>
      <c r="H679" s="7" t="s">
        <v>23</v>
      </c>
      <c r="I679" s="7" t="s">
        <v>907</v>
      </c>
      <c r="M679" s="7" t="s">
        <v>37</v>
      </c>
      <c r="N679" s="7" t="s">
        <v>37</v>
      </c>
    </row>
    <row r="680" spans="1:14" ht="15.75" customHeight="1" x14ac:dyDescent="0.2">
      <c r="A680" s="269">
        <v>506</v>
      </c>
      <c r="B680" s="7" t="s">
        <v>922</v>
      </c>
      <c r="C680" s="7">
        <v>12</v>
      </c>
      <c r="D680" s="7" t="s">
        <v>21</v>
      </c>
      <c r="E680" s="7" t="s">
        <v>902</v>
      </c>
      <c r="G680" s="7" t="s">
        <v>919</v>
      </c>
      <c r="H680" s="7" t="s">
        <v>23</v>
      </c>
      <c r="I680" s="7" t="s">
        <v>907</v>
      </c>
      <c r="M680" s="7" t="s">
        <v>37</v>
      </c>
      <c r="N680" s="7" t="s">
        <v>37</v>
      </c>
    </row>
    <row r="681" spans="1:14" ht="15.75" customHeight="1" x14ac:dyDescent="0.2">
      <c r="A681" s="269">
        <v>507</v>
      </c>
      <c r="B681" s="7" t="s">
        <v>922</v>
      </c>
      <c r="C681" s="7">
        <v>12</v>
      </c>
      <c r="D681" s="7" t="s">
        <v>21</v>
      </c>
      <c r="E681" s="7" t="s">
        <v>902</v>
      </c>
      <c r="G681" s="7" t="s">
        <v>919</v>
      </c>
      <c r="H681" s="7" t="s">
        <v>23</v>
      </c>
      <c r="I681" s="7" t="s">
        <v>907</v>
      </c>
      <c r="M681" s="7" t="s">
        <v>37</v>
      </c>
      <c r="N681" s="7" t="s">
        <v>37</v>
      </c>
    </row>
    <row r="682" spans="1:14" ht="15.75" customHeight="1" x14ac:dyDescent="0.2">
      <c r="A682" s="269">
        <v>508</v>
      </c>
      <c r="B682" s="7" t="s">
        <v>923</v>
      </c>
      <c r="C682" s="7">
        <v>12</v>
      </c>
      <c r="D682" s="7" t="s">
        <v>21</v>
      </c>
      <c r="E682" s="7" t="s">
        <v>902</v>
      </c>
      <c r="G682" s="7" t="s">
        <v>917</v>
      </c>
      <c r="H682" s="7" t="s">
        <v>23</v>
      </c>
      <c r="I682" s="7" t="s">
        <v>907</v>
      </c>
      <c r="M682" s="7" t="s">
        <v>37</v>
      </c>
      <c r="N682" s="7" t="s">
        <v>37</v>
      </c>
    </row>
    <row r="683" spans="1:14" ht="15.75" customHeight="1" x14ac:dyDescent="0.2">
      <c r="A683" s="269">
        <v>509</v>
      </c>
      <c r="B683" s="7" t="s">
        <v>923</v>
      </c>
      <c r="C683" s="7">
        <v>12</v>
      </c>
      <c r="D683" s="7" t="s">
        <v>21</v>
      </c>
      <c r="E683" s="7" t="s">
        <v>902</v>
      </c>
      <c r="G683" s="7" t="s">
        <v>917</v>
      </c>
      <c r="H683" s="7" t="s">
        <v>23</v>
      </c>
      <c r="I683" s="7" t="s">
        <v>907</v>
      </c>
      <c r="M683" s="7" t="s">
        <v>37</v>
      </c>
      <c r="N683" s="7" t="s">
        <v>37</v>
      </c>
    </row>
    <row r="684" spans="1:14" ht="15.75" customHeight="1" x14ac:dyDescent="0.2">
      <c r="A684" s="269">
        <v>510</v>
      </c>
      <c r="B684" s="7" t="s">
        <v>923</v>
      </c>
      <c r="C684" s="7">
        <v>12</v>
      </c>
      <c r="D684" s="7" t="s">
        <v>21</v>
      </c>
      <c r="E684" s="7" t="s">
        <v>902</v>
      </c>
      <c r="G684" s="7" t="s">
        <v>917</v>
      </c>
      <c r="H684" s="7" t="s">
        <v>23</v>
      </c>
      <c r="I684" s="7" t="s">
        <v>907</v>
      </c>
      <c r="M684" s="7" t="s">
        <v>37</v>
      </c>
      <c r="N684" s="7" t="s">
        <v>37</v>
      </c>
    </row>
    <row r="685" spans="1:14" ht="15.75" customHeight="1" x14ac:dyDescent="0.2">
      <c r="A685" s="269">
        <v>511</v>
      </c>
      <c r="B685" s="7" t="s">
        <v>924</v>
      </c>
      <c r="C685" s="7">
        <v>12</v>
      </c>
      <c r="D685" s="7" t="s">
        <v>21</v>
      </c>
      <c r="E685" s="7" t="s">
        <v>902</v>
      </c>
      <c r="G685" s="7" t="s">
        <v>919</v>
      </c>
      <c r="H685" s="7" t="s">
        <v>23</v>
      </c>
      <c r="I685" s="7" t="s">
        <v>907</v>
      </c>
      <c r="M685" s="7" t="s">
        <v>37</v>
      </c>
      <c r="N685" s="7" t="s">
        <v>37</v>
      </c>
    </row>
    <row r="686" spans="1:14" ht="15.75" customHeight="1" x14ac:dyDescent="0.2">
      <c r="A686" s="269">
        <v>512</v>
      </c>
      <c r="B686" s="7" t="s">
        <v>924</v>
      </c>
      <c r="C686" s="7">
        <v>12</v>
      </c>
      <c r="D686" s="7" t="s">
        <v>21</v>
      </c>
      <c r="E686" s="7" t="s">
        <v>902</v>
      </c>
      <c r="G686" s="7" t="s">
        <v>919</v>
      </c>
      <c r="H686" s="7" t="s">
        <v>23</v>
      </c>
      <c r="I686" s="7" t="s">
        <v>907</v>
      </c>
      <c r="M686" s="7" t="s">
        <v>37</v>
      </c>
      <c r="N686" s="7" t="s">
        <v>37</v>
      </c>
    </row>
    <row r="687" spans="1:14" ht="15.75" customHeight="1" x14ac:dyDescent="0.2">
      <c r="A687" s="269">
        <v>513</v>
      </c>
      <c r="B687" s="7" t="s">
        <v>924</v>
      </c>
      <c r="C687" s="7">
        <v>12</v>
      </c>
      <c r="D687" s="7" t="s">
        <v>21</v>
      </c>
      <c r="E687" s="7" t="s">
        <v>902</v>
      </c>
      <c r="G687" s="7" t="s">
        <v>919</v>
      </c>
      <c r="H687" s="7" t="s">
        <v>23</v>
      </c>
      <c r="I687" s="7" t="s">
        <v>907</v>
      </c>
      <c r="M687" s="7" t="s">
        <v>37</v>
      </c>
      <c r="N687" s="7" t="s">
        <v>37</v>
      </c>
    </row>
    <row r="688" spans="1:14" ht="15.75" customHeight="1" x14ac:dyDescent="0.2">
      <c r="A688" s="269">
        <v>514</v>
      </c>
      <c r="B688" s="7" t="s">
        <v>925</v>
      </c>
      <c r="C688" s="7">
        <v>12</v>
      </c>
      <c r="D688" s="7" t="s">
        <v>21</v>
      </c>
      <c r="E688" s="7" t="s">
        <v>902</v>
      </c>
      <c r="G688" s="7" t="s">
        <v>917</v>
      </c>
      <c r="H688" s="7" t="s">
        <v>23</v>
      </c>
      <c r="I688" s="7" t="s">
        <v>907</v>
      </c>
      <c r="M688" s="7" t="s">
        <v>37</v>
      </c>
      <c r="N688" s="7" t="s">
        <v>37</v>
      </c>
    </row>
    <row r="689" spans="1:14" ht="15.75" customHeight="1" x14ac:dyDescent="0.2">
      <c r="A689" s="269">
        <v>515</v>
      </c>
      <c r="B689" s="7" t="s">
        <v>925</v>
      </c>
      <c r="C689" s="7">
        <v>12</v>
      </c>
      <c r="D689" s="7" t="s">
        <v>21</v>
      </c>
      <c r="E689" s="7" t="s">
        <v>902</v>
      </c>
      <c r="G689" s="7" t="s">
        <v>917</v>
      </c>
      <c r="H689" s="7" t="s">
        <v>23</v>
      </c>
      <c r="I689" s="7" t="s">
        <v>907</v>
      </c>
      <c r="M689" s="7" t="s">
        <v>37</v>
      </c>
      <c r="N689" s="7" t="s">
        <v>37</v>
      </c>
    </row>
    <row r="690" spans="1:14" ht="15.75" customHeight="1" x14ac:dyDescent="0.2">
      <c r="A690" s="269">
        <v>516</v>
      </c>
      <c r="B690" s="7" t="s">
        <v>925</v>
      </c>
      <c r="C690" s="7">
        <v>12</v>
      </c>
      <c r="D690" s="7" t="s">
        <v>21</v>
      </c>
      <c r="E690" s="7" t="s">
        <v>902</v>
      </c>
      <c r="G690" s="7" t="s">
        <v>917</v>
      </c>
      <c r="H690" s="7" t="s">
        <v>23</v>
      </c>
      <c r="I690" s="7" t="s">
        <v>907</v>
      </c>
      <c r="M690" s="7" t="s">
        <v>37</v>
      </c>
      <c r="N690" s="7" t="s">
        <v>37</v>
      </c>
    </row>
    <row r="691" spans="1:14" ht="15.75" customHeight="1" x14ac:dyDescent="0.2">
      <c r="A691" s="269">
        <v>517</v>
      </c>
      <c r="B691" s="7" t="s">
        <v>926</v>
      </c>
      <c r="C691" s="7">
        <v>12</v>
      </c>
      <c r="D691" s="7" t="s">
        <v>21</v>
      </c>
      <c r="E691" s="7" t="s">
        <v>902</v>
      </c>
      <c r="G691" s="7" t="s">
        <v>927</v>
      </c>
      <c r="H691" s="7" t="s">
        <v>23</v>
      </c>
      <c r="I691" s="7" t="s">
        <v>904</v>
      </c>
      <c r="M691" s="7" t="s">
        <v>37</v>
      </c>
      <c r="N691" s="7" t="s">
        <v>37</v>
      </c>
    </row>
    <row r="692" spans="1:14" ht="15.75" customHeight="1" x14ac:dyDescent="0.2">
      <c r="A692" s="269">
        <v>518</v>
      </c>
      <c r="B692" s="7" t="s">
        <v>926</v>
      </c>
      <c r="C692" s="7">
        <v>12</v>
      </c>
      <c r="D692" s="7" t="s">
        <v>21</v>
      </c>
      <c r="E692" s="7" t="s">
        <v>902</v>
      </c>
      <c r="G692" s="7" t="s">
        <v>927</v>
      </c>
      <c r="H692" s="7" t="s">
        <v>23</v>
      </c>
      <c r="I692" s="7" t="s">
        <v>904</v>
      </c>
      <c r="M692" s="7" t="s">
        <v>37</v>
      </c>
      <c r="N692" s="7" t="s">
        <v>37</v>
      </c>
    </row>
    <row r="693" spans="1:14" ht="15.75" customHeight="1" x14ac:dyDescent="0.2">
      <c r="A693" s="269">
        <v>519</v>
      </c>
      <c r="B693" s="7" t="s">
        <v>926</v>
      </c>
      <c r="C693" s="7">
        <v>12</v>
      </c>
      <c r="D693" s="7" t="s">
        <v>21</v>
      </c>
      <c r="E693" s="7" t="s">
        <v>902</v>
      </c>
      <c r="G693" s="7" t="s">
        <v>927</v>
      </c>
      <c r="H693" s="7" t="s">
        <v>23</v>
      </c>
      <c r="I693" s="7" t="s">
        <v>904</v>
      </c>
      <c r="M693" s="7" t="s">
        <v>37</v>
      </c>
      <c r="N693" s="7" t="s">
        <v>37</v>
      </c>
    </row>
    <row r="694" spans="1:14" ht="15.75" customHeight="1" x14ac:dyDescent="0.2">
      <c r="A694" s="269">
        <v>520</v>
      </c>
      <c r="B694" s="7" t="s">
        <v>928</v>
      </c>
      <c r="C694" s="7">
        <v>12</v>
      </c>
      <c r="D694" s="7" t="s">
        <v>21</v>
      </c>
      <c r="E694" s="7" t="s">
        <v>902</v>
      </c>
      <c r="G694" s="7" t="s">
        <v>929</v>
      </c>
      <c r="H694" s="7" t="s">
        <v>23</v>
      </c>
      <c r="I694" s="7" t="s">
        <v>904</v>
      </c>
      <c r="M694" s="7" t="s">
        <v>37</v>
      </c>
      <c r="N694" s="7" t="s">
        <v>37</v>
      </c>
    </row>
    <row r="695" spans="1:14" ht="15.75" customHeight="1" x14ac:dyDescent="0.2">
      <c r="A695" s="269">
        <v>521</v>
      </c>
      <c r="B695" s="7" t="s">
        <v>928</v>
      </c>
      <c r="C695" s="7">
        <v>12</v>
      </c>
      <c r="D695" s="7" t="s">
        <v>21</v>
      </c>
      <c r="E695" s="7" t="s">
        <v>902</v>
      </c>
      <c r="G695" s="7" t="s">
        <v>929</v>
      </c>
      <c r="H695" s="7" t="s">
        <v>23</v>
      </c>
      <c r="I695" s="7" t="s">
        <v>904</v>
      </c>
      <c r="M695" s="7" t="s">
        <v>37</v>
      </c>
      <c r="N695" s="7" t="s">
        <v>37</v>
      </c>
    </row>
    <row r="696" spans="1:14" ht="15.75" customHeight="1" x14ac:dyDescent="0.2">
      <c r="A696" s="269">
        <v>522</v>
      </c>
      <c r="B696" s="7" t="s">
        <v>928</v>
      </c>
      <c r="C696" s="7">
        <v>12</v>
      </c>
      <c r="D696" s="7" t="s">
        <v>21</v>
      </c>
      <c r="E696" s="7" t="s">
        <v>902</v>
      </c>
      <c r="G696" s="7" t="s">
        <v>929</v>
      </c>
      <c r="H696" s="7" t="s">
        <v>23</v>
      </c>
      <c r="I696" s="7" t="s">
        <v>904</v>
      </c>
      <c r="M696" s="7" t="s">
        <v>37</v>
      </c>
      <c r="N696" s="7" t="s">
        <v>37</v>
      </c>
    </row>
    <row r="697" spans="1:14" ht="15.75" customHeight="1" x14ac:dyDescent="0.2">
      <c r="A697" s="269">
        <v>523</v>
      </c>
      <c r="B697" s="7" t="s">
        <v>930</v>
      </c>
      <c r="C697" s="7">
        <v>12</v>
      </c>
      <c r="D697" s="7" t="s">
        <v>21</v>
      </c>
      <c r="E697" s="7" t="s">
        <v>902</v>
      </c>
      <c r="G697" s="7" t="s">
        <v>927</v>
      </c>
      <c r="H697" s="7" t="s">
        <v>23</v>
      </c>
      <c r="I697" s="7" t="s">
        <v>904</v>
      </c>
      <c r="M697" s="7" t="s">
        <v>37</v>
      </c>
      <c r="N697" s="7" t="s">
        <v>37</v>
      </c>
    </row>
    <row r="698" spans="1:14" ht="15.75" customHeight="1" x14ac:dyDescent="0.2">
      <c r="A698" s="269">
        <v>524</v>
      </c>
      <c r="B698" s="7" t="s">
        <v>930</v>
      </c>
      <c r="C698" s="7">
        <v>12</v>
      </c>
      <c r="D698" s="7" t="s">
        <v>21</v>
      </c>
      <c r="E698" s="7" t="s">
        <v>902</v>
      </c>
      <c r="G698" s="7" t="s">
        <v>927</v>
      </c>
      <c r="H698" s="7" t="s">
        <v>23</v>
      </c>
      <c r="I698" s="7" t="s">
        <v>904</v>
      </c>
      <c r="M698" s="7" t="s">
        <v>37</v>
      </c>
      <c r="N698" s="7" t="s">
        <v>37</v>
      </c>
    </row>
    <row r="699" spans="1:14" ht="15.75" customHeight="1" x14ac:dyDescent="0.2">
      <c r="A699" s="269">
        <v>525</v>
      </c>
      <c r="B699" s="7" t="s">
        <v>930</v>
      </c>
      <c r="C699" s="7">
        <v>12</v>
      </c>
      <c r="D699" s="7" t="s">
        <v>21</v>
      </c>
      <c r="E699" s="7" t="s">
        <v>902</v>
      </c>
      <c r="G699" s="7" t="s">
        <v>927</v>
      </c>
      <c r="H699" s="7" t="s">
        <v>23</v>
      </c>
      <c r="I699" s="7" t="s">
        <v>904</v>
      </c>
      <c r="M699" s="7" t="s">
        <v>37</v>
      </c>
      <c r="N699" s="7" t="s">
        <v>37</v>
      </c>
    </row>
    <row r="700" spans="1:14" ht="15.75" customHeight="1" x14ac:dyDescent="0.2">
      <c r="A700" s="269">
        <v>526</v>
      </c>
      <c r="B700" s="7" t="s">
        <v>931</v>
      </c>
      <c r="C700" s="7">
        <v>12</v>
      </c>
      <c r="D700" s="7" t="s">
        <v>21</v>
      </c>
      <c r="E700" s="7" t="s">
        <v>902</v>
      </c>
      <c r="G700" s="7" t="s">
        <v>927</v>
      </c>
      <c r="H700" s="7" t="s">
        <v>23</v>
      </c>
      <c r="I700" s="7" t="s">
        <v>904</v>
      </c>
      <c r="M700" s="7" t="s">
        <v>37</v>
      </c>
      <c r="N700" s="7" t="s">
        <v>37</v>
      </c>
    </row>
    <row r="701" spans="1:14" ht="15.75" customHeight="1" x14ac:dyDescent="0.2">
      <c r="A701" s="269">
        <v>527</v>
      </c>
      <c r="B701" s="7" t="s">
        <v>931</v>
      </c>
      <c r="C701" s="7">
        <v>12</v>
      </c>
      <c r="D701" s="7" t="s">
        <v>21</v>
      </c>
      <c r="E701" s="7" t="s">
        <v>902</v>
      </c>
      <c r="G701" s="7" t="s">
        <v>927</v>
      </c>
      <c r="H701" s="7" t="s">
        <v>23</v>
      </c>
      <c r="I701" s="7" t="s">
        <v>904</v>
      </c>
      <c r="M701" s="7" t="s">
        <v>37</v>
      </c>
      <c r="N701" s="7" t="s">
        <v>37</v>
      </c>
    </row>
    <row r="702" spans="1:14" ht="15.75" customHeight="1" x14ac:dyDescent="0.2">
      <c r="A702" s="269">
        <v>528</v>
      </c>
      <c r="B702" s="7" t="s">
        <v>931</v>
      </c>
      <c r="C702" s="7">
        <v>12</v>
      </c>
      <c r="D702" s="7" t="s">
        <v>21</v>
      </c>
      <c r="E702" s="7" t="s">
        <v>902</v>
      </c>
      <c r="G702" s="7" t="s">
        <v>927</v>
      </c>
      <c r="H702" s="7" t="s">
        <v>23</v>
      </c>
      <c r="I702" s="7" t="s">
        <v>904</v>
      </c>
      <c r="M702" s="7" t="s">
        <v>37</v>
      </c>
      <c r="N702" s="7" t="s">
        <v>37</v>
      </c>
    </row>
    <row r="703" spans="1:14" ht="15.75" customHeight="1" x14ac:dyDescent="0.2">
      <c r="A703" s="269">
        <v>529</v>
      </c>
      <c r="B703" s="7" t="s">
        <v>932</v>
      </c>
      <c r="C703" s="7">
        <v>12</v>
      </c>
      <c r="D703" s="7" t="s">
        <v>21</v>
      </c>
      <c r="E703" s="7" t="s">
        <v>902</v>
      </c>
      <c r="G703" s="7" t="s">
        <v>927</v>
      </c>
      <c r="H703" s="7" t="s">
        <v>23</v>
      </c>
      <c r="I703" s="7" t="s">
        <v>904</v>
      </c>
      <c r="M703" s="7" t="s">
        <v>37</v>
      </c>
      <c r="N703" s="7" t="s">
        <v>37</v>
      </c>
    </row>
    <row r="704" spans="1:14" ht="15.75" customHeight="1" x14ac:dyDescent="0.2">
      <c r="A704" s="269">
        <v>530</v>
      </c>
      <c r="B704" s="7" t="s">
        <v>932</v>
      </c>
      <c r="C704" s="7">
        <v>12</v>
      </c>
      <c r="D704" s="7" t="s">
        <v>21</v>
      </c>
      <c r="E704" s="7" t="s">
        <v>902</v>
      </c>
      <c r="G704" s="7" t="s">
        <v>927</v>
      </c>
      <c r="H704" s="7" t="s">
        <v>23</v>
      </c>
      <c r="I704" s="7" t="s">
        <v>904</v>
      </c>
      <c r="M704" s="7" t="s">
        <v>37</v>
      </c>
      <c r="N704" s="7" t="s">
        <v>37</v>
      </c>
    </row>
    <row r="705" spans="1:14" ht="15.75" customHeight="1" x14ac:dyDescent="0.2">
      <c r="A705" s="269">
        <v>531</v>
      </c>
      <c r="B705" s="7" t="s">
        <v>932</v>
      </c>
      <c r="C705" s="7">
        <v>12</v>
      </c>
      <c r="D705" s="7" t="s">
        <v>21</v>
      </c>
      <c r="E705" s="7" t="s">
        <v>902</v>
      </c>
      <c r="G705" s="7" t="s">
        <v>927</v>
      </c>
      <c r="H705" s="7" t="s">
        <v>23</v>
      </c>
      <c r="I705" s="7" t="s">
        <v>904</v>
      </c>
      <c r="M705" s="7" t="s">
        <v>37</v>
      </c>
      <c r="N705" s="7" t="s">
        <v>37</v>
      </c>
    </row>
    <row r="706" spans="1:14" ht="15.75" customHeight="1" x14ac:dyDescent="0.2">
      <c r="A706" s="269">
        <v>532</v>
      </c>
      <c r="B706" s="7" t="s">
        <v>933</v>
      </c>
      <c r="C706" s="7">
        <v>12</v>
      </c>
      <c r="D706" s="7" t="s">
        <v>21</v>
      </c>
      <c r="E706" s="7" t="s">
        <v>902</v>
      </c>
      <c r="G706" s="7" t="s">
        <v>929</v>
      </c>
      <c r="H706" s="7" t="s">
        <v>23</v>
      </c>
      <c r="I706" s="7" t="s">
        <v>904</v>
      </c>
      <c r="M706" s="7" t="s">
        <v>37</v>
      </c>
      <c r="N706" s="7" t="s">
        <v>37</v>
      </c>
    </row>
    <row r="707" spans="1:14" ht="15.75" customHeight="1" x14ac:dyDescent="0.2">
      <c r="A707" s="269">
        <v>533</v>
      </c>
      <c r="B707" s="7" t="s">
        <v>933</v>
      </c>
      <c r="C707" s="7">
        <v>12</v>
      </c>
      <c r="D707" s="7" t="s">
        <v>21</v>
      </c>
      <c r="E707" s="7" t="s">
        <v>902</v>
      </c>
      <c r="G707" s="7" t="s">
        <v>929</v>
      </c>
      <c r="H707" s="7" t="s">
        <v>23</v>
      </c>
      <c r="I707" s="7" t="s">
        <v>904</v>
      </c>
      <c r="M707" s="7" t="s">
        <v>37</v>
      </c>
      <c r="N707" s="7" t="s">
        <v>37</v>
      </c>
    </row>
    <row r="708" spans="1:14" ht="15.75" customHeight="1" x14ac:dyDescent="0.2">
      <c r="A708" s="269">
        <v>534</v>
      </c>
      <c r="B708" s="7" t="s">
        <v>933</v>
      </c>
      <c r="C708" s="7">
        <v>12</v>
      </c>
      <c r="D708" s="7" t="s">
        <v>21</v>
      </c>
      <c r="E708" s="7" t="s">
        <v>902</v>
      </c>
      <c r="G708" s="7" t="s">
        <v>929</v>
      </c>
      <c r="H708" s="7" t="s">
        <v>23</v>
      </c>
      <c r="I708" s="7" t="s">
        <v>904</v>
      </c>
      <c r="M708" s="7" t="s">
        <v>37</v>
      </c>
      <c r="N708" s="7" t="s">
        <v>37</v>
      </c>
    </row>
    <row r="709" spans="1:14" ht="15.75" customHeight="1" x14ac:dyDescent="0.2">
      <c r="A709" s="269">
        <v>535</v>
      </c>
      <c r="B709" s="7" t="s">
        <v>934</v>
      </c>
      <c r="C709" s="7">
        <v>12</v>
      </c>
      <c r="D709" s="7" t="s">
        <v>21</v>
      </c>
      <c r="E709" s="7" t="s">
        <v>902</v>
      </c>
      <c r="G709" s="7" t="s">
        <v>929</v>
      </c>
      <c r="H709" s="7" t="s">
        <v>23</v>
      </c>
      <c r="I709" s="7" t="s">
        <v>904</v>
      </c>
      <c r="M709" s="7" t="s">
        <v>37</v>
      </c>
      <c r="N709" s="7" t="s">
        <v>37</v>
      </c>
    </row>
    <row r="710" spans="1:14" ht="15.75" customHeight="1" x14ac:dyDescent="0.2">
      <c r="A710" s="269">
        <v>536</v>
      </c>
      <c r="B710" s="7" t="s">
        <v>934</v>
      </c>
      <c r="C710" s="7">
        <v>12</v>
      </c>
      <c r="D710" s="7" t="s">
        <v>21</v>
      </c>
      <c r="E710" s="7" t="s">
        <v>902</v>
      </c>
      <c r="G710" s="7" t="s">
        <v>929</v>
      </c>
      <c r="H710" s="7" t="s">
        <v>23</v>
      </c>
      <c r="I710" s="7" t="s">
        <v>904</v>
      </c>
      <c r="M710" s="7" t="s">
        <v>37</v>
      </c>
      <c r="N710" s="7" t="s">
        <v>37</v>
      </c>
    </row>
    <row r="711" spans="1:14" ht="15.75" customHeight="1" x14ac:dyDescent="0.2">
      <c r="A711" s="269">
        <v>537</v>
      </c>
      <c r="B711" s="7" t="s">
        <v>934</v>
      </c>
      <c r="C711" s="7">
        <v>12</v>
      </c>
      <c r="D711" s="7" t="s">
        <v>21</v>
      </c>
      <c r="E711" s="7" t="s">
        <v>902</v>
      </c>
      <c r="G711" s="7" t="s">
        <v>929</v>
      </c>
      <c r="H711" s="7" t="s">
        <v>23</v>
      </c>
      <c r="I711" s="7" t="s">
        <v>904</v>
      </c>
      <c r="M711" s="7" t="s">
        <v>37</v>
      </c>
      <c r="N711" s="7" t="s">
        <v>37</v>
      </c>
    </row>
    <row r="712" spans="1:14" ht="15.75" customHeight="1" x14ac:dyDescent="0.2">
      <c r="A712" s="269">
        <v>538</v>
      </c>
      <c r="B712" s="7" t="s">
        <v>935</v>
      </c>
      <c r="C712" s="7">
        <v>12</v>
      </c>
      <c r="D712" s="7" t="s">
        <v>21</v>
      </c>
      <c r="E712" s="7" t="s">
        <v>902</v>
      </c>
      <c r="G712" s="7" t="s">
        <v>929</v>
      </c>
      <c r="H712" s="7" t="s">
        <v>23</v>
      </c>
      <c r="I712" s="7" t="s">
        <v>904</v>
      </c>
      <c r="M712" s="7" t="s">
        <v>37</v>
      </c>
      <c r="N712" s="7" t="s">
        <v>37</v>
      </c>
    </row>
    <row r="713" spans="1:14" ht="15.75" customHeight="1" x14ac:dyDescent="0.2">
      <c r="A713" s="269">
        <v>539</v>
      </c>
      <c r="B713" s="7" t="s">
        <v>935</v>
      </c>
      <c r="C713" s="7">
        <v>12</v>
      </c>
      <c r="D713" s="7" t="s">
        <v>21</v>
      </c>
      <c r="E713" s="7" t="s">
        <v>902</v>
      </c>
      <c r="G713" s="7" t="s">
        <v>929</v>
      </c>
      <c r="H713" s="7" t="s">
        <v>23</v>
      </c>
      <c r="I713" s="7" t="s">
        <v>904</v>
      </c>
      <c r="M713" s="7" t="s">
        <v>37</v>
      </c>
      <c r="N713" s="7" t="s">
        <v>37</v>
      </c>
    </row>
    <row r="714" spans="1:14" ht="15.75" customHeight="1" x14ac:dyDescent="0.2">
      <c r="A714" s="269">
        <v>540</v>
      </c>
      <c r="B714" s="7" t="s">
        <v>935</v>
      </c>
      <c r="C714" s="7">
        <v>12</v>
      </c>
      <c r="D714" s="7" t="s">
        <v>21</v>
      </c>
      <c r="E714" s="7" t="s">
        <v>902</v>
      </c>
      <c r="G714" s="7" t="s">
        <v>929</v>
      </c>
      <c r="H714" s="7" t="s">
        <v>23</v>
      </c>
      <c r="I714" s="7" t="s">
        <v>904</v>
      </c>
      <c r="M714" s="7" t="s">
        <v>37</v>
      </c>
      <c r="N714" s="7" t="s">
        <v>37</v>
      </c>
    </row>
    <row r="715" spans="1:14" ht="15.75" customHeight="1" x14ac:dyDescent="0.2">
      <c r="A715" s="269">
        <v>541</v>
      </c>
      <c r="B715" s="7" t="s">
        <v>936</v>
      </c>
      <c r="C715" s="7">
        <v>12</v>
      </c>
      <c r="D715" s="7" t="s">
        <v>21</v>
      </c>
      <c r="E715" s="7" t="s">
        <v>902</v>
      </c>
      <c r="G715" s="7" t="s">
        <v>937</v>
      </c>
      <c r="H715" s="7" t="s">
        <v>23</v>
      </c>
      <c r="I715" s="7" t="s">
        <v>904</v>
      </c>
      <c r="M715" s="7" t="s">
        <v>28</v>
      </c>
      <c r="N715" s="7" t="s">
        <v>37</v>
      </c>
    </row>
    <row r="716" spans="1:14" ht="15.75" customHeight="1" x14ac:dyDescent="0.2">
      <c r="A716" s="269">
        <v>542</v>
      </c>
      <c r="B716" s="7" t="s">
        <v>936</v>
      </c>
      <c r="C716" s="7">
        <v>12</v>
      </c>
      <c r="D716" s="7" t="s">
        <v>21</v>
      </c>
      <c r="E716" s="7" t="s">
        <v>902</v>
      </c>
      <c r="G716" s="7" t="s">
        <v>937</v>
      </c>
      <c r="H716" s="7" t="s">
        <v>23</v>
      </c>
      <c r="I716" s="7" t="s">
        <v>904</v>
      </c>
      <c r="M716" s="7" t="s">
        <v>37</v>
      </c>
      <c r="N716" s="7" t="s">
        <v>37</v>
      </c>
    </row>
    <row r="717" spans="1:14" ht="15.75" customHeight="1" x14ac:dyDescent="0.2">
      <c r="A717" s="269">
        <v>543</v>
      </c>
      <c r="B717" s="7" t="s">
        <v>936</v>
      </c>
      <c r="C717" s="7">
        <v>12</v>
      </c>
      <c r="D717" s="7" t="s">
        <v>21</v>
      </c>
      <c r="E717" s="7" t="s">
        <v>902</v>
      </c>
      <c r="G717" s="7" t="s">
        <v>937</v>
      </c>
      <c r="H717" s="7" t="s">
        <v>23</v>
      </c>
      <c r="I717" s="7" t="s">
        <v>904</v>
      </c>
      <c r="M717" s="7" t="s">
        <v>37</v>
      </c>
      <c r="N717" s="7" t="s">
        <v>37</v>
      </c>
    </row>
    <row r="718" spans="1:14" ht="15.75" customHeight="1" x14ac:dyDescent="0.2">
      <c r="A718" s="269">
        <v>544</v>
      </c>
      <c r="B718" s="7" t="s">
        <v>938</v>
      </c>
      <c r="C718" s="7">
        <v>12</v>
      </c>
      <c r="D718" s="7" t="s">
        <v>21</v>
      </c>
      <c r="E718" s="7" t="s">
        <v>902</v>
      </c>
      <c r="G718" s="7" t="s">
        <v>937</v>
      </c>
      <c r="H718" s="7" t="s">
        <v>23</v>
      </c>
      <c r="I718" s="7" t="s">
        <v>904</v>
      </c>
      <c r="M718" s="7" t="s">
        <v>37</v>
      </c>
      <c r="N718" s="7" t="s">
        <v>37</v>
      </c>
    </row>
    <row r="719" spans="1:14" ht="15.75" customHeight="1" x14ac:dyDescent="0.2">
      <c r="A719" s="269">
        <v>545</v>
      </c>
      <c r="B719" s="7" t="s">
        <v>938</v>
      </c>
      <c r="C719" s="7">
        <v>12</v>
      </c>
      <c r="D719" s="7" t="s">
        <v>21</v>
      </c>
      <c r="E719" s="7" t="s">
        <v>902</v>
      </c>
      <c r="G719" s="7" t="s">
        <v>937</v>
      </c>
      <c r="H719" s="7" t="s">
        <v>23</v>
      </c>
      <c r="I719" s="7" t="s">
        <v>904</v>
      </c>
      <c r="M719" s="7" t="s">
        <v>37</v>
      </c>
      <c r="N719" s="7" t="s">
        <v>37</v>
      </c>
    </row>
    <row r="720" spans="1:14" ht="15.75" customHeight="1" x14ac:dyDescent="0.2">
      <c r="A720" s="269">
        <v>546</v>
      </c>
      <c r="B720" s="7" t="s">
        <v>938</v>
      </c>
      <c r="C720" s="7">
        <v>12</v>
      </c>
      <c r="D720" s="7" t="s">
        <v>21</v>
      </c>
      <c r="E720" s="7" t="s">
        <v>902</v>
      </c>
      <c r="G720" s="7" t="s">
        <v>937</v>
      </c>
      <c r="H720" s="7" t="s">
        <v>23</v>
      </c>
      <c r="I720" s="7" t="s">
        <v>904</v>
      </c>
      <c r="M720" s="7" t="s">
        <v>28</v>
      </c>
      <c r="N720" s="7" t="s">
        <v>37</v>
      </c>
    </row>
    <row r="721" spans="1:14" ht="15.75" customHeight="1" x14ac:dyDescent="0.2">
      <c r="A721" s="269">
        <v>547</v>
      </c>
      <c r="B721" s="7" t="s">
        <v>939</v>
      </c>
      <c r="C721" s="7">
        <v>12</v>
      </c>
      <c r="D721" s="7" t="s">
        <v>21</v>
      </c>
      <c r="E721" s="7" t="s">
        <v>902</v>
      </c>
      <c r="G721" s="7" t="s">
        <v>940</v>
      </c>
      <c r="H721" s="7" t="s">
        <v>23</v>
      </c>
      <c r="I721" s="7" t="s">
        <v>904</v>
      </c>
      <c r="M721" s="7" t="s">
        <v>37</v>
      </c>
      <c r="N721" s="7" t="s">
        <v>37</v>
      </c>
    </row>
    <row r="722" spans="1:14" ht="15.75" customHeight="1" x14ac:dyDescent="0.2">
      <c r="A722" s="269">
        <v>548</v>
      </c>
      <c r="B722" s="7" t="s">
        <v>939</v>
      </c>
      <c r="C722" s="7">
        <v>12</v>
      </c>
      <c r="D722" s="7" t="s">
        <v>21</v>
      </c>
      <c r="E722" s="7" t="s">
        <v>902</v>
      </c>
      <c r="G722" s="7" t="s">
        <v>940</v>
      </c>
      <c r="H722" s="7" t="s">
        <v>23</v>
      </c>
      <c r="I722" s="7" t="s">
        <v>904</v>
      </c>
      <c r="M722" s="7" t="s">
        <v>37</v>
      </c>
      <c r="N722" s="7" t="s">
        <v>37</v>
      </c>
    </row>
    <row r="723" spans="1:14" ht="15.75" customHeight="1" x14ac:dyDescent="0.2">
      <c r="A723" s="269">
        <v>549</v>
      </c>
      <c r="B723" s="7" t="s">
        <v>939</v>
      </c>
      <c r="C723" s="7">
        <v>12</v>
      </c>
      <c r="D723" s="7" t="s">
        <v>21</v>
      </c>
      <c r="E723" s="7" t="s">
        <v>902</v>
      </c>
      <c r="G723" s="7" t="s">
        <v>940</v>
      </c>
      <c r="H723" s="7" t="s">
        <v>23</v>
      </c>
      <c r="I723" s="7" t="s">
        <v>904</v>
      </c>
      <c r="M723" s="7" t="s">
        <v>37</v>
      </c>
      <c r="N723" s="7" t="s">
        <v>37</v>
      </c>
    </row>
    <row r="724" spans="1:14" ht="15.75" customHeight="1" x14ac:dyDescent="0.2">
      <c r="A724" s="269">
        <v>550</v>
      </c>
      <c r="B724" s="7" t="s">
        <v>941</v>
      </c>
      <c r="C724" s="7">
        <v>12</v>
      </c>
      <c r="D724" s="7" t="s">
        <v>21</v>
      </c>
      <c r="E724" s="7" t="s">
        <v>902</v>
      </c>
      <c r="G724" s="7" t="s">
        <v>940</v>
      </c>
      <c r="H724" s="7" t="s">
        <v>23</v>
      </c>
      <c r="I724" s="7" t="s">
        <v>904</v>
      </c>
      <c r="M724" s="7" t="s">
        <v>37</v>
      </c>
      <c r="N724" s="7" t="s">
        <v>37</v>
      </c>
    </row>
    <row r="725" spans="1:14" ht="15.75" customHeight="1" x14ac:dyDescent="0.2">
      <c r="A725" s="269">
        <v>551</v>
      </c>
      <c r="B725" s="7" t="s">
        <v>941</v>
      </c>
      <c r="C725" s="7">
        <v>12</v>
      </c>
      <c r="D725" s="7" t="s">
        <v>21</v>
      </c>
      <c r="E725" s="7" t="s">
        <v>902</v>
      </c>
      <c r="G725" s="7" t="s">
        <v>940</v>
      </c>
      <c r="H725" s="7" t="s">
        <v>23</v>
      </c>
      <c r="I725" s="7" t="s">
        <v>904</v>
      </c>
      <c r="M725" s="7" t="s">
        <v>37</v>
      </c>
      <c r="N725" s="7" t="s">
        <v>37</v>
      </c>
    </row>
    <row r="726" spans="1:14" ht="15.75" customHeight="1" x14ac:dyDescent="0.2">
      <c r="A726" s="269">
        <v>552</v>
      </c>
      <c r="B726" s="7" t="s">
        <v>941</v>
      </c>
      <c r="C726" s="7">
        <v>12</v>
      </c>
      <c r="D726" s="7" t="s">
        <v>21</v>
      </c>
      <c r="E726" s="7" t="s">
        <v>902</v>
      </c>
      <c r="G726" s="7" t="s">
        <v>940</v>
      </c>
      <c r="H726" s="7" t="s">
        <v>23</v>
      </c>
      <c r="I726" s="7" t="s">
        <v>904</v>
      </c>
      <c r="M726" s="7" t="s">
        <v>28</v>
      </c>
      <c r="N726" s="7" t="s">
        <v>37</v>
      </c>
    </row>
    <row r="727" spans="1:14" ht="15.75" customHeight="1" x14ac:dyDescent="0.2">
      <c r="A727" s="269">
        <v>553</v>
      </c>
      <c r="B727" s="7" t="s">
        <v>942</v>
      </c>
      <c r="C727" s="7">
        <v>12</v>
      </c>
      <c r="D727" s="7" t="s">
        <v>21</v>
      </c>
      <c r="E727" s="7" t="s">
        <v>902</v>
      </c>
      <c r="G727" s="7" t="s">
        <v>940</v>
      </c>
      <c r="H727" s="7" t="s">
        <v>23</v>
      </c>
      <c r="I727" s="7" t="s">
        <v>904</v>
      </c>
      <c r="M727" s="7" t="s">
        <v>28</v>
      </c>
      <c r="N727" s="7" t="s">
        <v>37</v>
      </c>
    </row>
    <row r="728" spans="1:14" ht="15.75" customHeight="1" x14ac:dyDescent="0.2">
      <c r="A728" s="269">
        <v>554</v>
      </c>
      <c r="B728" s="7" t="s">
        <v>942</v>
      </c>
      <c r="C728" s="7">
        <v>12</v>
      </c>
      <c r="D728" s="7" t="s">
        <v>21</v>
      </c>
      <c r="E728" s="7" t="s">
        <v>902</v>
      </c>
      <c r="G728" s="7" t="s">
        <v>940</v>
      </c>
      <c r="H728" s="7" t="s">
        <v>23</v>
      </c>
      <c r="I728" s="7" t="s">
        <v>904</v>
      </c>
      <c r="M728" s="7" t="s">
        <v>37</v>
      </c>
      <c r="N728" s="7" t="s">
        <v>37</v>
      </c>
    </row>
    <row r="729" spans="1:14" ht="15.75" customHeight="1" x14ac:dyDescent="0.2">
      <c r="A729" s="269">
        <v>555</v>
      </c>
      <c r="B729" s="7" t="s">
        <v>942</v>
      </c>
      <c r="C729" s="7">
        <v>12</v>
      </c>
      <c r="D729" s="7" t="s">
        <v>21</v>
      </c>
      <c r="E729" s="7" t="s">
        <v>902</v>
      </c>
      <c r="G729" s="7" t="s">
        <v>940</v>
      </c>
      <c r="H729" s="7" t="s">
        <v>23</v>
      </c>
      <c r="I729" s="7" t="s">
        <v>904</v>
      </c>
      <c r="M729" s="7" t="s">
        <v>37</v>
      </c>
      <c r="N729" s="7" t="s">
        <v>37</v>
      </c>
    </row>
    <row r="730" spans="1:14" ht="15.75" customHeight="1" x14ac:dyDescent="0.2">
      <c r="A730" s="269">
        <v>556</v>
      </c>
      <c r="B730" s="7" t="s">
        <v>943</v>
      </c>
      <c r="C730" s="7">
        <v>12</v>
      </c>
      <c r="D730" s="7" t="s">
        <v>21</v>
      </c>
      <c r="E730" s="7" t="s">
        <v>902</v>
      </c>
      <c r="G730" s="7" t="s">
        <v>937</v>
      </c>
      <c r="H730" s="7" t="s">
        <v>23</v>
      </c>
      <c r="I730" s="7" t="s">
        <v>904</v>
      </c>
      <c r="M730" s="7" t="s">
        <v>37</v>
      </c>
      <c r="N730" s="7" t="s">
        <v>37</v>
      </c>
    </row>
    <row r="731" spans="1:14" ht="15.75" customHeight="1" x14ac:dyDescent="0.2">
      <c r="A731" s="269">
        <v>557</v>
      </c>
      <c r="B731" s="7" t="s">
        <v>943</v>
      </c>
      <c r="C731" s="7">
        <v>12</v>
      </c>
      <c r="D731" s="7" t="s">
        <v>21</v>
      </c>
      <c r="E731" s="7" t="s">
        <v>902</v>
      </c>
      <c r="G731" s="7" t="s">
        <v>937</v>
      </c>
      <c r="H731" s="7" t="s">
        <v>23</v>
      </c>
      <c r="I731" s="7" t="s">
        <v>904</v>
      </c>
      <c r="M731" s="7" t="s">
        <v>37</v>
      </c>
      <c r="N731" s="7" t="s">
        <v>37</v>
      </c>
    </row>
    <row r="732" spans="1:14" ht="15.75" customHeight="1" x14ac:dyDescent="0.2">
      <c r="A732" s="269">
        <v>558</v>
      </c>
      <c r="B732" s="7" t="s">
        <v>943</v>
      </c>
      <c r="C732" s="7">
        <v>12</v>
      </c>
      <c r="D732" s="7" t="s">
        <v>21</v>
      </c>
      <c r="E732" s="7" t="s">
        <v>902</v>
      </c>
      <c r="G732" s="7" t="s">
        <v>937</v>
      </c>
      <c r="H732" s="7" t="s">
        <v>23</v>
      </c>
      <c r="I732" s="7" t="s">
        <v>904</v>
      </c>
      <c r="M732" s="7" t="s">
        <v>37</v>
      </c>
      <c r="N732" s="7" t="s">
        <v>37</v>
      </c>
    </row>
    <row r="733" spans="1:14" ht="15.75" customHeight="1" x14ac:dyDescent="0.2">
      <c r="A733" s="269">
        <v>559</v>
      </c>
      <c r="B733" s="7" t="s">
        <v>944</v>
      </c>
      <c r="C733" s="7">
        <v>12</v>
      </c>
      <c r="D733" s="7" t="s">
        <v>21</v>
      </c>
      <c r="E733" s="7" t="s">
        <v>902</v>
      </c>
      <c r="G733" s="7" t="s">
        <v>937</v>
      </c>
      <c r="H733" s="7" t="s">
        <v>23</v>
      </c>
      <c r="I733" s="7" t="s">
        <v>904</v>
      </c>
      <c r="M733" s="7" t="s">
        <v>37</v>
      </c>
      <c r="N733" s="7" t="s">
        <v>37</v>
      </c>
    </row>
    <row r="734" spans="1:14" ht="15.75" customHeight="1" x14ac:dyDescent="0.2">
      <c r="A734" s="269">
        <v>560</v>
      </c>
      <c r="B734" s="7" t="s">
        <v>944</v>
      </c>
      <c r="C734" s="7">
        <v>12</v>
      </c>
      <c r="D734" s="7" t="s">
        <v>21</v>
      </c>
      <c r="E734" s="7" t="s">
        <v>902</v>
      </c>
      <c r="G734" s="7" t="s">
        <v>937</v>
      </c>
      <c r="H734" s="7" t="s">
        <v>23</v>
      </c>
      <c r="I734" s="7" t="s">
        <v>904</v>
      </c>
      <c r="M734" s="7" t="s">
        <v>37</v>
      </c>
      <c r="N734" s="7" t="s">
        <v>37</v>
      </c>
    </row>
    <row r="735" spans="1:14" ht="15.75" customHeight="1" x14ac:dyDescent="0.2">
      <c r="A735" s="269">
        <v>561</v>
      </c>
      <c r="B735" s="7" t="s">
        <v>944</v>
      </c>
      <c r="C735" s="7">
        <v>12</v>
      </c>
      <c r="D735" s="7" t="s">
        <v>21</v>
      </c>
      <c r="E735" s="7" t="s">
        <v>902</v>
      </c>
      <c r="G735" s="7" t="s">
        <v>937</v>
      </c>
      <c r="H735" s="7" t="s">
        <v>23</v>
      </c>
      <c r="I735" s="7" t="s">
        <v>904</v>
      </c>
      <c r="M735" s="7" t="s">
        <v>28</v>
      </c>
      <c r="N735" s="7" t="s">
        <v>37</v>
      </c>
    </row>
    <row r="736" spans="1:14" ht="15.75" customHeight="1" x14ac:dyDescent="0.2">
      <c r="A736" s="269">
        <v>562</v>
      </c>
      <c r="B736" s="7" t="s">
        <v>943</v>
      </c>
      <c r="C736" s="7">
        <v>12</v>
      </c>
      <c r="D736" s="7" t="s">
        <v>21</v>
      </c>
      <c r="E736" s="7" t="s">
        <v>902</v>
      </c>
      <c r="G736" s="7" t="s">
        <v>937</v>
      </c>
      <c r="H736" s="7" t="s">
        <v>23</v>
      </c>
      <c r="I736" s="7" t="s">
        <v>904</v>
      </c>
      <c r="M736" s="7" t="s">
        <v>28</v>
      </c>
      <c r="N736" s="7" t="s">
        <v>37</v>
      </c>
    </row>
    <row r="737" spans="1:14" ht="15.75" customHeight="1" x14ac:dyDescent="0.2">
      <c r="A737" s="269">
        <v>563</v>
      </c>
      <c r="B737" s="7" t="s">
        <v>943</v>
      </c>
      <c r="C737" s="7">
        <v>12</v>
      </c>
      <c r="D737" s="7" t="s">
        <v>21</v>
      </c>
      <c r="E737" s="7" t="s">
        <v>902</v>
      </c>
      <c r="G737" s="7" t="s">
        <v>937</v>
      </c>
      <c r="H737" s="7" t="s">
        <v>23</v>
      </c>
      <c r="I737" s="7" t="s">
        <v>904</v>
      </c>
      <c r="M737" s="7" t="s">
        <v>37</v>
      </c>
      <c r="N737" s="7" t="s">
        <v>37</v>
      </c>
    </row>
    <row r="738" spans="1:14" ht="15.75" customHeight="1" x14ac:dyDescent="0.2">
      <c r="A738" s="269">
        <v>564</v>
      </c>
      <c r="B738" s="7" t="s">
        <v>943</v>
      </c>
      <c r="C738" s="7">
        <v>12</v>
      </c>
      <c r="D738" s="7" t="s">
        <v>21</v>
      </c>
      <c r="E738" s="7" t="s">
        <v>902</v>
      </c>
      <c r="G738" s="7" t="s">
        <v>937</v>
      </c>
      <c r="H738" s="7" t="s">
        <v>23</v>
      </c>
      <c r="I738" s="7" t="s">
        <v>904</v>
      </c>
      <c r="M738" s="7" t="s">
        <v>37</v>
      </c>
      <c r="N738" s="7" t="s">
        <v>37</v>
      </c>
    </row>
    <row r="739" spans="1:14" ht="15.75" customHeight="1" x14ac:dyDescent="0.2">
      <c r="A739" s="7">
        <v>565</v>
      </c>
      <c r="B739" s="7" t="s">
        <v>945</v>
      </c>
      <c r="C739" s="7">
        <v>12</v>
      </c>
      <c r="D739" s="7" t="s">
        <v>21</v>
      </c>
      <c r="E739" s="7" t="s">
        <v>902</v>
      </c>
      <c r="G739" s="7" t="s">
        <v>937</v>
      </c>
      <c r="H739" s="7" t="s">
        <v>23</v>
      </c>
      <c r="M739" s="7" t="s">
        <v>37</v>
      </c>
      <c r="N739" s="7" t="s">
        <v>37</v>
      </c>
    </row>
    <row r="740" spans="1:14" ht="15.75" customHeight="1" x14ac:dyDescent="0.2">
      <c r="A740" s="7">
        <v>566</v>
      </c>
      <c r="B740" s="7" t="s">
        <v>945</v>
      </c>
      <c r="C740" s="7">
        <v>12</v>
      </c>
      <c r="D740" s="7" t="s">
        <v>21</v>
      </c>
      <c r="E740" s="7" t="s">
        <v>902</v>
      </c>
      <c r="G740" s="7" t="s">
        <v>937</v>
      </c>
      <c r="H740" s="7" t="s">
        <v>23</v>
      </c>
      <c r="M740" s="7" t="s">
        <v>37</v>
      </c>
      <c r="N740" s="7" t="s">
        <v>37</v>
      </c>
    </row>
    <row r="741" spans="1:14" ht="15.75" customHeight="1" x14ac:dyDescent="0.2">
      <c r="A741" s="7">
        <v>567</v>
      </c>
      <c r="B741" s="7" t="s">
        <v>945</v>
      </c>
      <c r="C741" s="7">
        <v>12</v>
      </c>
      <c r="D741" s="7" t="s">
        <v>21</v>
      </c>
      <c r="E741" s="7" t="s">
        <v>902</v>
      </c>
      <c r="G741" s="7" t="s">
        <v>937</v>
      </c>
      <c r="H741" s="7" t="s">
        <v>23</v>
      </c>
      <c r="M741" s="7" t="s">
        <v>37</v>
      </c>
      <c r="N741" s="7" t="s">
        <v>37</v>
      </c>
    </row>
    <row r="742" spans="1:14" ht="15.75" customHeight="1" x14ac:dyDescent="0.2">
      <c r="A742" s="7">
        <v>568</v>
      </c>
      <c r="B742" s="7" t="s">
        <v>946</v>
      </c>
      <c r="C742" s="7">
        <v>12</v>
      </c>
      <c r="D742" s="7" t="s">
        <v>21</v>
      </c>
      <c r="E742" s="7" t="s">
        <v>902</v>
      </c>
      <c r="G742" s="7" t="s">
        <v>937</v>
      </c>
      <c r="H742" s="7" t="s">
        <v>23</v>
      </c>
      <c r="M742" s="7" t="s">
        <v>37</v>
      </c>
      <c r="N742" s="7" t="s">
        <v>37</v>
      </c>
    </row>
    <row r="743" spans="1:14" ht="15.75" customHeight="1" x14ac:dyDescent="0.2">
      <c r="A743" s="7">
        <v>569</v>
      </c>
      <c r="B743" s="7" t="s">
        <v>946</v>
      </c>
      <c r="C743" s="7">
        <v>12</v>
      </c>
      <c r="D743" s="7" t="s">
        <v>21</v>
      </c>
      <c r="E743" s="7" t="s">
        <v>902</v>
      </c>
      <c r="G743" s="7" t="s">
        <v>937</v>
      </c>
      <c r="H743" s="7" t="s">
        <v>23</v>
      </c>
      <c r="M743" s="7" t="s">
        <v>37</v>
      </c>
      <c r="N743" s="7" t="s">
        <v>37</v>
      </c>
    </row>
    <row r="744" spans="1:14" ht="15.75" customHeight="1" x14ac:dyDescent="0.2">
      <c r="A744" s="7">
        <v>570</v>
      </c>
      <c r="B744" s="7" t="s">
        <v>946</v>
      </c>
      <c r="C744" s="7">
        <v>12</v>
      </c>
      <c r="D744" s="7" t="s">
        <v>21</v>
      </c>
      <c r="E744" s="7" t="s">
        <v>902</v>
      </c>
      <c r="G744" s="7" t="s">
        <v>937</v>
      </c>
      <c r="H744" s="7" t="s">
        <v>23</v>
      </c>
      <c r="M744" s="7" t="s">
        <v>37</v>
      </c>
      <c r="N744" s="7" t="s">
        <v>37</v>
      </c>
    </row>
    <row r="745" spans="1:14" ht="15.75" customHeight="1" x14ac:dyDescent="0.2">
      <c r="A745" s="269">
        <v>571</v>
      </c>
      <c r="B745" s="7" t="s">
        <v>947</v>
      </c>
      <c r="C745" s="7">
        <v>12</v>
      </c>
      <c r="D745" s="7" t="s">
        <v>21</v>
      </c>
      <c r="E745" s="7" t="s">
        <v>902</v>
      </c>
      <c r="G745" s="7" t="s">
        <v>948</v>
      </c>
      <c r="H745" s="7" t="s">
        <v>23</v>
      </c>
      <c r="I745" s="7" t="s">
        <v>949</v>
      </c>
      <c r="M745" s="7" t="s">
        <v>37</v>
      </c>
      <c r="N745" s="7" t="s">
        <v>37</v>
      </c>
    </row>
    <row r="746" spans="1:14" ht="15.75" customHeight="1" x14ac:dyDescent="0.2">
      <c r="A746" s="269">
        <v>572</v>
      </c>
      <c r="B746" s="7" t="s">
        <v>947</v>
      </c>
      <c r="C746" s="7">
        <v>12</v>
      </c>
      <c r="D746" s="7" t="s">
        <v>21</v>
      </c>
      <c r="E746" s="7" t="s">
        <v>902</v>
      </c>
      <c r="G746" s="7" t="s">
        <v>948</v>
      </c>
      <c r="H746" s="7" t="s">
        <v>23</v>
      </c>
      <c r="I746" s="7" t="s">
        <v>949</v>
      </c>
      <c r="M746" s="7" t="s">
        <v>37</v>
      </c>
      <c r="N746" s="7" t="s">
        <v>37</v>
      </c>
    </row>
    <row r="747" spans="1:14" ht="15.75" customHeight="1" x14ac:dyDescent="0.2">
      <c r="A747" s="269">
        <v>573</v>
      </c>
      <c r="B747" s="7" t="s">
        <v>950</v>
      </c>
      <c r="C747" s="7">
        <v>12</v>
      </c>
      <c r="D747" s="7" t="s">
        <v>21</v>
      </c>
      <c r="E747" s="7" t="s">
        <v>902</v>
      </c>
      <c r="G747" s="7" t="s">
        <v>951</v>
      </c>
      <c r="H747" s="7" t="s">
        <v>23</v>
      </c>
      <c r="I747" s="7" t="s">
        <v>949</v>
      </c>
      <c r="M747" s="7" t="s">
        <v>37</v>
      </c>
      <c r="N747" s="7" t="s">
        <v>37</v>
      </c>
    </row>
    <row r="748" spans="1:14" ht="15.75" customHeight="1" x14ac:dyDescent="0.2">
      <c r="A748" s="269">
        <v>574</v>
      </c>
      <c r="B748" s="7" t="s">
        <v>950</v>
      </c>
      <c r="C748" s="7">
        <v>12</v>
      </c>
      <c r="D748" s="7" t="s">
        <v>21</v>
      </c>
      <c r="E748" s="7" t="s">
        <v>902</v>
      </c>
      <c r="G748" s="7" t="s">
        <v>951</v>
      </c>
      <c r="H748" s="7" t="s">
        <v>23</v>
      </c>
      <c r="I748" s="7" t="s">
        <v>949</v>
      </c>
      <c r="M748" s="7" t="s">
        <v>37</v>
      </c>
      <c r="N748" s="7" t="s">
        <v>37</v>
      </c>
    </row>
    <row r="749" spans="1:14" ht="15.75" customHeight="1" x14ac:dyDescent="0.2">
      <c r="A749" s="269">
        <v>575</v>
      </c>
      <c r="B749" s="7" t="s">
        <v>952</v>
      </c>
      <c r="C749" s="7">
        <v>12</v>
      </c>
      <c r="D749" s="7" t="s">
        <v>21</v>
      </c>
      <c r="E749" s="7" t="s">
        <v>902</v>
      </c>
      <c r="G749" s="7" t="s">
        <v>948</v>
      </c>
      <c r="H749" s="7" t="s">
        <v>23</v>
      </c>
      <c r="I749" s="7" t="s">
        <v>949</v>
      </c>
      <c r="M749" s="7" t="s">
        <v>37</v>
      </c>
      <c r="N749" s="7" t="s">
        <v>37</v>
      </c>
    </row>
    <row r="750" spans="1:14" ht="15.75" customHeight="1" x14ac:dyDescent="0.2">
      <c r="A750" s="269">
        <v>576</v>
      </c>
      <c r="B750" s="7" t="s">
        <v>952</v>
      </c>
      <c r="C750" s="7">
        <v>12</v>
      </c>
      <c r="D750" s="7" t="s">
        <v>21</v>
      </c>
      <c r="E750" s="7" t="s">
        <v>902</v>
      </c>
      <c r="G750" s="7" t="s">
        <v>948</v>
      </c>
      <c r="H750" s="7" t="s">
        <v>23</v>
      </c>
      <c r="I750" s="7" t="s">
        <v>949</v>
      </c>
      <c r="M750" s="7" t="s">
        <v>37</v>
      </c>
      <c r="N750" s="7" t="s">
        <v>37</v>
      </c>
    </row>
    <row r="751" spans="1:14" ht="15.75" customHeight="1" x14ac:dyDescent="0.2">
      <c r="A751" s="269">
        <v>577</v>
      </c>
      <c r="B751" s="7" t="s">
        <v>953</v>
      </c>
      <c r="C751" s="7">
        <v>12</v>
      </c>
      <c r="D751" s="7" t="s">
        <v>21</v>
      </c>
      <c r="E751" s="7" t="s">
        <v>902</v>
      </c>
      <c r="G751" s="7" t="s">
        <v>954</v>
      </c>
      <c r="H751" s="7" t="s">
        <v>23</v>
      </c>
      <c r="I751" s="7" t="s">
        <v>949</v>
      </c>
      <c r="M751" s="7" t="s">
        <v>37</v>
      </c>
      <c r="N751" s="7" t="s">
        <v>37</v>
      </c>
    </row>
    <row r="752" spans="1:14" ht="15.75" customHeight="1" x14ac:dyDescent="0.2">
      <c r="A752" s="269">
        <v>578</v>
      </c>
      <c r="B752" s="7" t="s">
        <v>953</v>
      </c>
      <c r="C752" s="7">
        <v>12</v>
      </c>
      <c r="D752" s="7" t="s">
        <v>21</v>
      </c>
      <c r="E752" s="7" t="s">
        <v>902</v>
      </c>
      <c r="G752" s="7" t="s">
        <v>954</v>
      </c>
      <c r="H752" s="7" t="s">
        <v>23</v>
      </c>
      <c r="I752" s="7" t="s">
        <v>949</v>
      </c>
      <c r="M752" s="7" t="s">
        <v>37</v>
      </c>
      <c r="N752" s="7" t="s">
        <v>37</v>
      </c>
    </row>
    <row r="753" spans="1:14" ht="15.75" customHeight="1" x14ac:dyDescent="0.2">
      <c r="A753" s="269">
        <v>579</v>
      </c>
      <c r="B753" s="7" t="s">
        <v>955</v>
      </c>
      <c r="C753" s="7">
        <v>12</v>
      </c>
      <c r="D753" s="7" t="s">
        <v>21</v>
      </c>
      <c r="E753" s="7" t="s">
        <v>902</v>
      </c>
      <c r="G753" s="7" t="s">
        <v>956</v>
      </c>
      <c r="H753" s="7" t="s">
        <v>23</v>
      </c>
      <c r="I753" s="7" t="s">
        <v>949</v>
      </c>
      <c r="M753" s="7" t="s">
        <v>37</v>
      </c>
      <c r="N753" s="7" t="s">
        <v>37</v>
      </c>
    </row>
    <row r="754" spans="1:14" ht="15.75" customHeight="1" x14ac:dyDescent="0.2">
      <c r="A754" s="269">
        <v>580</v>
      </c>
      <c r="B754" s="7" t="s">
        <v>955</v>
      </c>
      <c r="C754" s="7">
        <v>12</v>
      </c>
      <c r="D754" s="7" t="s">
        <v>21</v>
      </c>
      <c r="E754" s="7" t="s">
        <v>902</v>
      </c>
      <c r="G754" s="7" t="s">
        <v>956</v>
      </c>
      <c r="H754" s="7" t="s">
        <v>23</v>
      </c>
      <c r="I754" s="7" t="s">
        <v>949</v>
      </c>
      <c r="M754" s="7" t="s">
        <v>37</v>
      </c>
      <c r="N754" s="7" t="s">
        <v>37</v>
      </c>
    </row>
    <row r="755" spans="1:14" ht="15.75" customHeight="1" x14ac:dyDescent="0.2">
      <c r="A755" s="269">
        <v>581</v>
      </c>
      <c r="B755" s="7" t="s">
        <v>957</v>
      </c>
      <c r="C755" s="7">
        <v>12</v>
      </c>
      <c r="D755" s="7" t="s">
        <v>21</v>
      </c>
      <c r="E755" s="7" t="s">
        <v>902</v>
      </c>
      <c r="G755" s="7" t="s">
        <v>954</v>
      </c>
      <c r="H755" s="7" t="s">
        <v>23</v>
      </c>
      <c r="I755" s="7" t="s">
        <v>949</v>
      </c>
      <c r="M755" s="7" t="s">
        <v>37</v>
      </c>
      <c r="N755" s="7" t="s">
        <v>37</v>
      </c>
    </row>
    <row r="756" spans="1:14" ht="15.75" customHeight="1" x14ac:dyDescent="0.2">
      <c r="A756" s="269">
        <v>582</v>
      </c>
      <c r="B756" s="7" t="s">
        <v>957</v>
      </c>
      <c r="C756" s="7">
        <v>12</v>
      </c>
      <c r="D756" s="7" t="s">
        <v>21</v>
      </c>
      <c r="E756" s="7" t="s">
        <v>902</v>
      </c>
      <c r="G756" s="7" t="s">
        <v>954</v>
      </c>
      <c r="H756" s="7" t="s">
        <v>23</v>
      </c>
      <c r="I756" s="7" t="s">
        <v>949</v>
      </c>
      <c r="M756" s="7" t="s">
        <v>37</v>
      </c>
      <c r="N756" s="7" t="s">
        <v>37</v>
      </c>
    </row>
    <row r="757" spans="1:14" ht="15.75" customHeight="1" x14ac:dyDescent="0.2">
      <c r="A757" s="269">
        <v>583</v>
      </c>
      <c r="B757" s="7" t="s">
        <v>958</v>
      </c>
      <c r="C757" s="7">
        <v>12</v>
      </c>
      <c r="D757" s="7" t="s">
        <v>21</v>
      </c>
      <c r="E757" s="7" t="s">
        <v>902</v>
      </c>
      <c r="G757" s="7" t="s">
        <v>956</v>
      </c>
      <c r="H757" s="7" t="s">
        <v>23</v>
      </c>
      <c r="I757" s="7" t="s">
        <v>949</v>
      </c>
      <c r="M757" s="7" t="s">
        <v>37</v>
      </c>
      <c r="N757" s="7" t="s">
        <v>37</v>
      </c>
    </row>
    <row r="758" spans="1:14" ht="15.75" customHeight="1" x14ac:dyDescent="0.2">
      <c r="A758" s="269">
        <v>584</v>
      </c>
      <c r="B758" s="7" t="s">
        <v>958</v>
      </c>
      <c r="C758" s="7">
        <v>12</v>
      </c>
      <c r="D758" s="7" t="s">
        <v>21</v>
      </c>
      <c r="E758" s="7" t="s">
        <v>902</v>
      </c>
      <c r="G758" s="7" t="s">
        <v>956</v>
      </c>
      <c r="H758" s="7" t="s">
        <v>23</v>
      </c>
      <c r="I758" s="7" t="s">
        <v>949</v>
      </c>
      <c r="M758" s="7" t="s">
        <v>37</v>
      </c>
      <c r="N758" s="7" t="s">
        <v>37</v>
      </c>
    </row>
    <row r="759" spans="1:14" ht="15.75" customHeight="1" x14ac:dyDescent="0.2">
      <c r="A759" s="269">
        <v>585</v>
      </c>
      <c r="B759" s="7" t="s">
        <v>959</v>
      </c>
      <c r="C759" s="7">
        <v>12</v>
      </c>
      <c r="D759" s="7" t="s">
        <v>21</v>
      </c>
      <c r="E759" s="7" t="s">
        <v>902</v>
      </c>
      <c r="G759" s="7" t="s">
        <v>954</v>
      </c>
      <c r="H759" s="7" t="s">
        <v>23</v>
      </c>
      <c r="I759" s="7" t="s">
        <v>949</v>
      </c>
      <c r="M759" s="7" t="s">
        <v>37</v>
      </c>
      <c r="N759" s="7" t="s">
        <v>37</v>
      </c>
    </row>
    <row r="760" spans="1:14" ht="15.75" customHeight="1" x14ac:dyDescent="0.2">
      <c r="A760" s="269">
        <v>586</v>
      </c>
      <c r="B760" s="7" t="s">
        <v>959</v>
      </c>
      <c r="C760" s="7">
        <v>12</v>
      </c>
      <c r="D760" s="7" t="s">
        <v>21</v>
      </c>
      <c r="E760" s="7" t="s">
        <v>902</v>
      </c>
      <c r="G760" s="7" t="s">
        <v>954</v>
      </c>
      <c r="H760" s="7" t="s">
        <v>23</v>
      </c>
      <c r="I760" s="7" t="s">
        <v>949</v>
      </c>
      <c r="M760" s="7" t="s">
        <v>37</v>
      </c>
      <c r="N760" s="7" t="s">
        <v>37</v>
      </c>
    </row>
    <row r="761" spans="1:14" ht="15.75" customHeight="1" x14ac:dyDescent="0.2">
      <c r="A761" s="269">
        <v>587</v>
      </c>
      <c r="B761" s="7" t="s">
        <v>960</v>
      </c>
      <c r="C761" s="7">
        <v>12</v>
      </c>
      <c r="D761" s="7" t="s">
        <v>21</v>
      </c>
      <c r="E761" s="7" t="s">
        <v>902</v>
      </c>
      <c r="G761" s="7" t="s">
        <v>961</v>
      </c>
      <c r="H761" s="7" t="s">
        <v>23</v>
      </c>
      <c r="I761" s="7" t="s">
        <v>949</v>
      </c>
      <c r="M761" s="7" t="s">
        <v>37</v>
      </c>
      <c r="N761" s="7" t="s">
        <v>37</v>
      </c>
    </row>
    <row r="762" spans="1:14" ht="15.75" customHeight="1" x14ac:dyDescent="0.2">
      <c r="A762" s="269">
        <v>588</v>
      </c>
      <c r="B762" s="7" t="s">
        <v>960</v>
      </c>
      <c r="C762" s="7">
        <v>12</v>
      </c>
      <c r="D762" s="7" t="s">
        <v>21</v>
      </c>
      <c r="E762" s="7" t="s">
        <v>902</v>
      </c>
      <c r="G762" s="7" t="s">
        <v>961</v>
      </c>
      <c r="H762" s="7" t="s">
        <v>23</v>
      </c>
      <c r="I762" s="7" t="s">
        <v>949</v>
      </c>
      <c r="M762" s="7" t="s">
        <v>37</v>
      </c>
      <c r="N762" s="7" t="s">
        <v>37</v>
      </c>
    </row>
    <row r="763" spans="1:14" ht="15.75" customHeight="1" x14ac:dyDescent="0.2">
      <c r="A763" s="269">
        <v>589</v>
      </c>
      <c r="B763" s="7" t="s">
        <v>962</v>
      </c>
      <c r="C763" s="7">
        <v>12</v>
      </c>
      <c r="D763" s="7" t="s">
        <v>21</v>
      </c>
      <c r="E763" s="7" t="s">
        <v>902</v>
      </c>
      <c r="G763" s="7" t="s">
        <v>963</v>
      </c>
      <c r="H763" s="7" t="s">
        <v>23</v>
      </c>
      <c r="I763" s="7" t="s">
        <v>949</v>
      </c>
      <c r="M763" s="7" t="s">
        <v>37</v>
      </c>
      <c r="N763" s="7" t="s">
        <v>37</v>
      </c>
    </row>
    <row r="764" spans="1:14" ht="15.75" customHeight="1" x14ac:dyDescent="0.2">
      <c r="A764" s="269">
        <v>590</v>
      </c>
      <c r="B764" s="7" t="s">
        <v>964</v>
      </c>
      <c r="C764" s="7">
        <v>12</v>
      </c>
      <c r="D764" s="7" t="s">
        <v>21</v>
      </c>
      <c r="E764" s="7" t="s">
        <v>902</v>
      </c>
      <c r="G764" s="7" t="s">
        <v>963</v>
      </c>
      <c r="H764" s="7" t="s">
        <v>23</v>
      </c>
      <c r="I764" s="7" t="s">
        <v>949</v>
      </c>
      <c r="M764" s="7" t="s">
        <v>37</v>
      </c>
      <c r="N764" s="7" t="s">
        <v>37</v>
      </c>
    </row>
    <row r="765" spans="1:14" ht="15.75" customHeight="1" x14ac:dyDescent="0.2">
      <c r="A765" s="269">
        <v>591</v>
      </c>
      <c r="B765" s="7" t="s">
        <v>965</v>
      </c>
      <c r="C765" s="7">
        <v>12</v>
      </c>
      <c r="D765" s="7" t="s">
        <v>21</v>
      </c>
      <c r="E765" s="7" t="s">
        <v>902</v>
      </c>
      <c r="G765" s="7" t="s">
        <v>966</v>
      </c>
      <c r="H765" s="7" t="s">
        <v>23</v>
      </c>
      <c r="I765" s="7" t="s">
        <v>949</v>
      </c>
      <c r="M765" s="7" t="s">
        <v>37</v>
      </c>
      <c r="N765" s="7" t="s">
        <v>37</v>
      </c>
    </row>
    <row r="766" spans="1:14" ht="15.75" customHeight="1" x14ac:dyDescent="0.2">
      <c r="A766" s="269">
        <v>592</v>
      </c>
      <c r="B766" s="7" t="s">
        <v>965</v>
      </c>
      <c r="C766" s="7">
        <v>12</v>
      </c>
      <c r="D766" s="7" t="s">
        <v>21</v>
      </c>
      <c r="E766" s="7" t="s">
        <v>902</v>
      </c>
      <c r="G766" s="7" t="s">
        <v>966</v>
      </c>
      <c r="H766" s="7" t="s">
        <v>23</v>
      </c>
      <c r="I766" s="7" t="s">
        <v>949</v>
      </c>
      <c r="M766" s="7" t="s">
        <v>37</v>
      </c>
      <c r="N766" s="7" t="s">
        <v>37</v>
      </c>
    </row>
    <row r="767" spans="1:14" ht="15.75" customHeight="1" x14ac:dyDescent="0.2">
      <c r="A767" s="269">
        <v>593</v>
      </c>
      <c r="B767" s="7" t="s">
        <v>967</v>
      </c>
      <c r="C767" s="7">
        <v>12</v>
      </c>
      <c r="D767" s="7" t="s">
        <v>21</v>
      </c>
      <c r="E767" s="7" t="s">
        <v>902</v>
      </c>
      <c r="G767" s="7" t="s">
        <v>966</v>
      </c>
      <c r="H767" s="7" t="s">
        <v>23</v>
      </c>
      <c r="I767" s="7" t="s">
        <v>949</v>
      </c>
      <c r="M767" s="7" t="s">
        <v>37</v>
      </c>
      <c r="N767" s="7" t="s">
        <v>37</v>
      </c>
    </row>
    <row r="768" spans="1:14" ht="15.75" customHeight="1" x14ac:dyDescent="0.2">
      <c r="A768" s="269">
        <v>594</v>
      </c>
      <c r="B768" s="7" t="s">
        <v>967</v>
      </c>
      <c r="C768" s="7">
        <v>12</v>
      </c>
      <c r="D768" s="7" t="s">
        <v>21</v>
      </c>
      <c r="E768" s="7" t="s">
        <v>902</v>
      </c>
      <c r="G768" s="7" t="s">
        <v>966</v>
      </c>
      <c r="H768" s="7" t="s">
        <v>23</v>
      </c>
      <c r="I768" s="7" t="s">
        <v>949</v>
      </c>
      <c r="M768" s="7" t="s">
        <v>37</v>
      </c>
      <c r="N768" s="7" t="s">
        <v>37</v>
      </c>
    </row>
    <row r="769" spans="1:14" ht="15.75" customHeight="1" x14ac:dyDescent="0.2">
      <c r="A769" s="269">
        <v>595</v>
      </c>
      <c r="B769" s="7" t="s">
        <v>968</v>
      </c>
      <c r="C769" s="7">
        <v>12</v>
      </c>
      <c r="D769" s="7" t="s">
        <v>21</v>
      </c>
      <c r="E769" s="7" t="s">
        <v>902</v>
      </c>
      <c r="G769" s="7" t="s">
        <v>948</v>
      </c>
      <c r="H769" s="7" t="s">
        <v>23</v>
      </c>
      <c r="I769" s="7" t="s">
        <v>949</v>
      </c>
      <c r="M769" s="7" t="s">
        <v>37</v>
      </c>
      <c r="N769" s="7" t="s">
        <v>37</v>
      </c>
    </row>
    <row r="770" spans="1:14" ht="15.75" customHeight="1" x14ac:dyDescent="0.2">
      <c r="A770" s="269">
        <v>596</v>
      </c>
      <c r="B770" s="7" t="s">
        <v>968</v>
      </c>
      <c r="C770" s="7">
        <v>12</v>
      </c>
      <c r="D770" s="7" t="s">
        <v>21</v>
      </c>
      <c r="E770" s="7" t="s">
        <v>902</v>
      </c>
      <c r="G770" s="7" t="s">
        <v>948</v>
      </c>
      <c r="H770" s="7" t="s">
        <v>23</v>
      </c>
      <c r="I770" s="7" t="s">
        <v>949</v>
      </c>
      <c r="M770" s="7" t="s">
        <v>37</v>
      </c>
      <c r="N770" s="7" t="s">
        <v>37</v>
      </c>
    </row>
    <row r="771" spans="1:14" ht="15.75" customHeight="1" x14ac:dyDescent="0.2">
      <c r="A771" s="269">
        <v>597</v>
      </c>
      <c r="B771" s="7" t="s">
        <v>969</v>
      </c>
      <c r="C771" s="7">
        <v>12</v>
      </c>
      <c r="D771" s="7" t="s">
        <v>21</v>
      </c>
      <c r="E771" s="7" t="s">
        <v>902</v>
      </c>
      <c r="G771" s="7" t="s">
        <v>951</v>
      </c>
      <c r="H771" s="7" t="s">
        <v>23</v>
      </c>
      <c r="I771" s="7" t="s">
        <v>949</v>
      </c>
      <c r="M771" s="7" t="s">
        <v>37</v>
      </c>
      <c r="N771" s="7" t="s">
        <v>37</v>
      </c>
    </row>
    <row r="772" spans="1:14" ht="15.75" customHeight="1" x14ac:dyDescent="0.2">
      <c r="A772" s="269">
        <v>598</v>
      </c>
      <c r="B772" s="7" t="s">
        <v>969</v>
      </c>
      <c r="C772" s="7">
        <v>12</v>
      </c>
      <c r="D772" s="7" t="s">
        <v>21</v>
      </c>
      <c r="E772" s="7" t="s">
        <v>902</v>
      </c>
      <c r="G772" s="7" t="s">
        <v>951</v>
      </c>
      <c r="H772" s="7" t="s">
        <v>23</v>
      </c>
      <c r="I772" s="7" t="s">
        <v>949</v>
      </c>
      <c r="M772" s="7" t="s">
        <v>37</v>
      </c>
      <c r="N772" s="7" t="s">
        <v>37</v>
      </c>
    </row>
    <row r="773" spans="1:14" ht="15.75" customHeight="1" x14ac:dyDescent="0.2">
      <c r="A773" s="7">
        <v>599</v>
      </c>
      <c r="B773" s="7" t="s">
        <v>970</v>
      </c>
      <c r="C773" s="7">
        <v>12</v>
      </c>
      <c r="D773" s="7" t="s">
        <v>21</v>
      </c>
      <c r="E773" s="7" t="s">
        <v>902</v>
      </c>
      <c r="G773" s="7" t="s">
        <v>971</v>
      </c>
      <c r="H773" s="7" t="s">
        <v>23</v>
      </c>
      <c r="M773" s="7" t="s">
        <v>37</v>
      </c>
      <c r="N773" s="7" t="s">
        <v>37</v>
      </c>
    </row>
    <row r="774" spans="1:14" ht="15.75" customHeight="1" x14ac:dyDescent="0.2">
      <c r="A774" s="7">
        <v>600</v>
      </c>
      <c r="B774" s="7" t="s">
        <v>970</v>
      </c>
      <c r="C774" s="7">
        <v>12</v>
      </c>
      <c r="D774" s="7" t="s">
        <v>21</v>
      </c>
      <c r="E774" s="7" t="s">
        <v>902</v>
      </c>
      <c r="G774" s="7" t="s">
        <v>971</v>
      </c>
      <c r="H774" s="7" t="s">
        <v>23</v>
      </c>
      <c r="M774" s="7" t="s">
        <v>37</v>
      </c>
      <c r="N774" s="7" t="s">
        <v>37</v>
      </c>
    </row>
    <row r="775" spans="1:14" ht="15.75" customHeight="1" x14ac:dyDescent="0.2">
      <c r="A775" s="269">
        <v>601</v>
      </c>
      <c r="B775" s="7" t="s">
        <v>972</v>
      </c>
      <c r="C775" s="7">
        <v>12</v>
      </c>
      <c r="D775" s="7" t="s">
        <v>21</v>
      </c>
      <c r="E775" s="7" t="s">
        <v>902</v>
      </c>
      <c r="G775" s="7" t="s">
        <v>954</v>
      </c>
      <c r="H775" s="7" t="s">
        <v>23</v>
      </c>
      <c r="I775" s="7" t="s">
        <v>949</v>
      </c>
      <c r="M775" s="7" t="s">
        <v>37</v>
      </c>
      <c r="N775" s="7" t="s">
        <v>37</v>
      </c>
    </row>
    <row r="776" spans="1:14" ht="15.75" customHeight="1" x14ac:dyDescent="0.2">
      <c r="A776" s="269">
        <v>602</v>
      </c>
      <c r="B776" s="7" t="s">
        <v>972</v>
      </c>
      <c r="C776" s="7">
        <v>12</v>
      </c>
      <c r="D776" s="7" t="s">
        <v>21</v>
      </c>
      <c r="E776" s="7" t="s">
        <v>902</v>
      </c>
      <c r="G776" s="7" t="s">
        <v>954</v>
      </c>
      <c r="H776" s="7" t="s">
        <v>23</v>
      </c>
      <c r="I776" s="7" t="s">
        <v>949</v>
      </c>
      <c r="M776" s="7" t="s">
        <v>37</v>
      </c>
      <c r="N776" s="7" t="s">
        <v>37</v>
      </c>
    </row>
    <row r="777" spans="1:14" ht="15.75" customHeight="1" x14ac:dyDescent="0.2">
      <c r="A777" s="269">
        <v>603</v>
      </c>
      <c r="B777" s="7" t="s">
        <v>973</v>
      </c>
      <c r="C777" s="7">
        <v>12</v>
      </c>
      <c r="D777" s="7" t="s">
        <v>21</v>
      </c>
      <c r="E777" s="7" t="s">
        <v>902</v>
      </c>
      <c r="G777" s="7" t="s">
        <v>956</v>
      </c>
      <c r="H777" s="7" t="s">
        <v>23</v>
      </c>
      <c r="I777" s="7" t="s">
        <v>949</v>
      </c>
      <c r="M777" s="7" t="s">
        <v>37</v>
      </c>
      <c r="N777" s="7" t="s">
        <v>37</v>
      </c>
    </row>
    <row r="778" spans="1:14" ht="15.75" customHeight="1" x14ac:dyDescent="0.2">
      <c r="A778" s="269">
        <v>604</v>
      </c>
      <c r="B778" s="7" t="s">
        <v>973</v>
      </c>
      <c r="C778" s="7">
        <v>12</v>
      </c>
      <c r="D778" s="7" t="s">
        <v>21</v>
      </c>
      <c r="E778" s="7" t="s">
        <v>902</v>
      </c>
      <c r="G778" s="7" t="s">
        <v>956</v>
      </c>
      <c r="H778" s="7" t="s">
        <v>23</v>
      </c>
      <c r="I778" s="7" t="s">
        <v>949</v>
      </c>
      <c r="M778" s="7" t="s">
        <v>37</v>
      </c>
      <c r="N778" s="7" t="s">
        <v>37</v>
      </c>
    </row>
    <row r="779" spans="1:14" ht="15.75" customHeight="1" x14ac:dyDescent="0.2">
      <c r="A779" s="269">
        <v>605</v>
      </c>
      <c r="B779" s="7" t="s">
        <v>974</v>
      </c>
      <c r="C779" s="7">
        <v>12</v>
      </c>
      <c r="D779" s="7" t="s">
        <v>21</v>
      </c>
      <c r="E779" s="7" t="s">
        <v>902</v>
      </c>
      <c r="G779" s="7" t="s">
        <v>951</v>
      </c>
      <c r="H779" s="7" t="s">
        <v>23</v>
      </c>
      <c r="I779" s="7" t="s">
        <v>949</v>
      </c>
      <c r="M779" s="7" t="s">
        <v>37</v>
      </c>
      <c r="N779" s="7" t="s">
        <v>37</v>
      </c>
    </row>
    <row r="780" spans="1:14" ht="15.75" customHeight="1" x14ac:dyDescent="0.2">
      <c r="A780" s="269">
        <v>606</v>
      </c>
      <c r="B780" s="7" t="s">
        <v>974</v>
      </c>
      <c r="C780" s="7">
        <v>12</v>
      </c>
      <c r="D780" s="7" t="s">
        <v>21</v>
      </c>
      <c r="E780" s="7" t="s">
        <v>902</v>
      </c>
      <c r="G780" s="7" t="s">
        <v>951</v>
      </c>
      <c r="H780" s="7" t="s">
        <v>23</v>
      </c>
      <c r="I780" s="7" t="s">
        <v>949</v>
      </c>
      <c r="M780" s="7" t="s">
        <v>37</v>
      </c>
      <c r="N780" s="7" t="s">
        <v>37</v>
      </c>
    </row>
    <row r="781" spans="1:14" ht="15.75" customHeight="1" x14ac:dyDescent="0.2">
      <c r="A781" s="269">
        <v>607</v>
      </c>
      <c r="B781" s="7" t="s">
        <v>975</v>
      </c>
      <c r="C781" s="7">
        <v>12</v>
      </c>
      <c r="D781" s="7" t="s">
        <v>21</v>
      </c>
      <c r="E781" s="7" t="s">
        <v>902</v>
      </c>
      <c r="G781" s="7" t="s">
        <v>954</v>
      </c>
      <c r="H781" s="7" t="s">
        <v>23</v>
      </c>
      <c r="I781" s="7" t="s">
        <v>949</v>
      </c>
      <c r="M781" s="7" t="s">
        <v>37</v>
      </c>
      <c r="N781" s="7" t="s">
        <v>37</v>
      </c>
    </row>
    <row r="782" spans="1:14" ht="15.75" customHeight="1" x14ac:dyDescent="0.2">
      <c r="A782" s="269">
        <v>608</v>
      </c>
      <c r="B782" s="7" t="s">
        <v>975</v>
      </c>
      <c r="C782" s="7">
        <v>12</v>
      </c>
      <c r="D782" s="7" t="s">
        <v>21</v>
      </c>
      <c r="E782" s="7" t="s">
        <v>902</v>
      </c>
      <c r="G782" s="7" t="s">
        <v>954</v>
      </c>
      <c r="H782" s="7" t="s">
        <v>23</v>
      </c>
      <c r="I782" s="7" t="s">
        <v>949</v>
      </c>
      <c r="M782" s="7" t="s">
        <v>37</v>
      </c>
      <c r="N782" s="7" t="s">
        <v>37</v>
      </c>
    </row>
    <row r="783" spans="1:14" ht="15.75" customHeight="1" x14ac:dyDescent="0.2">
      <c r="A783" s="269">
        <v>609</v>
      </c>
      <c r="B783" s="7" t="s">
        <v>976</v>
      </c>
      <c r="C783" s="7">
        <v>12</v>
      </c>
      <c r="D783" s="7" t="s">
        <v>21</v>
      </c>
      <c r="E783" s="7" t="s">
        <v>902</v>
      </c>
      <c r="G783" s="7" t="s">
        <v>966</v>
      </c>
      <c r="H783" s="7" t="s">
        <v>23</v>
      </c>
      <c r="I783" s="7" t="s">
        <v>949</v>
      </c>
      <c r="M783" s="7" t="s">
        <v>37</v>
      </c>
      <c r="N783" s="7" t="s">
        <v>37</v>
      </c>
    </row>
    <row r="784" spans="1:14" ht="15.75" customHeight="1" x14ac:dyDescent="0.2">
      <c r="A784" s="7">
        <v>610</v>
      </c>
      <c r="B784" s="7" t="s">
        <v>976</v>
      </c>
      <c r="C784" s="7">
        <v>12</v>
      </c>
      <c r="D784" s="7" t="s">
        <v>21</v>
      </c>
      <c r="E784" s="7" t="s">
        <v>902</v>
      </c>
      <c r="G784" s="7" t="s">
        <v>966</v>
      </c>
      <c r="H784" s="7" t="s">
        <v>23</v>
      </c>
      <c r="M784" s="7" t="s">
        <v>37</v>
      </c>
      <c r="N784" s="7" t="s">
        <v>37</v>
      </c>
    </row>
    <row r="785" spans="1:14" ht="15.75" customHeight="1" x14ac:dyDescent="0.2">
      <c r="A785" s="269">
        <v>611</v>
      </c>
      <c r="B785" s="7" t="s">
        <v>977</v>
      </c>
      <c r="C785" s="7">
        <v>12</v>
      </c>
      <c r="D785" s="7" t="s">
        <v>21</v>
      </c>
      <c r="E785" s="7" t="s">
        <v>902</v>
      </c>
      <c r="G785" s="7" t="s">
        <v>961</v>
      </c>
      <c r="H785" s="7" t="s">
        <v>23</v>
      </c>
      <c r="I785" s="7" t="s">
        <v>949</v>
      </c>
      <c r="M785" s="7" t="s">
        <v>37</v>
      </c>
      <c r="N785" s="7" t="s">
        <v>37</v>
      </c>
    </row>
    <row r="786" spans="1:14" ht="15.75" customHeight="1" x14ac:dyDescent="0.2">
      <c r="A786" s="269">
        <v>612</v>
      </c>
      <c r="B786" s="7" t="s">
        <v>977</v>
      </c>
      <c r="C786" s="7">
        <v>12</v>
      </c>
      <c r="D786" s="7" t="s">
        <v>21</v>
      </c>
      <c r="E786" s="7" t="s">
        <v>902</v>
      </c>
      <c r="G786" s="7" t="s">
        <v>961</v>
      </c>
      <c r="H786" s="7" t="s">
        <v>23</v>
      </c>
      <c r="I786" s="7" t="s">
        <v>949</v>
      </c>
      <c r="M786" s="7" t="s">
        <v>37</v>
      </c>
      <c r="N786" s="7" t="s">
        <v>37</v>
      </c>
    </row>
    <row r="787" spans="1:14" ht="15.75" customHeight="1" x14ac:dyDescent="0.2">
      <c r="A787" s="269">
        <v>613</v>
      </c>
      <c r="B787" s="7" t="s">
        <v>978</v>
      </c>
      <c r="C787" s="7">
        <v>12</v>
      </c>
      <c r="D787" s="7" t="s">
        <v>21</v>
      </c>
      <c r="E787" s="7" t="s">
        <v>902</v>
      </c>
      <c r="G787" s="7" t="s">
        <v>979</v>
      </c>
      <c r="H787" s="7" t="s">
        <v>23</v>
      </c>
      <c r="I787" s="7" t="s">
        <v>949</v>
      </c>
      <c r="M787" s="7" t="s">
        <v>37</v>
      </c>
      <c r="N787" s="7" t="s">
        <v>37</v>
      </c>
    </row>
    <row r="788" spans="1:14" ht="15.75" customHeight="1" x14ac:dyDescent="0.2">
      <c r="A788" s="269">
        <v>614</v>
      </c>
      <c r="B788" s="7" t="s">
        <v>978</v>
      </c>
      <c r="C788" s="7">
        <v>12</v>
      </c>
      <c r="D788" s="7" t="s">
        <v>21</v>
      </c>
      <c r="E788" s="7" t="s">
        <v>902</v>
      </c>
      <c r="G788" s="7" t="s">
        <v>979</v>
      </c>
      <c r="H788" s="7" t="s">
        <v>23</v>
      </c>
      <c r="I788" s="7" t="s">
        <v>949</v>
      </c>
      <c r="M788" s="7" t="s">
        <v>37</v>
      </c>
      <c r="N788" s="7" t="s">
        <v>37</v>
      </c>
    </row>
    <row r="789" spans="1:14" ht="15.75" customHeight="1" x14ac:dyDescent="0.2">
      <c r="A789" s="269">
        <v>615</v>
      </c>
      <c r="B789" s="7" t="s">
        <v>980</v>
      </c>
      <c r="C789" s="7">
        <v>12</v>
      </c>
      <c r="D789" s="7" t="s">
        <v>21</v>
      </c>
      <c r="E789" s="7" t="s">
        <v>902</v>
      </c>
      <c r="G789" s="7" t="s">
        <v>961</v>
      </c>
      <c r="H789" s="7" t="s">
        <v>23</v>
      </c>
      <c r="I789" s="7" t="s">
        <v>949</v>
      </c>
      <c r="M789" s="7" t="s">
        <v>37</v>
      </c>
      <c r="N789" s="7" t="s">
        <v>37</v>
      </c>
    </row>
    <row r="790" spans="1:14" ht="15.75" customHeight="1" x14ac:dyDescent="0.2">
      <c r="A790" s="269">
        <v>616</v>
      </c>
      <c r="B790" s="7" t="s">
        <v>980</v>
      </c>
      <c r="C790" s="7">
        <v>12</v>
      </c>
      <c r="D790" s="7" t="s">
        <v>21</v>
      </c>
      <c r="E790" s="7" t="s">
        <v>902</v>
      </c>
      <c r="G790" s="7" t="s">
        <v>961</v>
      </c>
      <c r="H790" s="7" t="s">
        <v>23</v>
      </c>
      <c r="I790" s="7" t="s">
        <v>949</v>
      </c>
      <c r="M790" s="7" t="s">
        <v>37</v>
      </c>
      <c r="N790" s="7" t="s">
        <v>37</v>
      </c>
    </row>
    <row r="791" spans="1:14" ht="15.75" customHeight="1" x14ac:dyDescent="0.2">
      <c r="A791" s="7">
        <v>617</v>
      </c>
      <c r="B791" s="7" t="s">
        <v>978</v>
      </c>
      <c r="C791" s="7">
        <v>12</v>
      </c>
      <c r="D791" s="7" t="s">
        <v>21</v>
      </c>
      <c r="E791" s="7" t="s">
        <v>902</v>
      </c>
      <c r="G791" s="7" t="s">
        <v>979</v>
      </c>
      <c r="H791" s="7" t="s">
        <v>23</v>
      </c>
      <c r="M791" s="7" t="s">
        <v>37</v>
      </c>
      <c r="N791" s="7" t="s">
        <v>37</v>
      </c>
    </row>
    <row r="792" spans="1:14" ht="15.75" customHeight="1" x14ac:dyDescent="0.2">
      <c r="A792" s="7">
        <v>618</v>
      </c>
      <c r="B792" s="7" t="s">
        <v>978</v>
      </c>
      <c r="C792" s="7">
        <v>12</v>
      </c>
      <c r="D792" s="7" t="s">
        <v>21</v>
      </c>
      <c r="E792" s="7" t="s">
        <v>902</v>
      </c>
      <c r="G792" s="7" t="s">
        <v>979</v>
      </c>
      <c r="H792" s="7" t="s">
        <v>23</v>
      </c>
      <c r="M792" s="7" t="s">
        <v>37</v>
      </c>
      <c r="N792" s="7" t="s">
        <v>37</v>
      </c>
    </row>
    <row r="793" spans="1:14" ht="15.75" customHeight="1" x14ac:dyDescent="0.2">
      <c r="A793" s="7">
        <v>619</v>
      </c>
      <c r="B793" s="7" t="s">
        <v>981</v>
      </c>
      <c r="C793" s="7">
        <v>12</v>
      </c>
      <c r="D793" s="7" t="s">
        <v>21</v>
      </c>
      <c r="E793" s="7" t="s">
        <v>902</v>
      </c>
      <c r="G793" s="7" t="s">
        <v>961</v>
      </c>
      <c r="H793" s="7" t="s">
        <v>23</v>
      </c>
      <c r="M793" s="7" t="s">
        <v>37</v>
      </c>
      <c r="N793" s="7" t="s">
        <v>37</v>
      </c>
    </row>
    <row r="794" spans="1:14" ht="15.75" customHeight="1" x14ac:dyDescent="0.2">
      <c r="A794" s="7">
        <v>620</v>
      </c>
      <c r="B794" s="7" t="s">
        <v>981</v>
      </c>
      <c r="C794" s="7">
        <v>12</v>
      </c>
      <c r="D794" s="7" t="s">
        <v>21</v>
      </c>
      <c r="E794" s="7" t="s">
        <v>902</v>
      </c>
      <c r="G794" s="7" t="s">
        <v>961</v>
      </c>
      <c r="H794" s="7" t="s">
        <v>23</v>
      </c>
      <c r="M794" s="7" t="s">
        <v>37</v>
      </c>
      <c r="N794" s="7" t="s">
        <v>37</v>
      </c>
    </row>
    <row r="795" spans="1:14" ht="15.75" customHeight="1" x14ac:dyDescent="0.2">
      <c r="A795" s="7">
        <v>621</v>
      </c>
      <c r="B795" s="7" t="s">
        <v>982</v>
      </c>
      <c r="C795" s="7">
        <v>12</v>
      </c>
      <c r="D795" s="7" t="s">
        <v>21</v>
      </c>
      <c r="E795" s="7" t="s">
        <v>902</v>
      </c>
      <c r="G795" s="7" t="s">
        <v>966</v>
      </c>
      <c r="H795" s="7" t="s">
        <v>23</v>
      </c>
      <c r="M795" s="7" t="s">
        <v>37</v>
      </c>
      <c r="N795" s="7" t="s">
        <v>37</v>
      </c>
    </row>
    <row r="796" spans="1:14" ht="15.75" customHeight="1" x14ac:dyDescent="0.2">
      <c r="A796" s="7">
        <v>622</v>
      </c>
      <c r="B796" s="7" t="s">
        <v>982</v>
      </c>
      <c r="C796" s="7">
        <v>12</v>
      </c>
      <c r="D796" s="7" t="s">
        <v>21</v>
      </c>
      <c r="E796" s="7" t="s">
        <v>902</v>
      </c>
      <c r="G796" s="7" t="s">
        <v>966</v>
      </c>
      <c r="H796" s="7" t="s">
        <v>23</v>
      </c>
      <c r="I796" s="7" t="s">
        <v>983</v>
      </c>
      <c r="M796" s="7" t="s">
        <v>37</v>
      </c>
      <c r="N796" s="7" t="s">
        <v>37</v>
      </c>
    </row>
    <row r="797" spans="1:14" ht="15.75" customHeight="1" x14ac:dyDescent="0.2">
      <c r="A797" s="269">
        <v>623</v>
      </c>
      <c r="B797" s="7" t="s">
        <v>984</v>
      </c>
      <c r="C797" s="7">
        <v>12</v>
      </c>
      <c r="D797" s="7" t="s">
        <v>21</v>
      </c>
      <c r="E797" s="7" t="s">
        <v>902</v>
      </c>
      <c r="G797" s="7" t="s">
        <v>985</v>
      </c>
      <c r="H797" s="7" t="s">
        <v>23</v>
      </c>
      <c r="I797" s="7" t="s">
        <v>986</v>
      </c>
      <c r="M797" s="7" t="s">
        <v>28</v>
      </c>
      <c r="N797" s="7" t="s">
        <v>37</v>
      </c>
    </row>
    <row r="798" spans="1:14" ht="15.75" customHeight="1" x14ac:dyDescent="0.2">
      <c r="A798" s="269">
        <v>624</v>
      </c>
      <c r="B798" s="7" t="s">
        <v>984</v>
      </c>
      <c r="C798" s="7">
        <v>12</v>
      </c>
      <c r="D798" s="7" t="s">
        <v>21</v>
      </c>
      <c r="E798" s="7" t="s">
        <v>902</v>
      </c>
      <c r="G798" s="7" t="s">
        <v>985</v>
      </c>
      <c r="H798" s="7" t="s">
        <v>23</v>
      </c>
      <c r="I798" s="7" t="s">
        <v>986</v>
      </c>
      <c r="M798" s="7" t="s">
        <v>37</v>
      </c>
      <c r="N798" s="7" t="s">
        <v>37</v>
      </c>
    </row>
    <row r="799" spans="1:14" ht="15.75" customHeight="1" x14ac:dyDescent="0.2">
      <c r="A799" s="269">
        <v>625</v>
      </c>
      <c r="B799" s="7" t="s">
        <v>984</v>
      </c>
      <c r="C799" s="7">
        <v>12</v>
      </c>
      <c r="D799" s="7" t="s">
        <v>21</v>
      </c>
      <c r="E799" s="7" t="s">
        <v>902</v>
      </c>
      <c r="G799" s="7" t="s">
        <v>985</v>
      </c>
      <c r="H799" s="7" t="s">
        <v>23</v>
      </c>
      <c r="I799" s="7" t="s">
        <v>986</v>
      </c>
      <c r="M799" s="7" t="s">
        <v>37</v>
      </c>
      <c r="N799" s="7" t="s">
        <v>37</v>
      </c>
    </row>
    <row r="800" spans="1:14" ht="15.75" customHeight="1" x14ac:dyDescent="0.2">
      <c r="A800" s="269">
        <v>626</v>
      </c>
      <c r="B800" s="7" t="s">
        <v>987</v>
      </c>
      <c r="C800" s="7">
        <v>12</v>
      </c>
      <c r="D800" s="7" t="s">
        <v>21</v>
      </c>
      <c r="E800" s="7" t="s">
        <v>902</v>
      </c>
      <c r="G800" s="7" t="s">
        <v>903</v>
      </c>
      <c r="H800" s="7" t="s">
        <v>23</v>
      </c>
      <c r="I800" s="7" t="s">
        <v>986</v>
      </c>
      <c r="M800" s="7" t="s">
        <v>37</v>
      </c>
      <c r="N800" s="7" t="s">
        <v>37</v>
      </c>
    </row>
    <row r="801" spans="1:14" ht="15.75" customHeight="1" x14ac:dyDescent="0.2">
      <c r="A801" s="269">
        <v>627</v>
      </c>
      <c r="B801" s="7" t="s">
        <v>987</v>
      </c>
      <c r="C801" s="7">
        <v>12</v>
      </c>
      <c r="D801" s="7" t="s">
        <v>21</v>
      </c>
      <c r="E801" s="7" t="s">
        <v>902</v>
      </c>
      <c r="G801" s="7" t="s">
        <v>903</v>
      </c>
      <c r="H801" s="7" t="s">
        <v>23</v>
      </c>
      <c r="I801" s="7" t="s">
        <v>986</v>
      </c>
      <c r="M801" s="7" t="s">
        <v>37</v>
      </c>
      <c r="N801" s="7" t="s">
        <v>37</v>
      </c>
    </row>
    <row r="802" spans="1:14" ht="15.75" customHeight="1" x14ac:dyDescent="0.2">
      <c r="A802" s="269">
        <v>628</v>
      </c>
      <c r="B802" s="7" t="s">
        <v>987</v>
      </c>
      <c r="C802" s="7">
        <v>12</v>
      </c>
      <c r="D802" s="7" t="s">
        <v>21</v>
      </c>
      <c r="E802" s="7" t="s">
        <v>902</v>
      </c>
      <c r="G802" s="7" t="s">
        <v>903</v>
      </c>
      <c r="H802" s="7" t="s">
        <v>23</v>
      </c>
      <c r="I802" s="7" t="s">
        <v>986</v>
      </c>
      <c r="M802" s="7" t="s">
        <v>37</v>
      </c>
      <c r="N802" s="7" t="s">
        <v>37</v>
      </c>
    </row>
    <row r="803" spans="1:14" ht="15.75" customHeight="1" x14ac:dyDescent="0.2">
      <c r="A803" s="269">
        <v>629</v>
      </c>
      <c r="B803" s="7" t="s">
        <v>988</v>
      </c>
      <c r="C803" s="7">
        <v>12</v>
      </c>
      <c r="D803" s="7" t="s">
        <v>21</v>
      </c>
      <c r="E803" s="7" t="s">
        <v>902</v>
      </c>
      <c r="G803" s="7" t="s">
        <v>985</v>
      </c>
      <c r="H803" s="7" t="s">
        <v>23</v>
      </c>
      <c r="I803" s="7" t="s">
        <v>986</v>
      </c>
      <c r="M803" s="7" t="s">
        <v>28</v>
      </c>
      <c r="N803" s="7" t="s">
        <v>37</v>
      </c>
    </row>
    <row r="804" spans="1:14" ht="15.75" customHeight="1" x14ac:dyDescent="0.2">
      <c r="A804" s="269">
        <v>630</v>
      </c>
      <c r="B804" s="7" t="s">
        <v>988</v>
      </c>
      <c r="C804" s="7">
        <v>12</v>
      </c>
      <c r="D804" s="7" t="s">
        <v>21</v>
      </c>
      <c r="E804" s="7" t="s">
        <v>902</v>
      </c>
      <c r="G804" s="7" t="s">
        <v>985</v>
      </c>
      <c r="H804" s="7" t="s">
        <v>23</v>
      </c>
      <c r="I804" s="7" t="s">
        <v>986</v>
      </c>
      <c r="M804" s="7" t="s">
        <v>37</v>
      </c>
      <c r="N804" s="7" t="s">
        <v>37</v>
      </c>
    </row>
    <row r="805" spans="1:14" ht="15.75" customHeight="1" x14ac:dyDescent="0.2">
      <c r="A805" s="269">
        <v>631</v>
      </c>
      <c r="B805" s="7" t="s">
        <v>988</v>
      </c>
      <c r="C805" s="7">
        <v>12</v>
      </c>
      <c r="D805" s="7" t="s">
        <v>21</v>
      </c>
      <c r="E805" s="7" t="s">
        <v>902</v>
      </c>
      <c r="G805" s="7" t="s">
        <v>985</v>
      </c>
      <c r="H805" s="7" t="s">
        <v>23</v>
      </c>
      <c r="I805" s="7" t="s">
        <v>986</v>
      </c>
      <c r="M805" s="7" t="s">
        <v>37</v>
      </c>
      <c r="N805" s="7" t="s">
        <v>37</v>
      </c>
    </row>
    <row r="806" spans="1:14" ht="15.75" customHeight="1" x14ac:dyDescent="0.2">
      <c r="A806" s="269">
        <v>632</v>
      </c>
      <c r="B806" s="7" t="s">
        <v>989</v>
      </c>
      <c r="C806" s="7">
        <v>12</v>
      </c>
      <c r="D806" s="7" t="s">
        <v>21</v>
      </c>
      <c r="E806" s="7" t="s">
        <v>902</v>
      </c>
      <c r="G806" s="7" t="s">
        <v>985</v>
      </c>
      <c r="H806" s="7" t="s">
        <v>23</v>
      </c>
      <c r="I806" s="7" t="s">
        <v>986</v>
      </c>
      <c r="M806" s="7" t="s">
        <v>28</v>
      </c>
      <c r="N806" s="7" t="s">
        <v>37</v>
      </c>
    </row>
    <row r="807" spans="1:14" ht="15.75" customHeight="1" x14ac:dyDescent="0.2">
      <c r="A807" s="269">
        <v>633</v>
      </c>
      <c r="B807" s="7" t="s">
        <v>989</v>
      </c>
      <c r="C807" s="7">
        <v>12</v>
      </c>
      <c r="D807" s="7" t="s">
        <v>21</v>
      </c>
      <c r="E807" s="7" t="s">
        <v>902</v>
      </c>
      <c r="G807" s="7" t="s">
        <v>985</v>
      </c>
      <c r="H807" s="7" t="s">
        <v>23</v>
      </c>
      <c r="I807" s="7" t="s">
        <v>986</v>
      </c>
      <c r="M807" s="7" t="s">
        <v>37</v>
      </c>
      <c r="N807" s="7" t="s">
        <v>37</v>
      </c>
    </row>
    <row r="808" spans="1:14" ht="15.75" customHeight="1" x14ac:dyDescent="0.2">
      <c r="A808" s="269">
        <v>634</v>
      </c>
      <c r="B808" s="7" t="s">
        <v>989</v>
      </c>
      <c r="C808" s="7">
        <v>12</v>
      </c>
      <c r="D808" s="7" t="s">
        <v>21</v>
      </c>
      <c r="E808" s="7" t="s">
        <v>902</v>
      </c>
      <c r="G808" s="7" t="s">
        <v>985</v>
      </c>
      <c r="H808" s="7" t="s">
        <v>23</v>
      </c>
      <c r="I808" s="7" t="s">
        <v>986</v>
      </c>
      <c r="M808" s="7" t="s">
        <v>37</v>
      </c>
      <c r="N808" s="7" t="s">
        <v>37</v>
      </c>
    </row>
    <row r="809" spans="1:14" ht="15.75" customHeight="1" x14ac:dyDescent="0.2">
      <c r="A809" s="269">
        <v>635</v>
      </c>
      <c r="B809" s="7" t="s">
        <v>990</v>
      </c>
      <c r="C809" s="7">
        <v>12</v>
      </c>
      <c r="D809" s="7" t="s">
        <v>21</v>
      </c>
      <c r="E809" s="7" t="s">
        <v>902</v>
      </c>
      <c r="G809" s="7" t="s">
        <v>903</v>
      </c>
      <c r="H809" s="7" t="s">
        <v>23</v>
      </c>
      <c r="I809" s="7" t="s">
        <v>986</v>
      </c>
      <c r="M809" s="7" t="s">
        <v>37</v>
      </c>
      <c r="N809" s="7" t="s">
        <v>37</v>
      </c>
    </row>
    <row r="810" spans="1:14" ht="15.75" customHeight="1" x14ac:dyDescent="0.2">
      <c r="A810" s="269">
        <v>636</v>
      </c>
      <c r="B810" s="7" t="s">
        <v>990</v>
      </c>
      <c r="C810" s="7">
        <v>12</v>
      </c>
      <c r="D810" s="7" t="s">
        <v>21</v>
      </c>
      <c r="E810" s="7" t="s">
        <v>902</v>
      </c>
      <c r="G810" s="7" t="s">
        <v>903</v>
      </c>
      <c r="H810" s="7" t="s">
        <v>23</v>
      </c>
      <c r="I810" s="7" t="s">
        <v>986</v>
      </c>
      <c r="M810" s="7" t="s">
        <v>37</v>
      </c>
      <c r="N810" s="7" t="s">
        <v>37</v>
      </c>
    </row>
    <row r="811" spans="1:14" ht="15.75" customHeight="1" x14ac:dyDescent="0.2">
      <c r="A811" s="269">
        <v>637</v>
      </c>
      <c r="B811" s="7" t="s">
        <v>990</v>
      </c>
      <c r="C811" s="7">
        <v>12</v>
      </c>
      <c r="D811" s="7" t="s">
        <v>21</v>
      </c>
      <c r="E811" s="7" t="s">
        <v>902</v>
      </c>
      <c r="G811" s="7" t="s">
        <v>903</v>
      </c>
      <c r="H811" s="7" t="s">
        <v>23</v>
      </c>
      <c r="I811" s="7" t="s">
        <v>986</v>
      </c>
      <c r="M811" s="7" t="s">
        <v>37</v>
      </c>
      <c r="N811" s="7" t="s">
        <v>37</v>
      </c>
    </row>
    <row r="812" spans="1:14" ht="15.75" customHeight="1" x14ac:dyDescent="0.2">
      <c r="A812" s="7">
        <v>638</v>
      </c>
      <c r="B812" s="7" t="s">
        <v>990</v>
      </c>
      <c r="C812" s="7">
        <v>12</v>
      </c>
      <c r="D812" s="7" t="s">
        <v>21</v>
      </c>
      <c r="E812" s="7" t="s">
        <v>902</v>
      </c>
      <c r="G812" s="7" t="s">
        <v>903</v>
      </c>
      <c r="H812" s="7" t="s">
        <v>23</v>
      </c>
      <c r="M812" s="7" t="s">
        <v>37</v>
      </c>
      <c r="N812" s="7" t="s">
        <v>37</v>
      </c>
    </row>
    <row r="813" spans="1:14" ht="15.75" customHeight="1" x14ac:dyDescent="0.2">
      <c r="A813" s="7">
        <v>639</v>
      </c>
      <c r="B813" s="7" t="s">
        <v>990</v>
      </c>
      <c r="C813" s="7">
        <v>12</v>
      </c>
      <c r="D813" s="7" t="s">
        <v>21</v>
      </c>
      <c r="E813" s="7" t="s">
        <v>902</v>
      </c>
      <c r="G813" s="7" t="s">
        <v>903</v>
      </c>
      <c r="H813" s="7" t="s">
        <v>23</v>
      </c>
      <c r="M813" s="7" t="s">
        <v>37</v>
      </c>
      <c r="N813" s="7" t="s">
        <v>37</v>
      </c>
    </row>
    <row r="814" spans="1:14" ht="15.75" customHeight="1" x14ac:dyDescent="0.2">
      <c r="A814" s="7">
        <v>640</v>
      </c>
      <c r="B814" s="7" t="s">
        <v>990</v>
      </c>
      <c r="C814" s="7">
        <v>12</v>
      </c>
      <c r="D814" s="7" t="s">
        <v>21</v>
      </c>
      <c r="E814" s="7" t="s">
        <v>902</v>
      </c>
      <c r="G814" s="7" t="s">
        <v>903</v>
      </c>
      <c r="H814" s="7" t="s">
        <v>23</v>
      </c>
      <c r="M814" s="7" t="s">
        <v>37</v>
      </c>
      <c r="N814" s="7" t="s">
        <v>37</v>
      </c>
    </row>
    <row r="815" spans="1:14" ht="15.75" customHeight="1" x14ac:dyDescent="0.2">
      <c r="A815" s="269">
        <v>641</v>
      </c>
      <c r="B815" s="7" t="s">
        <v>991</v>
      </c>
      <c r="C815" s="7">
        <v>12</v>
      </c>
      <c r="D815" s="7" t="s">
        <v>21</v>
      </c>
      <c r="E815" s="7" t="s">
        <v>902</v>
      </c>
      <c r="G815" s="7" t="s">
        <v>985</v>
      </c>
      <c r="H815" s="7" t="s">
        <v>23</v>
      </c>
      <c r="I815" s="7" t="s">
        <v>986</v>
      </c>
      <c r="M815" s="7" t="s">
        <v>37</v>
      </c>
      <c r="N815" s="7" t="s">
        <v>37</v>
      </c>
    </row>
    <row r="816" spans="1:14" ht="15.75" customHeight="1" x14ac:dyDescent="0.2">
      <c r="A816" s="269">
        <v>642</v>
      </c>
      <c r="B816" s="7" t="s">
        <v>991</v>
      </c>
      <c r="C816" s="7">
        <v>12</v>
      </c>
      <c r="D816" s="7" t="s">
        <v>21</v>
      </c>
      <c r="E816" s="7" t="s">
        <v>902</v>
      </c>
      <c r="G816" s="7" t="s">
        <v>985</v>
      </c>
      <c r="H816" s="7" t="s">
        <v>23</v>
      </c>
      <c r="I816" s="7" t="s">
        <v>986</v>
      </c>
      <c r="M816" s="7" t="s">
        <v>37</v>
      </c>
      <c r="N816" s="7" t="s">
        <v>37</v>
      </c>
    </row>
    <row r="817" spans="1:14" ht="15.75" customHeight="1" x14ac:dyDescent="0.2">
      <c r="A817" s="269">
        <v>643</v>
      </c>
      <c r="B817" s="7" t="s">
        <v>991</v>
      </c>
      <c r="C817" s="7">
        <v>12</v>
      </c>
      <c r="D817" s="7" t="s">
        <v>21</v>
      </c>
      <c r="E817" s="7" t="s">
        <v>902</v>
      </c>
      <c r="G817" s="7" t="s">
        <v>985</v>
      </c>
      <c r="H817" s="7" t="s">
        <v>23</v>
      </c>
      <c r="I817" s="7" t="s">
        <v>986</v>
      </c>
      <c r="M817" s="7" t="s">
        <v>37</v>
      </c>
      <c r="N817" s="7" t="s">
        <v>37</v>
      </c>
    </row>
    <row r="818" spans="1:14" ht="15.75" customHeight="1" x14ac:dyDescent="0.2">
      <c r="A818" s="269">
        <v>644</v>
      </c>
      <c r="B818" s="7" t="s">
        <v>992</v>
      </c>
      <c r="C818" s="7">
        <v>12</v>
      </c>
      <c r="D818" s="7" t="s">
        <v>21</v>
      </c>
      <c r="E818" s="7" t="s">
        <v>902</v>
      </c>
      <c r="G818" s="7" t="s">
        <v>903</v>
      </c>
      <c r="H818" s="7" t="s">
        <v>23</v>
      </c>
      <c r="I818" s="7" t="s">
        <v>986</v>
      </c>
      <c r="M818" s="7" t="s">
        <v>37</v>
      </c>
      <c r="N818" s="7" t="s">
        <v>37</v>
      </c>
    </row>
    <row r="819" spans="1:14" ht="15.75" customHeight="1" x14ac:dyDescent="0.2">
      <c r="A819" s="269">
        <v>645</v>
      </c>
      <c r="B819" s="7" t="s">
        <v>992</v>
      </c>
      <c r="C819" s="7">
        <v>12</v>
      </c>
      <c r="D819" s="7" t="s">
        <v>21</v>
      </c>
      <c r="E819" s="7" t="s">
        <v>902</v>
      </c>
      <c r="G819" s="7" t="s">
        <v>903</v>
      </c>
      <c r="H819" s="7" t="s">
        <v>23</v>
      </c>
      <c r="I819" s="7" t="s">
        <v>986</v>
      </c>
      <c r="M819" s="7" t="s">
        <v>37</v>
      </c>
      <c r="N819" s="7" t="s">
        <v>37</v>
      </c>
    </row>
    <row r="820" spans="1:14" ht="15.75" customHeight="1" x14ac:dyDescent="0.2">
      <c r="A820" s="269">
        <v>646</v>
      </c>
      <c r="B820" s="7" t="s">
        <v>992</v>
      </c>
      <c r="C820" s="7">
        <v>12</v>
      </c>
      <c r="D820" s="7" t="s">
        <v>21</v>
      </c>
      <c r="E820" s="7" t="s">
        <v>902</v>
      </c>
      <c r="G820" s="7" t="s">
        <v>903</v>
      </c>
      <c r="H820" s="7" t="s">
        <v>23</v>
      </c>
      <c r="I820" s="7" t="s">
        <v>986</v>
      </c>
      <c r="M820" s="7" t="s">
        <v>37</v>
      </c>
      <c r="N820" s="7" t="s">
        <v>37</v>
      </c>
    </row>
    <row r="821" spans="1:14" ht="15.75" customHeight="1" x14ac:dyDescent="0.2">
      <c r="A821" s="269">
        <v>647</v>
      </c>
      <c r="B821" s="7" t="s">
        <v>993</v>
      </c>
      <c r="C821" s="7">
        <v>12</v>
      </c>
      <c r="D821" s="7" t="s">
        <v>21</v>
      </c>
      <c r="E821" s="7" t="s">
        <v>902</v>
      </c>
      <c r="G821" s="7" t="s">
        <v>903</v>
      </c>
      <c r="H821" s="7" t="s">
        <v>23</v>
      </c>
      <c r="I821" s="7" t="s">
        <v>986</v>
      </c>
      <c r="M821" s="7" t="s">
        <v>37</v>
      </c>
      <c r="N821" s="7" t="s">
        <v>37</v>
      </c>
    </row>
    <row r="822" spans="1:14" ht="15.75" customHeight="1" x14ac:dyDescent="0.2">
      <c r="A822" s="269">
        <v>648</v>
      </c>
      <c r="B822" s="7" t="s">
        <v>993</v>
      </c>
      <c r="C822" s="7">
        <v>12</v>
      </c>
      <c r="D822" s="7" t="s">
        <v>21</v>
      </c>
      <c r="E822" s="7" t="s">
        <v>902</v>
      </c>
      <c r="G822" s="7" t="s">
        <v>903</v>
      </c>
      <c r="H822" s="7" t="s">
        <v>23</v>
      </c>
      <c r="I822" s="7" t="s">
        <v>986</v>
      </c>
      <c r="M822" s="7" t="s">
        <v>37</v>
      </c>
      <c r="N822" s="7" t="s">
        <v>37</v>
      </c>
    </row>
    <row r="823" spans="1:14" ht="15.75" customHeight="1" x14ac:dyDescent="0.2">
      <c r="A823" s="269">
        <v>649</v>
      </c>
      <c r="B823" s="7" t="s">
        <v>993</v>
      </c>
      <c r="C823" s="7">
        <v>12</v>
      </c>
      <c r="D823" s="7" t="s">
        <v>21</v>
      </c>
      <c r="E823" s="7" t="s">
        <v>902</v>
      </c>
      <c r="G823" s="7" t="s">
        <v>903</v>
      </c>
      <c r="H823" s="7" t="s">
        <v>23</v>
      </c>
      <c r="I823" s="7" t="s">
        <v>986</v>
      </c>
      <c r="M823" s="7" t="s">
        <v>37</v>
      </c>
      <c r="N823" s="7" t="s">
        <v>37</v>
      </c>
    </row>
    <row r="824" spans="1:14" ht="15.75" customHeight="1" x14ac:dyDescent="0.2">
      <c r="A824" s="269">
        <v>650</v>
      </c>
      <c r="B824" s="7" t="s">
        <v>994</v>
      </c>
      <c r="C824" s="7">
        <v>12</v>
      </c>
      <c r="D824" s="7" t="s">
        <v>21</v>
      </c>
      <c r="E824" s="7" t="s">
        <v>902</v>
      </c>
      <c r="G824" s="7" t="s">
        <v>954</v>
      </c>
      <c r="H824" s="7" t="s">
        <v>23</v>
      </c>
      <c r="I824" s="7" t="s">
        <v>949</v>
      </c>
      <c r="M824" s="7" t="s">
        <v>37</v>
      </c>
      <c r="N824" s="7" t="s">
        <v>37</v>
      </c>
    </row>
    <row r="825" spans="1:14" ht="15.75" customHeight="1" x14ac:dyDescent="0.2">
      <c r="A825" s="269">
        <v>651</v>
      </c>
      <c r="B825" s="7" t="s">
        <v>994</v>
      </c>
      <c r="C825" s="7">
        <v>12</v>
      </c>
      <c r="D825" s="7" t="s">
        <v>21</v>
      </c>
      <c r="E825" s="7" t="s">
        <v>902</v>
      </c>
      <c r="G825" s="7" t="s">
        <v>954</v>
      </c>
      <c r="H825" s="7" t="s">
        <v>23</v>
      </c>
      <c r="I825" s="7" t="s">
        <v>949</v>
      </c>
      <c r="M825" s="7" t="s">
        <v>37</v>
      </c>
      <c r="N825" s="7" t="s">
        <v>37</v>
      </c>
    </row>
  </sheetData>
  <autoFilter ref="A1:S825" xr:uid="{BEEB3F26-608E-104D-B3E3-33ABA997D90D}"/>
  <phoneticPr fontId="5" type="noConversion"/>
  <conditionalFormatting sqref="I1:I532 I540:I628 I631:I1048576">
    <cfRule type="containsText" dxfId="43" priority="1" stopIfTrue="1" operator="containsText" text="Pink">
      <formula>NOT(ISERROR(SEARCH("Pink",I1)))</formula>
    </cfRule>
    <cfRule type="containsText" dxfId="42" priority="2" operator="containsText" text="BIN">
      <formula>NOT(ISERROR(SEARCH("BIN",I1)))</formula>
    </cfRule>
    <cfRule type="containsText" dxfId="41" priority="42" stopIfTrue="1" operator="containsText" text="HUMAN">
      <formula>NOT(ISERROR(SEARCH("HUMAN",I1)))</formula>
    </cfRule>
    <cfRule type="containsText" dxfId="40" priority="41" stopIfTrue="1" operator="containsText" text="BAG">
      <formula>NOT(ISERROR(SEARCH("BAG",I1)))</formula>
    </cfRule>
    <cfRule type="containsText" dxfId="39" priority="40" stopIfTrue="1" operator="containsText" text="GREEN">
      <formula>NOT(ISERROR(SEARCH("GREEN",I1)))</formula>
    </cfRule>
    <cfRule type="containsText" dxfId="38" priority="39" stopIfTrue="1" operator="containsText" text="UNUSED">
      <formula>NOT(ISERROR(SEARCH("UNUSED",I1)))</formula>
    </cfRule>
    <cfRule type="containsText" dxfId="37" priority="38" stopIfTrue="1" operator="containsText" text="PAPER">
      <formula>NOT(ISERROR(SEARCH("PAPER",I1)))</formula>
    </cfRule>
    <cfRule type="containsText" dxfId="36" priority="37" stopIfTrue="1" operator="containsText" text="SHG">
      <formula>NOT(ISERROR(SEARCH("SHG",I1)))</formula>
    </cfRule>
    <cfRule type="containsText" dxfId="35" priority="36" stopIfTrue="1" operator="containsText" text="DONE">
      <formula>NOT(ISERROR(SEARCH("DONE",I1)))</formula>
    </cfRule>
    <cfRule type="containsText" dxfId="34" priority="35" operator="containsText" text="RAMAN">
      <formula>NOT(ISERROR(SEARCH("RAMAN",I1)))</formula>
    </cfRule>
  </conditionalFormatting>
  <conditionalFormatting sqref="M90">
    <cfRule type="expression" dxfId="33" priority="13">
      <formula>ISNUMBER(SEARCH("500", B90))</formula>
    </cfRule>
    <cfRule type="expression" dxfId="32" priority="14">
      <formula>ISNUMBER(SEARCH("fixed", J90))</formula>
    </cfRule>
  </conditionalFormatting>
  <conditionalFormatting sqref="M92">
    <cfRule type="expression" dxfId="31" priority="11">
      <formula>ISNUMBER(SEARCH("500", B92))</formula>
    </cfRule>
    <cfRule type="expression" dxfId="30" priority="12">
      <formula>ISNUMBER(SEARCH("fixed", J92))</formula>
    </cfRule>
  </conditionalFormatting>
  <conditionalFormatting sqref="M1:S56 M57:Q57 M58:S146 M148:S628 P147:S147 M147:N147 S57 M631:S1048576">
    <cfRule type="containsText" dxfId="29" priority="34" operator="containsText" text="done">
      <formula>NOT(ISERROR(SEARCH("done",M1)))</formula>
    </cfRule>
  </conditionalFormatting>
  <conditionalFormatting sqref="M1:S56 M58:S146 P147:S147 M148:S628 M57:Q57 S57 M147:N147 M631:S1048576">
    <cfRule type="containsText" dxfId="28" priority="24" stopIfTrue="1" operator="containsText" text="to do">
      <formula>NOT(ISERROR(SEARCH("to do",M1)))</formula>
    </cfRule>
  </conditionalFormatting>
  <conditionalFormatting sqref="N2:N243 N245:N250 N253:N270 N272:N322 N324:N341 N343:N353 N355:N358 N360:N361">
    <cfRule type="expression" dxfId="27" priority="25">
      <formula>ISNUMBER(SEARCH("500", C2))</formula>
    </cfRule>
    <cfRule type="expression" dxfId="26" priority="29">
      <formula>ISNUMBER(SEARCH("fixed", K2))</formula>
    </cfRule>
  </conditionalFormatting>
  <conditionalFormatting sqref="O2:O144 O146 O148:O243 O245:O250 O253:O270 O272:O322 O324:O341 O343:O353 O355:O358 O360:O361">
    <cfRule type="expression" dxfId="25" priority="33">
      <formula>ISNUMBER(SEARCH("cover", K2))</formula>
    </cfRule>
    <cfRule type="expression" dxfId="24" priority="26">
      <formula>ISNUMBER(SEARCH("500", $C2))</formula>
    </cfRule>
  </conditionalFormatting>
  <conditionalFormatting sqref="P2:P243 P245:P250 P253:P270 P272:P322 P324:P341 P343:P353 P355:P358 P360:P361">
    <cfRule type="expression" dxfId="23" priority="19">
      <formula>ISNUMBER(SEARCH("100", $C2))</formula>
    </cfRule>
    <cfRule type="expression" dxfId="22" priority="20" stopIfTrue="1">
      <formula>ISNUMBER(SEARCH("12", $C2))</formula>
    </cfRule>
    <cfRule type="expression" dxfId="21" priority="21" stopIfTrue="1">
      <formula>ISNUMBER(SEARCH("30", $C2))</formula>
    </cfRule>
    <cfRule type="expression" dxfId="20" priority="22" stopIfTrue="1">
      <formula>ISNUMBER(SEARCH("60", $C2))</formula>
    </cfRule>
    <cfRule type="expression" dxfId="19" priority="30" stopIfTrue="1">
      <formula>ISNUMBER(SEARCH("cover", $K2))</formula>
    </cfRule>
  </conditionalFormatting>
  <conditionalFormatting sqref="Q2:Q361">
    <cfRule type="expression" dxfId="18" priority="28">
      <formula>ISNUMBER(SEARCH("cover", $K2))</formula>
    </cfRule>
  </conditionalFormatting>
  <conditionalFormatting sqref="R2:R56 R58:R143 R145:R361">
    <cfRule type="expression" dxfId="17" priority="18" stopIfTrue="1">
      <formula>ISNUMBER(SEARCH("60", $C2))</formula>
    </cfRule>
    <cfRule type="expression" dxfId="16" priority="27" stopIfTrue="1">
      <formula>ISNUMBER(SEARCH("cover", $K2))</formula>
    </cfRule>
    <cfRule type="expression" dxfId="15" priority="17">
      <formula>ISNUMBER(SEARCH("100", $C2))</formula>
    </cfRule>
    <cfRule type="expression" dxfId="14" priority="23" stopIfTrue="1">
      <formula>ISNUMBER(SEARCH("500", $C2))</formula>
    </cfRule>
    <cfRule type="expression" dxfId="13" priority="15">
      <formula>ISNUMBER(SEARCH("30", $C2))</formula>
    </cfRule>
  </conditionalFormatting>
  <conditionalFormatting sqref="R144">
    <cfRule type="expression" dxfId="12" priority="54">
      <formula>ISNUMBER(SEARCH("30", $C57))</formula>
    </cfRule>
    <cfRule type="expression" dxfId="11" priority="55">
      <formula>ISNUMBER(SEARCH("100", $C57))</formula>
    </cfRule>
    <cfRule type="expression" dxfId="10" priority="56" stopIfTrue="1">
      <formula>ISNUMBER(SEARCH("60", $C57))</formula>
    </cfRule>
    <cfRule type="expression" dxfId="9" priority="57" stopIfTrue="1">
      <formula>ISNUMBER(SEARCH("500", $C57))</formula>
    </cfRule>
    <cfRule type="expression" dxfId="8" priority="58" stopIfTrue="1">
      <formula>ISNUMBER(SEARCH("cover", $K57))</formula>
    </cfRule>
  </conditionalFormatting>
  <conditionalFormatting sqref="R177">
    <cfRule type="expression" dxfId="7" priority="10">
      <formula>ISNUMBER(SEARCH("cover", N177))</formula>
    </cfRule>
    <cfRule type="expression" dxfId="6" priority="9">
      <formula>ISNUMBER(SEARCH("500", $C177))</formula>
    </cfRule>
  </conditionalFormatting>
  <conditionalFormatting sqref="R179">
    <cfRule type="expression" dxfId="5" priority="8">
      <formula>ISNUMBER(SEARCH("cover", N179))</formula>
    </cfRule>
    <cfRule type="expression" dxfId="4" priority="7">
      <formula>ISNUMBER(SEARCH("500", $C179))</formula>
    </cfRule>
  </conditionalFormatting>
  <conditionalFormatting sqref="R181">
    <cfRule type="expression" dxfId="3" priority="6">
      <formula>ISNUMBER(SEARCH("cover", N181))</formula>
    </cfRule>
    <cfRule type="expression" dxfId="2" priority="5">
      <formula>ISNUMBER(SEARCH("500", $C181))</formula>
    </cfRule>
  </conditionalFormatting>
  <conditionalFormatting sqref="R183">
    <cfRule type="expression" dxfId="1" priority="4">
      <formula>ISNUMBER(SEARCH("cover", N183))</formula>
    </cfRule>
    <cfRule type="expression" dxfId="0" priority="3">
      <formula>ISNUMBER(SEARCH("500", $C183))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53319-E61C-4F39-B7F1-8EF58D8F54B0}">
  <dimension ref="A1:R175"/>
  <sheetViews>
    <sheetView topLeftCell="C1" workbookViewId="0">
      <selection activeCell="E14" sqref="E14"/>
    </sheetView>
  </sheetViews>
  <sheetFormatPr baseColWidth="10" defaultColWidth="9" defaultRowHeight="16" x14ac:dyDescent="0.2"/>
  <cols>
    <col min="1" max="1" width="33.6640625" style="168" customWidth="1"/>
    <col min="2" max="3" width="33.6640625" style="146" customWidth="1"/>
    <col min="4" max="4" width="48.5" style="146" customWidth="1"/>
    <col min="5" max="5" width="21.33203125" style="168" customWidth="1"/>
    <col min="6" max="6" width="21.33203125" style="146" customWidth="1"/>
    <col min="7" max="7" width="21.33203125" style="168" customWidth="1"/>
    <col min="8" max="8" width="11.33203125" style="146" customWidth="1"/>
    <col min="9" max="9" width="9" style="168"/>
    <col min="10" max="11" width="9" style="146"/>
    <col min="12" max="12" width="9" style="169"/>
    <col min="13" max="13" width="15.33203125" style="146" customWidth="1"/>
    <col min="14" max="14" width="9" style="146"/>
    <col min="15" max="15" width="11.1640625" style="146" customWidth="1"/>
    <col min="16" max="16" width="26.33203125" style="146" customWidth="1"/>
    <col min="17" max="17" width="9" style="169"/>
    <col min="18" max="16384" width="9" style="146"/>
  </cols>
  <sheetData>
    <row r="1" spans="1:18" ht="42" x14ac:dyDescent="0.2">
      <c r="A1" s="165" t="s">
        <v>995</v>
      </c>
      <c r="B1" s="166" t="s">
        <v>6</v>
      </c>
      <c r="C1" s="166" t="s">
        <v>4</v>
      </c>
      <c r="D1" s="166" t="s">
        <v>996</v>
      </c>
      <c r="E1" s="165" t="s">
        <v>997</v>
      </c>
      <c r="F1" s="166" t="s">
        <v>998</v>
      </c>
      <c r="G1" s="165" t="s">
        <v>999</v>
      </c>
      <c r="H1" s="166" t="s">
        <v>11</v>
      </c>
      <c r="I1" s="165" t="s">
        <v>1000</v>
      </c>
      <c r="J1" s="166" t="s">
        <v>1001</v>
      </c>
      <c r="K1" s="166" t="s">
        <v>1002</v>
      </c>
      <c r="L1" s="274" t="s">
        <v>1003</v>
      </c>
      <c r="M1" s="228" t="s">
        <v>1004</v>
      </c>
      <c r="N1" s="228" t="s">
        <v>1005</v>
      </c>
      <c r="O1" s="228" t="s">
        <v>1006</v>
      </c>
      <c r="P1" s="228" t="s">
        <v>11</v>
      </c>
      <c r="Q1" s="229" t="s">
        <v>1007</v>
      </c>
      <c r="R1" s="235"/>
    </row>
    <row r="2" spans="1:18" x14ac:dyDescent="0.2">
      <c r="A2" s="168">
        <v>270</v>
      </c>
      <c r="B2" s="146" t="s">
        <v>1008</v>
      </c>
      <c r="C2" s="146" t="s">
        <v>296</v>
      </c>
      <c r="D2" s="7" t="s">
        <v>675</v>
      </c>
      <c r="E2" s="168" t="s">
        <v>1009</v>
      </c>
      <c r="F2" s="251">
        <v>0.66666666666666663</v>
      </c>
      <c r="G2" s="168">
        <v>12</v>
      </c>
      <c r="H2" s="146" t="s">
        <v>703</v>
      </c>
      <c r="I2" s="168">
        <v>1200</v>
      </c>
      <c r="J2" s="146">
        <v>2500</v>
      </c>
      <c r="K2" s="146">
        <v>3</v>
      </c>
      <c r="L2" s="169">
        <v>10</v>
      </c>
    </row>
    <row r="3" spans="1:18" x14ac:dyDescent="0.2">
      <c r="A3" s="168">
        <v>269</v>
      </c>
      <c r="B3" s="146" t="s">
        <v>1010</v>
      </c>
      <c r="C3" s="146" t="s">
        <v>296</v>
      </c>
      <c r="D3" s="7" t="s">
        <v>672</v>
      </c>
      <c r="E3" s="168" t="s">
        <v>1009</v>
      </c>
      <c r="F3" s="251">
        <v>0.41666666666666669</v>
      </c>
      <c r="G3" s="168">
        <v>12</v>
      </c>
      <c r="H3" s="146" t="s">
        <v>703</v>
      </c>
      <c r="I3" s="168">
        <v>1200</v>
      </c>
      <c r="J3" s="146">
        <v>2500</v>
      </c>
      <c r="K3" s="146">
        <v>3</v>
      </c>
      <c r="L3" s="169">
        <v>10</v>
      </c>
    </row>
    <row r="4" spans="1:18" x14ac:dyDescent="0.2">
      <c r="A4" s="168">
        <v>275</v>
      </c>
      <c r="B4" s="146" t="s">
        <v>1008</v>
      </c>
      <c r="C4" s="146" t="s">
        <v>296</v>
      </c>
      <c r="D4" s="7" t="s">
        <v>688</v>
      </c>
      <c r="E4" s="168" t="s">
        <v>1009</v>
      </c>
      <c r="F4" s="251">
        <v>0.70833333333333337</v>
      </c>
      <c r="G4" s="168">
        <v>12</v>
      </c>
      <c r="H4" s="146" t="s">
        <v>703</v>
      </c>
      <c r="I4" s="168">
        <v>1200</v>
      </c>
      <c r="J4" s="146">
        <v>2500</v>
      </c>
      <c r="K4" s="146">
        <v>3</v>
      </c>
      <c r="L4" s="169">
        <v>10</v>
      </c>
    </row>
    <row r="5" spans="1:18" x14ac:dyDescent="0.2">
      <c r="A5" s="168">
        <v>277</v>
      </c>
      <c r="B5" s="146" t="s">
        <v>1008</v>
      </c>
      <c r="C5" s="146" t="s">
        <v>296</v>
      </c>
      <c r="D5" s="7" t="s">
        <v>693</v>
      </c>
      <c r="E5" s="168" t="s">
        <v>1009</v>
      </c>
      <c r="F5" s="251">
        <v>0.58333333333333337</v>
      </c>
      <c r="G5" s="168">
        <v>12</v>
      </c>
      <c r="H5" s="146" t="s">
        <v>703</v>
      </c>
      <c r="I5" s="168">
        <v>1200</v>
      </c>
      <c r="J5" s="146">
        <v>2500</v>
      </c>
      <c r="K5" s="146">
        <v>3</v>
      </c>
      <c r="L5" s="169">
        <v>10</v>
      </c>
    </row>
    <row r="6" spans="1:18" x14ac:dyDescent="0.2">
      <c r="A6" s="168" t="s">
        <v>1011</v>
      </c>
      <c r="B6" s="146" t="s">
        <v>1010</v>
      </c>
      <c r="C6" s="146" t="s">
        <v>296</v>
      </c>
      <c r="D6" s="7" t="s">
        <v>686</v>
      </c>
      <c r="E6" s="168" t="s">
        <v>1009</v>
      </c>
      <c r="F6" s="251">
        <v>0.45833333333333331</v>
      </c>
      <c r="G6" s="168">
        <v>12</v>
      </c>
      <c r="H6" s="146" t="s">
        <v>703</v>
      </c>
      <c r="I6" s="168">
        <v>1200</v>
      </c>
      <c r="J6" s="146">
        <v>2500</v>
      </c>
      <c r="K6" s="146">
        <v>3</v>
      </c>
      <c r="L6" s="169">
        <v>10</v>
      </c>
      <c r="P6" s="146" t="s">
        <v>1012</v>
      </c>
    </row>
    <row r="7" spans="1:18" x14ac:dyDescent="0.2">
      <c r="A7" s="168">
        <v>272</v>
      </c>
      <c r="B7" s="146" t="s">
        <v>1010</v>
      </c>
      <c r="C7" s="146" t="s">
        <v>296</v>
      </c>
      <c r="D7" s="7" t="s">
        <v>681</v>
      </c>
      <c r="E7" s="168" t="s">
        <v>1009</v>
      </c>
      <c r="F7" s="251">
        <v>0.54166666666666663</v>
      </c>
      <c r="G7" s="168">
        <v>12</v>
      </c>
      <c r="H7" s="146" t="s">
        <v>703</v>
      </c>
      <c r="I7" s="168">
        <v>1200</v>
      </c>
      <c r="J7" s="146">
        <v>2500</v>
      </c>
      <c r="K7" s="146">
        <v>3</v>
      </c>
      <c r="L7" s="169">
        <v>10</v>
      </c>
    </row>
    <row r="8" spans="1:18" x14ac:dyDescent="0.2">
      <c r="A8" s="265">
        <v>278</v>
      </c>
      <c r="B8" s="146" t="s">
        <v>880</v>
      </c>
      <c r="C8" s="146" t="s">
        <v>880</v>
      </c>
      <c r="D8" s="7" t="s">
        <v>695</v>
      </c>
      <c r="E8" s="168" t="s">
        <v>1013</v>
      </c>
      <c r="F8" s="251">
        <v>0.54166666666666663</v>
      </c>
      <c r="G8" s="168">
        <v>12</v>
      </c>
      <c r="H8" s="146" t="s">
        <v>703</v>
      </c>
      <c r="I8" s="168">
        <v>1200</v>
      </c>
      <c r="J8" s="146">
        <v>2500</v>
      </c>
      <c r="K8" s="146">
        <v>3</v>
      </c>
      <c r="L8" s="169">
        <v>10</v>
      </c>
    </row>
    <row r="9" spans="1:18" x14ac:dyDescent="0.2">
      <c r="A9" s="265">
        <v>279</v>
      </c>
      <c r="B9" s="146" t="s">
        <v>1014</v>
      </c>
      <c r="C9" s="146" t="s">
        <v>880</v>
      </c>
      <c r="D9" s="7" t="s">
        <v>698</v>
      </c>
      <c r="E9" s="230">
        <v>45331</v>
      </c>
      <c r="F9" s="251">
        <v>0.54166666666666663</v>
      </c>
      <c r="G9" s="168">
        <v>12</v>
      </c>
      <c r="H9" s="146" t="s">
        <v>703</v>
      </c>
      <c r="I9" s="168">
        <v>1200</v>
      </c>
      <c r="J9" s="146">
        <v>2500</v>
      </c>
      <c r="K9" s="146">
        <v>3</v>
      </c>
      <c r="L9" s="169">
        <v>10</v>
      </c>
    </row>
    <row r="10" spans="1:18" x14ac:dyDescent="0.2">
      <c r="A10" s="168">
        <v>284</v>
      </c>
      <c r="B10" s="146" t="s">
        <v>880</v>
      </c>
      <c r="C10" s="146" t="s">
        <v>880</v>
      </c>
      <c r="D10" s="7" t="s">
        <v>715</v>
      </c>
      <c r="E10" s="230">
        <v>45331</v>
      </c>
      <c r="F10" s="251">
        <v>0.45833333333333331</v>
      </c>
      <c r="G10" s="168">
        <v>12</v>
      </c>
      <c r="H10" s="146" t="s">
        <v>703</v>
      </c>
      <c r="I10" s="168">
        <v>1200</v>
      </c>
      <c r="J10" s="146">
        <v>2500</v>
      </c>
      <c r="K10" s="146">
        <v>3</v>
      </c>
      <c r="L10" s="169">
        <v>10</v>
      </c>
    </row>
    <row r="11" spans="1:18" x14ac:dyDescent="0.2">
      <c r="A11" s="265">
        <v>285</v>
      </c>
      <c r="B11" s="146" t="s">
        <v>880</v>
      </c>
      <c r="C11" s="146" t="s">
        <v>880</v>
      </c>
      <c r="D11" s="7" t="s">
        <v>717</v>
      </c>
      <c r="E11" s="168" t="s">
        <v>1013</v>
      </c>
      <c r="F11" s="251">
        <v>0.625</v>
      </c>
      <c r="G11" s="168">
        <v>12</v>
      </c>
      <c r="H11" s="146" t="s">
        <v>703</v>
      </c>
      <c r="I11" s="168">
        <v>1200</v>
      </c>
      <c r="J11" s="146">
        <v>2500</v>
      </c>
      <c r="K11" s="146">
        <v>3</v>
      </c>
      <c r="L11" s="169">
        <v>10</v>
      </c>
    </row>
    <row r="12" spans="1:18" x14ac:dyDescent="0.2">
      <c r="A12" s="168" t="s">
        <v>1015</v>
      </c>
      <c r="B12" s="146" t="s">
        <v>1010</v>
      </c>
      <c r="C12" s="146" t="s">
        <v>296</v>
      </c>
      <c r="D12" s="146" t="s">
        <v>295</v>
      </c>
      <c r="E12" s="168" t="s">
        <v>1016</v>
      </c>
      <c r="F12" s="251">
        <v>0.70833333333333337</v>
      </c>
      <c r="G12" s="168">
        <v>12</v>
      </c>
      <c r="H12" s="146" t="s">
        <v>703</v>
      </c>
      <c r="I12" s="168">
        <v>1200</v>
      </c>
      <c r="J12" s="146">
        <v>2500</v>
      </c>
      <c r="K12" s="146">
        <v>3</v>
      </c>
      <c r="L12" s="169">
        <v>10</v>
      </c>
    </row>
    <row r="13" spans="1:18" x14ac:dyDescent="0.2">
      <c r="A13" s="168" t="s">
        <v>1017</v>
      </c>
      <c r="B13" s="146" t="s">
        <v>1010</v>
      </c>
      <c r="C13" s="146" t="s">
        <v>296</v>
      </c>
      <c r="D13" s="146" t="s">
        <v>303</v>
      </c>
      <c r="E13" s="230">
        <v>45632</v>
      </c>
      <c r="F13" s="251">
        <v>0.375</v>
      </c>
      <c r="G13" s="168">
        <v>12</v>
      </c>
      <c r="H13" s="146" t="s">
        <v>703</v>
      </c>
      <c r="I13" s="168">
        <v>1200</v>
      </c>
      <c r="J13" s="146">
        <v>2500</v>
      </c>
      <c r="K13" s="146">
        <v>3</v>
      </c>
      <c r="L13" s="169">
        <v>10</v>
      </c>
    </row>
    <row r="14" spans="1:18" x14ac:dyDescent="0.2">
      <c r="A14" s="168" t="s">
        <v>1018</v>
      </c>
      <c r="B14" s="146" t="s">
        <v>1008</v>
      </c>
      <c r="C14" s="146" t="s">
        <v>296</v>
      </c>
      <c r="D14" s="7" t="s">
        <v>312</v>
      </c>
      <c r="E14" s="168" t="s">
        <v>1019</v>
      </c>
      <c r="F14" s="251">
        <v>0.66666666666666663</v>
      </c>
      <c r="G14" s="168">
        <v>12</v>
      </c>
      <c r="H14" s="146" t="s">
        <v>703</v>
      </c>
      <c r="I14" s="168">
        <v>1200</v>
      </c>
      <c r="J14" s="146">
        <v>2500</v>
      </c>
      <c r="K14" s="146">
        <v>3</v>
      </c>
      <c r="L14" s="169">
        <v>10</v>
      </c>
    </row>
    <row r="15" spans="1:18" x14ac:dyDescent="0.2">
      <c r="A15" s="168" t="s">
        <v>1020</v>
      </c>
      <c r="B15" s="146" t="s">
        <v>1008</v>
      </c>
      <c r="C15" s="146" t="s">
        <v>296</v>
      </c>
      <c r="D15" s="7" t="s">
        <v>305</v>
      </c>
      <c r="E15" s="168" t="s">
        <v>1016</v>
      </c>
      <c r="F15" s="251">
        <v>0.66666666666666663</v>
      </c>
      <c r="G15" s="168">
        <v>12</v>
      </c>
      <c r="H15" s="146" t="s">
        <v>703</v>
      </c>
      <c r="I15" s="168">
        <v>1200</v>
      </c>
      <c r="J15" s="146">
        <v>2500</v>
      </c>
      <c r="K15" s="146">
        <v>3</v>
      </c>
      <c r="L15" s="169">
        <v>10</v>
      </c>
    </row>
    <row r="16" spans="1:18" x14ac:dyDescent="0.2">
      <c r="A16" s="168">
        <v>1</v>
      </c>
      <c r="B16" s="146" t="s">
        <v>1021</v>
      </c>
      <c r="C16" s="146" t="s">
        <v>1022</v>
      </c>
      <c r="D16" s="146" t="s">
        <v>20</v>
      </c>
      <c r="E16" s="230">
        <v>44996</v>
      </c>
      <c r="F16" s="251">
        <v>0.45833333333333331</v>
      </c>
      <c r="G16" s="168">
        <v>60</v>
      </c>
      <c r="I16" s="168">
        <v>5000</v>
      </c>
      <c r="J16" s="146">
        <v>2500</v>
      </c>
      <c r="K16" s="146">
        <v>3</v>
      </c>
      <c r="L16" s="169">
        <v>10</v>
      </c>
    </row>
    <row r="17" spans="1:12" x14ac:dyDescent="0.2">
      <c r="A17" s="168">
        <v>6</v>
      </c>
      <c r="B17" s="146" t="s">
        <v>1021</v>
      </c>
      <c r="C17" s="146" t="s">
        <v>1022</v>
      </c>
      <c r="D17" s="146" t="s">
        <v>30</v>
      </c>
      <c r="E17" s="168" t="s">
        <v>1023</v>
      </c>
      <c r="F17" s="251">
        <v>0.45833333333333331</v>
      </c>
      <c r="G17" s="168">
        <v>60</v>
      </c>
      <c r="I17" s="168">
        <v>5000</v>
      </c>
      <c r="J17" s="146">
        <v>2500</v>
      </c>
      <c r="K17" s="146">
        <v>3</v>
      </c>
      <c r="L17" s="169">
        <v>10</v>
      </c>
    </row>
    <row r="18" spans="1:12" x14ac:dyDescent="0.2">
      <c r="A18" s="168">
        <v>18</v>
      </c>
      <c r="B18" s="146" t="s">
        <v>1021</v>
      </c>
      <c r="C18" s="146" t="s">
        <v>1022</v>
      </c>
      <c r="D18" s="146" t="s">
        <v>53</v>
      </c>
      <c r="E18" s="230">
        <v>45505</v>
      </c>
      <c r="F18" s="251">
        <v>0.5</v>
      </c>
      <c r="G18" s="168">
        <v>60</v>
      </c>
      <c r="I18" s="168">
        <v>5000</v>
      </c>
      <c r="J18" s="146">
        <v>2500</v>
      </c>
      <c r="K18" s="146">
        <v>3</v>
      </c>
      <c r="L18" s="169">
        <v>10</v>
      </c>
    </row>
    <row r="19" spans="1:12" x14ac:dyDescent="0.2">
      <c r="A19" s="168">
        <v>30</v>
      </c>
      <c r="B19" s="146" t="s">
        <v>1021</v>
      </c>
      <c r="C19" s="146" t="s">
        <v>1022</v>
      </c>
      <c r="D19" s="146" t="s">
        <v>72</v>
      </c>
      <c r="E19" s="230">
        <v>45505</v>
      </c>
      <c r="F19" s="251">
        <v>0.54166666666666663</v>
      </c>
      <c r="G19" s="168">
        <v>60</v>
      </c>
      <c r="I19" s="168">
        <v>5000</v>
      </c>
      <c r="J19" s="146">
        <v>2500</v>
      </c>
      <c r="K19" s="146">
        <v>3</v>
      </c>
      <c r="L19" s="169">
        <v>10</v>
      </c>
    </row>
    <row r="20" spans="1:12" x14ac:dyDescent="0.2">
      <c r="A20" s="168">
        <v>44</v>
      </c>
      <c r="B20" s="146" t="s">
        <v>1021</v>
      </c>
      <c r="C20" s="146" t="s">
        <v>1022</v>
      </c>
      <c r="D20" s="146" t="s">
        <v>90</v>
      </c>
      <c r="E20" s="230">
        <v>45566</v>
      </c>
      <c r="F20" s="251">
        <v>0.45833333333333331</v>
      </c>
      <c r="G20" s="168">
        <v>60</v>
      </c>
      <c r="I20" s="168">
        <v>5000</v>
      </c>
      <c r="J20" s="146">
        <v>2500</v>
      </c>
      <c r="K20" s="146">
        <v>3</v>
      </c>
      <c r="L20" s="169">
        <v>10</v>
      </c>
    </row>
    <row r="21" spans="1:12" x14ac:dyDescent="0.2">
      <c r="A21" s="168">
        <v>5</v>
      </c>
      <c r="B21" s="146" t="s">
        <v>1021</v>
      </c>
      <c r="C21" s="146" t="s">
        <v>1022</v>
      </c>
      <c r="D21" s="144" t="s">
        <v>30</v>
      </c>
      <c r="E21" s="168" t="s">
        <v>1024</v>
      </c>
      <c r="F21" s="251">
        <v>0.66666666666666663</v>
      </c>
      <c r="G21" s="168">
        <v>60</v>
      </c>
      <c r="I21" s="168">
        <v>5000</v>
      </c>
      <c r="J21" s="146">
        <v>2500</v>
      </c>
      <c r="K21" s="146">
        <v>3</v>
      </c>
      <c r="L21" s="169">
        <v>10</v>
      </c>
    </row>
    <row r="22" spans="1:12" x14ac:dyDescent="0.2">
      <c r="A22" s="168">
        <v>4</v>
      </c>
      <c r="B22" s="146" t="s">
        <v>1021</v>
      </c>
      <c r="C22" s="146" t="s">
        <v>1022</v>
      </c>
      <c r="D22" s="144" t="s">
        <v>30</v>
      </c>
      <c r="E22" s="168" t="s">
        <v>1025</v>
      </c>
      <c r="F22" s="251">
        <v>0.41666666666666669</v>
      </c>
      <c r="G22" s="168">
        <v>60</v>
      </c>
      <c r="I22" s="168">
        <v>5000</v>
      </c>
      <c r="J22" s="146">
        <v>2500</v>
      </c>
      <c r="K22" s="146">
        <v>3</v>
      </c>
      <c r="L22" s="169">
        <v>10</v>
      </c>
    </row>
    <row r="23" spans="1:12" x14ac:dyDescent="0.2">
      <c r="A23" s="168">
        <v>20</v>
      </c>
      <c r="B23" s="146" t="s">
        <v>1021</v>
      </c>
      <c r="C23" s="146" t="s">
        <v>1022</v>
      </c>
      <c r="D23" s="146" t="s">
        <v>53</v>
      </c>
      <c r="E23" s="168" t="s">
        <v>1026</v>
      </c>
      <c r="F23" s="251">
        <v>0.5</v>
      </c>
      <c r="G23" s="168">
        <v>60</v>
      </c>
      <c r="I23" s="168">
        <v>5000</v>
      </c>
      <c r="J23" s="146">
        <v>2500</v>
      </c>
      <c r="K23" s="146">
        <v>3</v>
      </c>
      <c r="L23" s="169">
        <v>10</v>
      </c>
    </row>
    <row r="24" spans="1:12" x14ac:dyDescent="0.2">
      <c r="A24" s="168">
        <v>32</v>
      </c>
      <c r="B24" s="146" t="s">
        <v>1021</v>
      </c>
      <c r="C24" s="146" t="s">
        <v>1022</v>
      </c>
      <c r="D24" s="146" t="s">
        <v>72</v>
      </c>
      <c r="E24" s="168" t="s">
        <v>1027</v>
      </c>
      <c r="F24" s="251">
        <v>0.5</v>
      </c>
      <c r="G24" s="168">
        <v>60</v>
      </c>
      <c r="I24" s="168">
        <v>5000</v>
      </c>
      <c r="J24" s="146">
        <v>2500</v>
      </c>
      <c r="K24" s="146">
        <v>3</v>
      </c>
      <c r="L24" s="169">
        <v>10</v>
      </c>
    </row>
    <row r="25" spans="1:12" x14ac:dyDescent="0.2">
      <c r="A25" s="168">
        <v>45</v>
      </c>
      <c r="B25" s="146" t="s">
        <v>1021</v>
      </c>
      <c r="C25" s="146" t="s">
        <v>1022</v>
      </c>
      <c r="D25" s="146" t="s">
        <v>90</v>
      </c>
      <c r="E25" s="168" t="s">
        <v>1028</v>
      </c>
      <c r="F25" s="251">
        <v>0.625</v>
      </c>
      <c r="G25" s="168">
        <v>60</v>
      </c>
      <c r="I25" s="168">
        <v>5000</v>
      </c>
      <c r="J25" s="146">
        <v>2500</v>
      </c>
      <c r="K25" s="146">
        <v>3</v>
      </c>
      <c r="L25" s="169">
        <v>10</v>
      </c>
    </row>
    <row r="26" spans="1:12" x14ac:dyDescent="0.2">
      <c r="A26" s="168">
        <v>8</v>
      </c>
      <c r="B26" s="146" t="s">
        <v>1029</v>
      </c>
      <c r="C26" s="146" t="s">
        <v>1022</v>
      </c>
      <c r="D26" s="146" t="s">
        <v>41</v>
      </c>
      <c r="E26" s="168" t="s">
        <v>1023</v>
      </c>
      <c r="F26" s="251">
        <v>0.5</v>
      </c>
      <c r="G26" s="168">
        <v>30</v>
      </c>
      <c r="I26" s="168">
        <v>2500</v>
      </c>
      <c r="J26" s="146">
        <v>1250</v>
      </c>
      <c r="K26" s="146">
        <v>3</v>
      </c>
      <c r="L26" s="169">
        <v>10</v>
      </c>
    </row>
    <row r="27" spans="1:12" x14ac:dyDescent="0.2">
      <c r="A27" s="168">
        <v>36</v>
      </c>
      <c r="B27" s="146" t="s">
        <v>1029</v>
      </c>
      <c r="C27" s="146" t="s">
        <v>1022</v>
      </c>
      <c r="D27" s="146" t="s">
        <v>80</v>
      </c>
      <c r="E27" s="230">
        <v>45566</v>
      </c>
      <c r="F27" s="251">
        <v>0.5</v>
      </c>
      <c r="G27" s="168">
        <v>30</v>
      </c>
      <c r="I27" s="168">
        <v>2500</v>
      </c>
      <c r="J27" s="146">
        <v>1250</v>
      </c>
      <c r="K27" s="146">
        <v>3</v>
      </c>
      <c r="L27" s="169">
        <v>10</v>
      </c>
    </row>
    <row r="28" spans="1:12" x14ac:dyDescent="0.2">
      <c r="A28" s="168">
        <v>22</v>
      </c>
      <c r="B28" s="146" t="s">
        <v>1029</v>
      </c>
      <c r="C28" s="146" t="s">
        <v>1022</v>
      </c>
      <c r="D28" s="146" t="s">
        <v>61</v>
      </c>
      <c r="E28" s="230">
        <v>45566</v>
      </c>
      <c r="F28" s="251">
        <v>0.54166666666666663</v>
      </c>
      <c r="G28" s="168">
        <v>30</v>
      </c>
      <c r="I28" s="168">
        <v>2500</v>
      </c>
      <c r="J28" s="146">
        <v>1250</v>
      </c>
      <c r="K28" s="146">
        <v>3</v>
      </c>
      <c r="L28" s="169">
        <v>10</v>
      </c>
    </row>
    <row r="29" spans="1:12" x14ac:dyDescent="0.2">
      <c r="A29" s="168">
        <v>51</v>
      </c>
      <c r="B29" s="146" t="s">
        <v>1029</v>
      </c>
      <c r="C29" s="146" t="s">
        <v>1022</v>
      </c>
      <c r="D29" s="146" t="s">
        <v>97</v>
      </c>
      <c r="E29" s="230">
        <v>45566</v>
      </c>
      <c r="F29" s="251">
        <v>0.58333333333333337</v>
      </c>
      <c r="G29" s="168">
        <v>30</v>
      </c>
      <c r="I29" s="168">
        <v>2500</v>
      </c>
      <c r="J29" s="146">
        <v>1250</v>
      </c>
      <c r="K29" s="146">
        <v>3</v>
      </c>
      <c r="L29" s="169">
        <v>10</v>
      </c>
    </row>
    <row r="30" spans="1:12" x14ac:dyDescent="0.2">
      <c r="A30" s="168">
        <v>28</v>
      </c>
      <c r="B30" s="146" t="s">
        <v>1030</v>
      </c>
      <c r="C30" s="146" t="s">
        <v>1022</v>
      </c>
      <c r="D30" s="146" t="s">
        <v>66</v>
      </c>
      <c r="E30" s="168" t="s">
        <v>1031</v>
      </c>
      <c r="F30" s="251">
        <v>0.52083333333333337</v>
      </c>
      <c r="G30" s="168">
        <v>12</v>
      </c>
      <c r="I30" s="168">
        <v>1250</v>
      </c>
      <c r="J30" s="146">
        <f>1250/2</f>
        <v>625</v>
      </c>
      <c r="K30" s="146">
        <v>3</v>
      </c>
      <c r="L30" s="169">
        <v>10</v>
      </c>
    </row>
    <row r="31" spans="1:12" x14ac:dyDescent="0.2">
      <c r="A31" s="168">
        <v>12</v>
      </c>
      <c r="B31" s="146" t="s">
        <v>1030</v>
      </c>
      <c r="C31" s="146" t="s">
        <v>1022</v>
      </c>
      <c r="D31" s="144" t="s">
        <v>47</v>
      </c>
      <c r="E31" s="168" t="s">
        <v>1023</v>
      </c>
      <c r="F31" s="251">
        <v>0.5</v>
      </c>
      <c r="G31" s="168">
        <v>12</v>
      </c>
      <c r="I31" s="168">
        <v>1250</v>
      </c>
      <c r="J31" s="146">
        <f>1250/2</f>
        <v>625</v>
      </c>
      <c r="K31" s="146">
        <v>3</v>
      </c>
      <c r="L31" s="169">
        <v>10</v>
      </c>
    </row>
    <row r="32" spans="1:12" x14ac:dyDescent="0.2">
      <c r="A32" s="168">
        <v>41</v>
      </c>
      <c r="B32" s="146" t="s">
        <v>1030</v>
      </c>
      <c r="C32" s="146" t="s">
        <v>1022</v>
      </c>
      <c r="D32" s="146" t="s">
        <v>85</v>
      </c>
      <c r="E32" s="168" t="s">
        <v>1031</v>
      </c>
      <c r="F32" s="251">
        <v>0.54166666666666663</v>
      </c>
      <c r="G32" s="168">
        <v>12</v>
      </c>
      <c r="I32" s="168">
        <v>1250</v>
      </c>
      <c r="J32" s="146">
        <f>1250/2</f>
        <v>625</v>
      </c>
      <c r="K32" s="146">
        <v>3</v>
      </c>
      <c r="L32" s="169">
        <v>10</v>
      </c>
    </row>
    <row r="33" spans="1:12" x14ac:dyDescent="0.2">
      <c r="A33" s="168">
        <v>53</v>
      </c>
      <c r="B33" s="146" t="s">
        <v>1030</v>
      </c>
      <c r="C33" s="146" t="s">
        <v>1022</v>
      </c>
      <c r="D33" s="146" t="s">
        <v>103</v>
      </c>
      <c r="E33" s="168" t="s">
        <v>1031</v>
      </c>
      <c r="F33" s="251">
        <v>0.58333333333333337</v>
      </c>
      <c r="G33" s="168">
        <v>12</v>
      </c>
      <c r="I33" s="168">
        <v>1250</v>
      </c>
      <c r="J33" s="146">
        <f>1250/2</f>
        <v>625</v>
      </c>
      <c r="K33" s="146">
        <v>3</v>
      </c>
      <c r="L33" s="169">
        <v>10</v>
      </c>
    </row>
    <row r="34" spans="1:12" x14ac:dyDescent="0.2">
      <c r="A34" s="168">
        <v>54</v>
      </c>
      <c r="B34" s="146" t="s">
        <v>1030</v>
      </c>
      <c r="C34" s="146" t="s">
        <v>1022</v>
      </c>
      <c r="D34" s="146" t="s">
        <v>103</v>
      </c>
      <c r="E34" s="168" t="s">
        <v>1031</v>
      </c>
      <c r="F34" s="251">
        <v>0.625</v>
      </c>
      <c r="G34" s="168">
        <v>12</v>
      </c>
      <c r="I34" s="168">
        <v>1250</v>
      </c>
      <c r="J34" s="146">
        <f>1250/2</f>
        <v>625</v>
      </c>
      <c r="K34" s="146">
        <v>3</v>
      </c>
      <c r="L34" s="169">
        <v>10</v>
      </c>
    </row>
    <row r="35" spans="1:12" x14ac:dyDescent="0.2">
      <c r="A35" s="168">
        <v>156</v>
      </c>
      <c r="B35" s="146" t="s">
        <v>1032</v>
      </c>
      <c r="C35" s="146" t="s">
        <v>1033</v>
      </c>
      <c r="D35" s="146" t="s">
        <v>250</v>
      </c>
      <c r="E35" s="168" t="s">
        <v>1034</v>
      </c>
      <c r="F35" s="251">
        <v>0.58333333333333337</v>
      </c>
      <c r="G35" s="168">
        <v>60</v>
      </c>
      <c r="I35" s="168">
        <v>5000</v>
      </c>
      <c r="J35" s="146">
        <v>2500</v>
      </c>
      <c r="K35" s="146">
        <v>3</v>
      </c>
      <c r="L35" s="169">
        <v>10</v>
      </c>
    </row>
    <row r="36" spans="1:12" x14ac:dyDescent="0.2">
      <c r="A36" s="168">
        <v>166</v>
      </c>
      <c r="B36" s="146" t="s">
        <v>1032</v>
      </c>
      <c r="C36" s="146" t="s">
        <v>1033</v>
      </c>
      <c r="D36" s="146" t="s">
        <v>264</v>
      </c>
      <c r="E36" s="168" t="s">
        <v>1035</v>
      </c>
      <c r="F36" s="251">
        <v>0.375</v>
      </c>
      <c r="G36" s="168">
        <v>60</v>
      </c>
      <c r="I36" s="168">
        <v>5000</v>
      </c>
      <c r="J36" s="146">
        <v>2500</v>
      </c>
      <c r="K36" s="146">
        <v>3</v>
      </c>
      <c r="L36" s="169">
        <v>10</v>
      </c>
    </row>
    <row r="37" spans="1:12" x14ac:dyDescent="0.2">
      <c r="A37" s="168">
        <v>201</v>
      </c>
      <c r="B37" s="146" t="s">
        <v>1008</v>
      </c>
      <c r="C37" s="146" t="s">
        <v>296</v>
      </c>
      <c r="D37" s="146" t="s">
        <v>599</v>
      </c>
      <c r="E37" s="168" t="s">
        <v>1035</v>
      </c>
      <c r="F37" s="251">
        <v>0.45833333333333331</v>
      </c>
      <c r="G37" s="168">
        <v>12</v>
      </c>
      <c r="H37" s="146" t="s">
        <v>1036</v>
      </c>
      <c r="I37" s="168">
        <v>5000</v>
      </c>
      <c r="J37" s="146">
        <v>2500</v>
      </c>
      <c r="K37" s="146">
        <v>3</v>
      </c>
      <c r="L37" s="169">
        <v>10</v>
      </c>
    </row>
    <row r="38" spans="1:12" x14ac:dyDescent="0.2">
      <c r="A38" s="168">
        <v>210</v>
      </c>
      <c r="B38" s="146" t="s">
        <v>1037</v>
      </c>
      <c r="C38" s="146" t="s">
        <v>1033</v>
      </c>
      <c r="D38" s="146" t="s">
        <v>604</v>
      </c>
      <c r="E38" s="168" t="s">
        <v>1038</v>
      </c>
      <c r="F38" s="251">
        <v>0.5</v>
      </c>
      <c r="G38" s="168">
        <v>60</v>
      </c>
      <c r="I38" s="168">
        <v>5000</v>
      </c>
      <c r="J38" s="146">
        <v>2500</v>
      </c>
      <c r="K38" s="146">
        <v>3</v>
      </c>
      <c r="L38" s="169">
        <v>10</v>
      </c>
    </row>
    <row r="39" spans="1:12" x14ac:dyDescent="0.2">
      <c r="A39" s="168">
        <v>212</v>
      </c>
      <c r="B39" s="146" t="s">
        <v>1037</v>
      </c>
      <c r="C39" s="146" t="s">
        <v>1033</v>
      </c>
      <c r="D39" s="146" t="s">
        <v>606</v>
      </c>
      <c r="E39" s="168" t="s">
        <v>1038</v>
      </c>
      <c r="F39" s="251">
        <v>0.54166666666666663</v>
      </c>
      <c r="G39" s="168">
        <v>60</v>
      </c>
      <c r="I39" s="168">
        <v>5000</v>
      </c>
      <c r="J39" s="146">
        <v>2500</v>
      </c>
      <c r="K39" s="146">
        <v>3</v>
      </c>
      <c r="L39" s="169">
        <v>10</v>
      </c>
    </row>
    <row r="40" spans="1:12" x14ac:dyDescent="0.2">
      <c r="A40" s="168">
        <v>215</v>
      </c>
      <c r="B40" s="146" t="s">
        <v>1037</v>
      </c>
      <c r="C40" s="146" t="s">
        <v>1033</v>
      </c>
      <c r="D40" s="146" t="s">
        <v>607</v>
      </c>
      <c r="E40" s="168" t="s">
        <v>1039</v>
      </c>
      <c r="F40" s="251">
        <v>0.41666666666666669</v>
      </c>
      <c r="G40" s="168">
        <v>60</v>
      </c>
      <c r="I40" s="168">
        <v>5000</v>
      </c>
      <c r="J40" s="146">
        <v>2500</v>
      </c>
      <c r="K40" s="146">
        <v>3</v>
      </c>
      <c r="L40" s="169">
        <v>10</v>
      </c>
    </row>
    <row r="41" spans="1:12" x14ac:dyDescent="0.2">
      <c r="A41" s="168">
        <v>230</v>
      </c>
      <c r="B41" s="146" t="s">
        <v>1040</v>
      </c>
      <c r="C41" s="146" t="s">
        <v>1033</v>
      </c>
      <c r="D41" s="146" t="s">
        <v>616</v>
      </c>
      <c r="E41" s="168" t="s">
        <v>1039</v>
      </c>
      <c r="F41" s="251">
        <v>0.45833333333333331</v>
      </c>
      <c r="G41" s="168">
        <v>60</v>
      </c>
      <c r="I41" s="168">
        <v>5000</v>
      </c>
      <c r="J41" s="146">
        <v>2500</v>
      </c>
      <c r="K41" s="146">
        <v>3</v>
      </c>
      <c r="L41" s="169">
        <v>10</v>
      </c>
    </row>
    <row r="42" spans="1:12" x14ac:dyDescent="0.2">
      <c r="A42" s="168">
        <v>233</v>
      </c>
      <c r="B42" s="146" t="s">
        <v>1040</v>
      </c>
      <c r="C42" s="146" t="s">
        <v>1033</v>
      </c>
      <c r="D42" s="146" t="s">
        <v>620</v>
      </c>
      <c r="E42" s="230">
        <v>45451</v>
      </c>
      <c r="F42" s="251">
        <v>0.41666666666666669</v>
      </c>
      <c r="G42" s="168">
        <v>60</v>
      </c>
      <c r="I42" s="168">
        <v>5000</v>
      </c>
      <c r="J42" s="146">
        <v>2500</v>
      </c>
      <c r="K42" s="146">
        <v>3</v>
      </c>
      <c r="L42" s="169">
        <v>10</v>
      </c>
    </row>
    <row r="43" spans="1:12" x14ac:dyDescent="0.2">
      <c r="A43" s="168">
        <v>244</v>
      </c>
      <c r="B43" s="146" t="s">
        <v>1032</v>
      </c>
      <c r="C43" s="146" t="s">
        <v>1033</v>
      </c>
      <c r="D43" s="146" t="s">
        <v>626</v>
      </c>
      <c r="E43" s="230">
        <v>45451</v>
      </c>
      <c r="F43" s="251">
        <v>0.5</v>
      </c>
      <c r="G43" s="168">
        <v>60</v>
      </c>
      <c r="I43" s="168">
        <v>5000</v>
      </c>
      <c r="J43" s="146">
        <v>2500</v>
      </c>
      <c r="K43" s="146">
        <v>3</v>
      </c>
      <c r="L43" s="169">
        <v>10</v>
      </c>
    </row>
    <row r="44" spans="1:12" x14ac:dyDescent="0.2">
      <c r="A44" s="168">
        <v>242</v>
      </c>
      <c r="B44" s="146" t="s">
        <v>1032</v>
      </c>
      <c r="C44" s="146" t="s">
        <v>1033</v>
      </c>
      <c r="D44" s="7" t="s">
        <v>625</v>
      </c>
      <c r="E44" s="230">
        <v>45329</v>
      </c>
      <c r="F44" s="251">
        <v>0.41666666666666669</v>
      </c>
      <c r="G44" s="168">
        <v>60</v>
      </c>
      <c r="I44" s="168">
        <v>5000</v>
      </c>
      <c r="J44" s="146">
        <v>2500</v>
      </c>
      <c r="K44" s="146">
        <v>3</v>
      </c>
      <c r="L44" s="169">
        <v>10</v>
      </c>
    </row>
    <row r="45" spans="1:12" x14ac:dyDescent="0.2">
      <c r="A45" s="168" t="s">
        <v>1041</v>
      </c>
      <c r="B45" s="146" t="s">
        <v>1040</v>
      </c>
      <c r="C45" s="146" t="s">
        <v>1033</v>
      </c>
      <c r="D45" s="146" t="s">
        <v>138</v>
      </c>
      <c r="E45" s="168" t="s">
        <v>1042</v>
      </c>
      <c r="F45" s="251">
        <v>0.5</v>
      </c>
      <c r="G45" s="168">
        <v>60</v>
      </c>
      <c r="I45" s="168">
        <v>5000</v>
      </c>
      <c r="J45" s="146">
        <v>2500</v>
      </c>
      <c r="K45" s="146">
        <v>3</v>
      </c>
      <c r="L45" s="169">
        <v>10</v>
      </c>
    </row>
    <row r="46" spans="1:12" x14ac:dyDescent="0.2">
      <c r="A46" s="168" t="s">
        <v>1043</v>
      </c>
      <c r="B46" s="146" t="s">
        <v>1040</v>
      </c>
      <c r="C46" s="146" t="s">
        <v>1033</v>
      </c>
      <c r="D46" s="146" t="s">
        <v>140</v>
      </c>
      <c r="E46" s="168" t="s">
        <v>1044</v>
      </c>
      <c r="F46" s="251">
        <v>0.54166666666666663</v>
      </c>
      <c r="G46" s="168">
        <v>60</v>
      </c>
      <c r="I46" s="168">
        <v>5000</v>
      </c>
      <c r="J46" s="146">
        <v>2500</v>
      </c>
      <c r="K46" s="146">
        <v>3</v>
      </c>
      <c r="L46" s="169">
        <v>10</v>
      </c>
    </row>
    <row r="47" spans="1:12" x14ac:dyDescent="0.2">
      <c r="A47" s="168" t="s">
        <v>1045</v>
      </c>
      <c r="B47" s="146" t="s">
        <v>1040</v>
      </c>
      <c r="C47" s="146" t="s">
        <v>1033</v>
      </c>
      <c r="D47" s="146" t="s">
        <v>134</v>
      </c>
      <c r="E47" s="168" t="s">
        <v>1046</v>
      </c>
      <c r="F47" s="251">
        <v>0.54166666666666663</v>
      </c>
      <c r="G47" s="168">
        <v>60</v>
      </c>
      <c r="I47" s="168">
        <v>5000</v>
      </c>
      <c r="J47" s="146">
        <v>2500</v>
      </c>
      <c r="K47" s="146">
        <v>3</v>
      </c>
      <c r="L47" s="169">
        <v>10</v>
      </c>
    </row>
    <row r="48" spans="1:12" x14ac:dyDescent="0.2">
      <c r="A48" s="168" t="s">
        <v>1047</v>
      </c>
      <c r="B48" s="146" t="s">
        <v>1040</v>
      </c>
      <c r="C48" s="146" t="s">
        <v>1033</v>
      </c>
      <c r="D48" s="146" t="s">
        <v>152</v>
      </c>
      <c r="E48" s="168" t="s">
        <v>1048</v>
      </c>
      <c r="F48" s="251">
        <v>0.5</v>
      </c>
      <c r="G48" s="168">
        <v>60</v>
      </c>
      <c r="I48" s="168">
        <v>5000</v>
      </c>
      <c r="J48" s="146">
        <v>2500</v>
      </c>
      <c r="K48" s="146">
        <v>3</v>
      </c>
      <c r="L48" s="169">
        <v>10</v>
      </c>
    </row>
    <row r="49" spans="1:12" x14ac:dyDescent="0.2">
      <c r="A49" s="168" t="s">
        <v>1049</v>
      </c>
      <c r="B49" s="146" t="s">
        <v>163</v>
      </c>
      <c r="C49" s="146" t="s">
        <v>1050</v>
      </c>
      <c r="D49" s="146" t="s">
        <v>161</v>
      </c>
      <c r="E49" s="230">
        <v>45207</v>
      </c>
      <c r="F49" s="251">
        <v>0.41666666666666669</v>
      </c>
      <c r="G49" s="168">
        <v>60</v>
      </c>
      <c r="I49" s="168">
        <v>5000</v>
      </c>
      <c r="J49" s="146">
        <v>2500</v>
      </c>
      <c r="K49" s="146">
        <v>3</v>
      </c>
      <c r="L49" s="169">
        <v>10</v>
      </c>
    </row>
    <row r="50" spans="1:12" x14ac:dyDescent="0.2">
      <c r="A50" s="168" t="s">
        <v>1051</v>
      </c>
      <c r="B50" s="146" t="s">
        <v>163</v>
      </c>
      <c r="C50" s="146" t="s">
        <v>1050</v>
      </c>
      <c r="D50" s="146" t="s">
        <v>161</v>
      </c>
      <c r="E50" s="230">
        <v>45207</v>
      </c>
      <c r="F50" s="251">
        <v>0.5</v>
      </c>
      <c r="G50" s="168">
        <v>60</v>
      </c>
      <c r="I50" s="168">
        <v>5000</v>
      </c>
      <c r="J50" s="146">
        <v>2500</v>
      </c>
      <c r="K50" s="146">
        <v>3</v>
      </c>
      <c r="L50" s="169">
        <v>10</v>
      </c>
    </row>
    <row r="51" spans="1:12" x14ac:dyDescent="0.2">
      <c r="A51" s="168" t="s">
        <v>1052</v>
      </c>
      <c r="B51" s="146" t="s">
        <v>1053</v>
      </c>
      <c r="C51" s="146" t="s">
        <v>1050</v>
      </c>
      <c r="D51" s="7" t="s">
        <v>315</v>
      </c>
      <c r="E51" s="168" t="s">
        <v>1054</v>
      </c>
      <c r="F51" s="251">
        <v>0.54166666666666663</v>
      </c>
      <c r="G51" s="168">
        <v>60</v>
      </c>
      <c r="I51" s="168">
        <v>5000</v>
      </c>
      <c r="J51" s="146">
        <v>5000</v>
      </c>
      <c r="K51" s="146">
        <v>3</v>
      </c>
      <c r="L51" s="169">
        <v>10</v>
      </c>
    </row>
    <row r="52" spans="1:12" x14ac:dyDescent="0.2">
      <c r="A52" s="168" t="s">
        <v>1055</v>
      </c>
      <c r="B52" s="146" t="s">
        <v>1056</v>
      </c>
      <c r="C52" s="146" t="s">
        <v>1050</v>
      </c>
      <c r="D52" s="146" t="s">
        <v>210</v>
      </c>
      <c r="E52" s="168" t="s">
        <v>1057</v>
      </c>
      <c r="F52" s="251">
        <v>0.45833333333333331</v>
      </c>
      <c r="G52" s="168">
        <v>60</v>
      </c>
      <c r="I52" s="168">
        <v>5000</v>
      </c>
      <c r="J52" s="146">
        <v>2500</v>
      </c>
      <c r="K52" s="146">
        <v>3</v>
      </c>
      <c r="L52" s="169">
        <v>10</v>
      </c>
    </row>
    <row r="53" spans="1:12" x14ac:dyDescent="0.2">
      <c r="A53" s="168" t="s">
        <v>1058</v>
      </c>
      <c r="B53" s="146" t="s">
        <v>1056</v>
      </c>
      <c r="C53" s="146" t="s">
        <v>1050</v>
      </c>
      <c r="D53" s="146" t="s">
        <v>213</v>
      </c>
      <c r="E53" s="168" t="s">
        <v>1059</v>
      </c>
      <c r="F53" s="251">
        <v>0.54166666666666663</v>
      </c>
      <c r="G53" s="168">
        <v>60</v>
      </c>
      <c r="I53" s="168">
        <v>5000</v>
      </c>
      <c r="J53" s="146">
        <v>2500</v>
      </c>
      <c r="K53" s="146">
        <v>3</v>
      </c>
      <c r="L53" s="169">
        <v>10</v>
      </c>
    </row>
    <row r="54" spans="1:12" x14ac:dyDescent="0.2">
      <c r="A54" s="168" t="s">
        <v>1060</v>
      </c>
      <c r="B54" s="146" t="s">
        <v>173</v>
      </c>
      <c r="C54" s="146" t="s">
        <v>1061</v>
      </c>
      <c r="D54" s="146" t="s">
        <v>177</v>
      </c>
      <c r="E54" s="168" t="s">
        <v>1062</v>
      </c>
      <c r="F54" s="251">
        <v>0.41666666666666669</v>
      </c>
      <c r="G54" s="168">
        <v>60</v>
      </c>
      <c r="I54" s="168">
        <v>5000</v>
      </c>
      <c r="J54" s="146">
        <v>2500</v>
      </c>
      <c r="K54" s="146">
        <v>3</v>
      </c>
      <c r="L54" s="169">
        <v>10</v>
      </c>
    </row>
    <row r="55" spans="1:12" x14ac:dyDescent="0.2">
      <c r="A55" s="168" t="s">
        <v>1063</v>
      </c>
      <c r="B55" s="146" t="s">
        <v>173</v>
      </c>
      <c r="C55" s="146" t="s">
        <v>1061</v>
      </c>
      <c r="D55" s="146" t="s">
        <v>177</v>
      </c>
      <c r="E55" s="230">
        <v>44934</v>
      </c>
      <c r="F55" s="251">
        <v>0.41666666666666669</v>
      </c>
      <c r="G55" s="168">
        <v>60</v>
      </c>
      <c r="I55" s="168">
        <v>5000</v>
      </c>
      <c r="J55" s="146">
        <v>2500</v>
      </c>
      <c r="K55" s="146">
        <v>3</v>
      </c>
      <c r="L55" s="169">
        <v>10</v>
      </c>
    </row>
    <row r="56" spans="1:12" x14ac:dyDescent="0.2">
      <c r="A56" s="168" t="s">
        <v>1064</v>
      </c>
      <c r="B56" s="146" t="s">
        <v>188</v>
      </c>
      <c r="C56" s="146" t="s">
        <v>1061</v>
      </c>
      <c r="D56" s="146" t="s">
        <v>187</v>
      </c>
      <c r="E56" s="168" t="s">
        <v>1065</v>
      </c>
      <c r="F56" s="251">
        <v>0.625</v>
      </c>
      <c r="G56" s="168">
        <v>60</v>
      </c>
      <c r="I56" s="168">
        <v>5000</v>
      </c>
      <c r="J56" s="146">
        <v>2500</v>
      </c>
      <c r="K56" s="146">
        <v>3</v>
      </c>
      <c r="L56" s="169">
        <v>10</v>
      </c>
    </row>
    <row r="57" spans="1:12" x14ac:dyDescent="0.2">
      <c r="A57" s="168" t="s">
        <v>1066</v>
      </c>
      <c r="B57" s="146" t="s">
        <v>188</v>
      </c>
      <c r="C57" s="146" t="s">
        <v>1061</v>
      </c>
      <c r="D57" s="146" t="s">
        <v>190</v>
      </c>
      <c r="E57" s="230">
        <v>44934</v>
      </c>
      <c r="F57" s="251">
        <v>0.45833333333333331</v>
      </c>
      <c r="G57" s="168">
        <v>60</v>
      </c>
      <c r="I57" s="168">
        <v>5000</v>
      </c>
      <c r="J57" s="146">
        <v>2500</v>
      </c>
      <c r="K57" s="146">
        <v>3</v>
      </c>
      <c r="L57" s="169">
        <v>10</v>
      </c>
    </row>
    <row r="58" spans="1:12" x14ac:dyDescent="0.2">
      <c r="A58" s="168" t="s">
        <v>1067</v>
      </c>
      <c r="B58" s="146" t="s">
        <v>188</v>
      </c>
      <c r="C58" s="146" t="s">
        <v>1061</v>
      </c>
      <c r="D58" s="146" t="s">
        <v>190</v>
      </c>
      <c r="E58" s="168" t="s">
        <v>1062</v>
      </c>
      <c r="F58" s="251">
        <v>0.45833333333333331</v>
      </c>
      <c r="G58" s="168">
        <v>60</v>
      </c>
      <c r="I58" s="168">
        <v>5000</v>
      </c>
      <c r="J58" s="146">
        <v>2500</v>
      </c>
      <c r="K58" s="146">
        <v>3</v>
      </c>
      <c r="L58" s="169">
        <v>10</v>
      </c>
    </row>
    <row r="59" spans="1:12" x14ac:dyDescent="0.2">
      <c r="A59" s="168" t="s">
        <v>1068</v>
      </c>
      <c r="B59" s="146" t="s">
        <v>188</v>
      </c>
      <c r="C59" s="146" t="s">
        <v>1061</v>
      </c>
      <c r="D59" s="146" t="s">
        <v>219</v>
      </c>
      <c r="E59" s="230">
        <v>45115</v>
      </c>
      <c r="F59" s="251">
        <v>0.54166666666666663</v>
      </c>
      <c r="G59" s="168">
        <v>60</v>
      </c>
      <c r="I59" s="168">
        <v>5000</v>
      </c>
      <c r="J59" s="146">
        <v>2500</v>
      </c>
      <c r="K59" s="146">
        <v>3</v>
      </c>
      <c r="L59" s="169">
        <v>10</v>
      </c>
    </row>
    <row r="60" spans="1:12" x14ac:dyDescent="0.2">
      <c r="A60" s="168" t="s">
        <v>1069</v>
      </c>
      <c r="B60" s="146" t="s">
        <v>197</v>
      </c>
      <c r="C60" s="146" t="s">
        <v>1061</v>
      </c>
      <c r="D60" s="146" t="s">
        <v>199</v>
      </c>
      <c r="E60" s="168" t="s">
        <v>1065</v>
      </c>
      <c r="F60" s="251">
        <v>0.54166666666666663</v>
      </c>
      <c r="G60" s="168">
        <v>60</v>
      </c>
      <c r="I60" s="168">
        <v>5000</v>
      </c>
      <c r="J60" s="146">
        <v>2500</v>
      </c>
      <c r="K60" s="146">
        <v>3</v>
      </c>
      <c r="L60" s="169">
        <v>10</v>
      </c>
    </row>
    <row r="61" spans="1:12" x14ac:dyDescent="0.2">
      <c r="A61" s="168" t="s">
        <v>1070</v>
      </c>
      <c r="B61" s="146" t="s">
        <v>197</v>
      </c>
      <c r="C61" s="146" t="s">
        <v>1061</v>
      </c>
      <c r="D61" s="7" t="s">
        <v>229</v>
      </c>
      <c r="E61" s="230">
        <v>45115</v>
      </c>
      <c r="F61" s="251">
        <v>0.625</v>
      </c>
      <c r="G61" s="168">
        <v>60</v>
      </c>
      <c r="I61" s="168">
        <v>5000</v>
      </c>
      <c r="J61" s="146">
        <v>2500</v>
      </c>
      <c r="K61" s="146">
        <v>3</v>
      </c>
      <c r="L61" s="169">
        <v>10</v>
      </c>
    </row>
    <row r="62" spans="1:12" x14ac:dyDescent="0.2">
      <c r="A62" s="266" t="s">
        <v>701</v>
      </c>
      <c r="B62" s="7" t="s">
        <v>1014</v>
      </c>
      <c r="C62" s="7" t="s">
        <v>880</v>
      </c>
      <c r="D62" s="7" t="s">
        <v>702</v>
      </c>
      <c r="E62" s="168" t="s">
        <v>1071</v>
      </c>
      <c r="F62" s="146" t="s">
        <v>1072</v>
      </c>
      <c r="G62" s="168">
        <v>60</v>
      </c>
      <c r="H62" s="146" t="s">
        <v>1073</v>
      </c>
      <c r="I62" s="168">
        <v>1200</v>
      </c>
      <c r="J62" s="146">
        <v>2500</v>
      </c>
      <c r="K62" s="146">
        <v>3</v>
      </c>
      <c r="L62" s="169">
        <v>10</v>
      </c>
    </row>
    <row r="63" spans="1:12" x14ac:dyDescent="0.2">
      <c r="A63" s="168" t="s">
        <v>1074</v>
      </c>
      <c r="B63" s="146" t="s">
        <v>1075</v>
      </c>
      <c r="C63" s="146" t="s">
        <v>1076</v>
      </c>
      <c r="D63" s="7" t="s">
        <v>287</v>
      </c>
      <c r="E63" s="168" t="s">
        <v>1077</v>
      </c>
      <c r="F63" s="251">
        <v>0.5</v>
      </c>
      <c r="G63" s="168">
        <v>60</v>
      </c>
      <c r="I63" s="168">
        <v>5000</v>
      </c>
      <c r="J63" s="146">
        <v>5000</v>
      </c>
      <c r="K63" s="146">
        <v>3</v>
      </c>
      <c r="L63" s="169">
        <v>50</v>
      </c>
    </row>
    <row r="64" spans="1:12" x14ac:dyDescent="0.2">
      <c r="A64" s="168" t="s">
        <v>1078</v>
      </c>
      <c r="B64" s="146" t="s">
        <v>1075</v>
      </c>
      <c r="C64" s="146" t="s">
        <v>1076</v>
      </c>
      <c r="D64" s="146" t="s">
        <v>287</v>
      </c>
      <c r="E64" s="168" t="s">
        <v>1077</v>
      </c>
      <c r="F64" s="251">
        <v>0.54166666666666663</v>
      </c>
      <c r="G64" s="168">
        <v>60</v>
      </c>
      <c r="I64" s="168">
        <v>5000</v>
      </c>
      <c r="J64" s="146">
        <v>5000</v>
      </c>
      <c r="K64" s="146">
        <v>3</v>
      </c>
      <c r="L64" s="169">
        <v>50</v>
      </c>
    </row>
    <row r="65" spans="1:17" x14ac:dyDescent="0.2">
      <c r="A65" s="168" t="s">
        <v>1079</v>
      </c>
      <c r="B65" s="146" t="s">
        <v>1080</v>
      </c>
      <c r="C65" s="146" t="s">
        <v>1076</v>
      </c>
      <c r="D65" s="146" t="s">
        <v>277</v>
      </c>
      <c r="E65" s="168" t="s">
        <v>1077</v>
      </c>
      <c r="F65" s="251">
        <v>0.45833333333333331</v>
      </c>
      <c r="G65" s="168">
        <v>60</v>
      </c>
      <c r="I65" s="168">
        <v>5000</v>
      </c>
      <c r="J65" s="146">
        <v>5000</v>
      </c>
      <c r="K65" s="146">
        <v>3</v>
      </c>
      <c r="L65" s="169">
        <v>50</v>
      </c>
    </row>
    <row r="66" spans="1:17" x14ac:dyDescent="0.2">
      <c r="A66" s="168" t="s">
        <v>1081</v>
      </c>
      <c r="B66" s="146" t="s">
        <v>1082</v>
      </c>
      <c r="C66" s="146" t="s">
        <v>1083</v>
      </c>
      <c r="D66" s="146" t="s">
        <v>1084</v>
      </c>
      <c r="E66" s="168" t="s">
        <v>1062</v>
      </c>
      <c r="F66" s="251">
        <v>0.54166666666666663</v>
      </c>
      <c r="I66" s="168">
        <v>5000</v>
      </c>
      <c r="J66" s="146">
        <v>2500</v>
      </c>
      <c r="K66" s="146">
        <v>3</v>
      </c>
      <c r="L66" s="169" t="s">
        <v>1085</v>
      </c>
    </row>
    <row r="67" spans="1:17" x14ac:dyDescent="0.2">
      <c r="A67" s="265" t="s">
        <v>727</v>
      </c>
      <c r="B67" s="7" t="s">
        <v>1014</v>
      </c>
      <c r="C67" s="7" t="s">
        <v>880</v>
      </c>
      <c r="D67" s="7" t="s">
        <v>728</v>
      </c>
      <c r="E67" s="168" t="s">
        <v>1086</v>
      </c>
      <c r="F67" s="251">
        <v>0.375</v>
      </c>
      <c r="G67" s="168">
        <v>12</v>
      </c>
      <c r="H67" s="146" t="s">
        <v>1073</v>
      </c>
      <c r="I67" s="168">
        <v>1200</v>
      </c>
      <c r="J67" s="146">
        <v>2500</v>
      </c>
      <c r="K67" s="146">
        <v>3</v>
      </c>
      <c r="L67" s="169">
        <v>10</v>
      </c>
    </row>
    <row r="68" spans="1:17" x14ac:dyDescent="0.2">
      <c r="A68" s="265" t="s">
        <v>1087</v>
      </c>
      <c r="B68" s="146" t="s">
        <v>880</v>
      </c>
      <c r="C68" s="146" t="s">
        <v>880</v>
      </c>
      <c r="D68" s="146" t="s">
        <v>705</v>
      </c>
      <c r="E68" s="168" t="s">
        <v>1086</v>
      </c>
      <c r="F68" s="251">
        <v>0.4375</v>
      </c>
      <c r="G68" s="168">
        <v>12</v>
      </c>
      <c r="H68" s="146" t="s">
        <v>1073</v>
      </c>
      <c r="I68" s="168">
        <v>1200</v>
      </c>
      <c r="J68" s="146">
        <v>2500</v>
      </c>
      <c r="K68" s="146">
        <v>3</v>
      </c>
      <c r="L68" s="169">
        <v>10</v>
      </c>
    </row>
    <row r="69" spans="1:17" x14ac:dyDescent="0.2">
      <c r="A69" s="265" t="s">
        <v>1088</v>
      </c>
      <c r="B69" s="7" t="s">
        <v>1014</v>
      </c>
      <c r="C69" s="146" t="s">
        <v>880</v>
      </c>
      <c r="D69" s="146" t="s">
        <v>719</v>
      </c>
      <c r="E69" s="168" t="s">
        <v>1089</v>
      </c>
      <c r="F69" s="251">
        <v>0.41666666666666669</v>
      </c>
      <c r="G69" s="168">
        <v>12</v>
      </c>
      <c r="H69" s="146" t="s">
        <v>1090</v>
      </c>
    </row>
    <row r="70" spans="1:17" x14ac:dyDescent="0.2">
      <c r="A70" s="168" t="s">
        <v>1091</v>
      </c>
      <c r="B70" s="146" t="s">
        <v>880</v>
      </c>
      <c r="C70" s="146" t="s">
        <v>880</v>
      </c>
      <c r="D70" s="146" t="s">
        <v>708</v>
      </c>
      <c r="E70" s="168" t="s">
        <v>1089</v>
      </c>
      <c r="F70" s="251">
        <v>0.41666666666666669</v>
      </c>
      <c r="G70" s="168">
        <v>12</v>
      </c>
      <c r="H70" s="146" t="s">
        <v>1090</v>
      </c>
    </row>
    <row r="71" spans="1:17" x14ac:dyDescent="0.2">
      <c r="A71" s="168" t="s">
        <v>1092</v>
      </c>
      <c r="B71" s="146" t="s">
        <v>1010</v>
      </c>
      <c r="C71" s="146" t="s">
        <v>296</v>
      </c>
      <c r="D71" s="146" t="s">
        <v>678</v>
      </c>
      <c r="E71" s="168" t="s">
        <v>1089</v>
      </c>
      <c r="F71" s="251">
        <v>0.41666666666666669</v>
      </c>
      <c r="G71" s="168">
        <v>12</v>
      </c>
      <c r="H71" s="146" t="s">
        <v>1090</v>
      </c>
    </row>
    <row r="72" spans="1:17" x14ac:dyDescent="0.2">
      <c r="A72" s="168" t="s">
        <v>1093</v>
      </c>
      <c r="B72" s="146" t="s">
        <v>1010</v>
      </c>
      <c r="C72" s="146" t="s">
        <v>296</v>
      </c>
      <c r="D72" s="146" t="s">
        <v>683</v>
      </c>
      <c r="E72" s="168" t="s">
        <v>1089</v>
      </c>
      <c r="F72" s="251">
        <v>0.41666666666666669</v>
      </c>
      <c r="G72" s="168">
        <v>12</v>
      </c>
      <c r="H72" s="146" t="s">
        <v>1094</v>
      </c>
      <c r="I72" s="168">
        <v>1200</v>
      </c>
      <c r="J72" s="146">
        <v>2500</v>
      </c>
      <c r="K72" s="146">
        <v>3</v>
      </c>
      <c r="L72" s="169">
        <v>10</v>
      </c>
    </row>
    <row r="73" spans="1:17" x14ac:dyDescent="0.2">
      <c r="A73" s="167" t="s">
        <v>740</v>
      </c>
      <c r="B73" s="146" t="s">
        <v>880</v>
      </c>
      <c r="C73" s="146" t="s">
        <v>880</v>
      </c>
      <c r="D73" s="7" t="s">
        <v>741</v>
      </c>
      <c r="E73" s="168" t="s">
        <v>1095</v>
      </c>
      <c r="F73" s="251">
        <v>0.5625</v>
      </c>
      <c r="G73" s="168">
        <v>12</v>
      </c>
      <c r="H73" s="146" t="s">
        <v>700</v>
      </c>
      <c r="I73" s="168">
        <v>1200</v>
      </c>
      <c r="J73" s="146">
        <v>2500</v>
      </c>
      <c r="K73" s="146">
        <v>3</v>
      </c>
      <c r="L73" s="169">
        <v>10</v>
      </c>
    </row>
    <row r="74" spans="1:17" x14ac:dyDescent="0.2">
      <c r="A74" s="167" t="s">
        <v>743</v>
      </c>
      <c r="B74" s="146" t="s">
        <v>880</v>
      </c>
      <c r="C74" s="146" t="s">
        <v>880</v>
      </c>
      <c r="D74" s="7" t="s">
        <v>744</v>
      </c>
      <c r="E74" s="168" t="s">
        <v>1095</v>
      </c>
      <c r="F74" s="251">
        <v>0.64583333333333337</v>
      </c>
      <c r="G74" s="168">
        <v>12</v>
      </c>
      <c r="H74" s="146" t="s">
        <v>703</v>
      </c>
      <c r="I74" s="168">
        <v>1200</v>
      </c>
      <c r="J74" s="146">
        <v>2500</v>
      </c>
      <c r="K74" s="146">
        <v>3</v>
      </c>
      <c r="L74" s="169">
        <v>10</v>
      </c>
    </row>
    <row r="75" spans="1:17" x14ac:dyDescent="0.2">
      <c r="A75" s="168" t="s">
        <v>749</v>
      </c>
      <c r="B75" s="146" t="s">
        <v>1014</v>
      </c>
      <c r="C75" s="146" t="s">
        <v>880</v>
      </c>
      <c r="D75" s="7" t="s">
        <v>750</v>
      </c>
      <c r="E75" s="168" t="s">
        <v>1095</v>
      </c>
      <c r="F75" s="251">
        <v>0.64583333333333337</v>
      </c>
      <c r="G75" s="168">
        <v>12</v>
      </c>
      <c r="H75" s="146" t="s">
        <v>703</v>
      </c>
      <c r="I75" s="168">
        <v>1200</v>
      </c>
      <c r="J75" s="146">
        <v>2500</v>
      </c>
      <c r="K75" s="146">
        <v>3</v>
      </c>
      <c r="L75" s="169">
        <v>10</v>
      </c>
    </row>
    <row r="76" spans="1:17" x14ac:dyDescent="0.2">
      <c r="A76" s="168" t="s">
        <v>754</v>
      </c>
      <c r="B76" s="146" t="s">
        <v>1010</v>
      </c>
      <c r="C76" s="146" t="s">
        <v>296</v>
      </c>
      <c r="D76" s="146" t="s">
        <v>755</v>
      </c>
      <c r="E76" s="230">
        <v>45394</v>
      </c>
      <c r="F76" s="251">
        <v>0.5625</v>
      </c>
      <c r="G76" s="168">
        <v>12</v>
      </c>
      <c r="H76" s="146" t="s">
        <v>703</v>
      </c>
      <c r="I76" s="168">
        <v>1200</v>
      </c>
      <c r="J76" s="146">
        <v>2500</v>
      </c>
      <c r="K76" s="146">
        <v>3</v>
      </c>
      <c r="L76" s="169">
        <v>10</v>
      </c>
    </row>
    <row r="77" spans="1:17" x14ac:dyDescent="0.2">
      <c r="A77" s="168" t="s">
        <v>756</v>
      </c>
      <c r="B77" s="146" t="s">
        <v>1010</v>
      </c>
      <c r="C77" s="146" t="s">
        <v>296</v>
      </c>
      <c r="D77" s="7" t="s">
        <v>757</v>
      </c>
      <c r="E77" s="230">
        <v>45394</v>
      </c>
      <c r="F77" s="251">
        <v>0.625</v>
      </c>
      <c r="G77" s="168">
        <v>12</v>
      </c>
      <c r="H77" s="146" t="s">
        <v>703</v>
      </c>
      <c r="I77" s="168">
        <v>1200</v>
      </c>
      <c r="J77" s="146">
        <v>2500</v>
      </c>
      <c r="K77" s="146">
        <v>3</v>
      </c>
      <c r="L77" s="169">
        <v>10</v>
      </c>
    </row>
    <row r="78" spans="1:17" x14ac:dyDescent="0.2">
      <c r="A78" s="215" t="s">
        <v>762</v>
      </c>
      <c r="B78" s="147" t="s">
        <v>188</v>
      </c>
      <c r="C78" s="147" t="s">
        <v>1061</v>
      </c>
      <c r="D78" s="49" t="s">
        <v>1096</v>
      </c>
      <c r="E78" s="231">
        <v>45638</v>
      </c>
      <c r="F78" s="232">
        <v>0.47916666666666669</v>
      </c>
      <c r="G78" s="215">
        <v>14</v>
      </c>
      <c r="H78" s="147" t="s">
        <v>703</v>
      </c>
      <c r="I78" s="215">
        <v>1200</v>
      </c>
      <c r="J78" s="147">
        <v>2500</v>
      </c>
      <c r="K78" s="147">
        <v>3</v>
      </c>
      <c r="L78" s="206">
        <v>10</v>
      </c>
      <c r="M78" s="147" t="s">
        <v>1097</v>
      </c>
      <c r="N78" s="147" t="s">
        <v>1098</v>
      </c>
      <c r="O78" s="147" t="s">
        <v>1099</v>
      </c>
      <c r="P78" s="147"/>
      <c r="Q78" s="206" t="s">
        <v>1100</v>
      </c>
    </row>
    <row r="79" spans="1:17" x14ac:dyDescent="0.2">
      <c r="A79" s="168" t="s">
        <v>762</v>
      </c>
      <c r="B79" s="146" t="s">
        <v>188</v>
      </c>
      <c r="C79" s="146" t="s">
        <v>1061</v>
      </c>
      <c r="D79" s="7" t="s">
        <v>1096</v>
      </c>
      <c r="E79" s="230">
        <v>45638</v>
      </c>
      <c r="G79" s="168">
        <v>14</v>
      </c>
      <c r="H79" s="146" t="s">
        <v>703</v>
      </c>
      <c r="I79" s="168">
        <v>1200</v>
      </c>
      <c r="J79" s="146">
        <v>2500</v>
      </c>
      <c r="K79" s="146">
        <v>3</v>
      </c>
      <c r="L79" s="169">
        <v>10</v>
      </c>
      <c r="M79" s="146" t="s">
        <v>1101</v>
      </c>
    </row>
    <row r="80" spans="1:17" x14ac:dyDescent="0.2">
      <c r="A80" s="168" t="s">
        <v>762</v>
      </c>
      <c r="B80" s="146" t="s">
        <v>188</v>
      </c>
      <c r="C80" s="146" t="s">
        <v>1061</v>
      </c>
      <c r="D80" s="7" t="s">
        <v>1096</v>
      </c>
      <c r="E80" s="230">
        <v>45638</v>
      </c>
      <c r="G80" s="168">
        <v>14</v>
      </c>
      <c r="H80" s="146" t="s">
        <v>703</v>
      </c>
      <c r="I80" s="168">
        <v>1200</v>
      </c>
      <c r="J80" s="146">
        <v>2500</v>
      </c>
      <c r="K80" s="146">
        <v>3</v>
      </c>
      <c r="L80" s="169">
        <v>10</v>
      </c>
      <c r="M80" s="146" t="s">
        <v>1102</v>
      </c>
      <c r="O80" s="146" t="s">
        <v>1103</v>
      </c>
      <c r="P80" s="146" t="s">
        <v>1104</v>
      </c>
    </row>
    <row r="81" spans="1:17" x14ac:dyDescent="0.2">
      <c r="A81" s="168" t="s">
        <v>762</v>
      </c>
      <c r="B81" s="146" t="s">
        <v>188</v>
      </c>
      <c r="C81" s="146" t="s">
        <v>1061</v>
      </c>
      <c r="D81" s="7" t="s">
        <v>1096</v>
      </c>
      <c r="E81" s="230">
        <v>45638</v>
      </c>
      <c r="G81" s="168">
        <v>14</v>
      </c>
      <c r="H81" s="146" t="s">
        <v>703</v>
      </c>
      <c r="I81" s="168">
        <v>1400</v>
      </c>
      <c r="J81" s="146">
        <v>2500</v>
      </c>
      <c r="K81" s="146">
        <v>3</v>
      </c>
      <c r="L81" s="169">
        <v>10</v>
      </c>
      <c r="M81" s="146" t="s">
        <v>1102</v>
      </c>
      <c r="N81" s="146" t="s">
        <v>1098</v>
      </c>
      <c r="O81" s="146" t="s">
        <v>1105</v>
      </c>
      <c r="Q81" s="169" t="s">
        <v>1106</v>
      </c>
    </row>
    <row r="82" spans="1:17" x14ac:dyDescent="0.2">
      <c r="A82" s="168" t="s">
        <v>762</v>
      </c>
      <c r="B82" s="146" t="s">
        <v>188</v>
      </c>
      <c r="C82" s="146" t="s">
        <v>1061</v>
      </c>
      <c r="D82" s="7" t="s">
        <v>1096</v>
      </c>
      <c r="E82" s="230">
        <v>45638</v>
      </c>
      <c r="G82" s="168">
        <v>14</v>
      </c>
      <c r="H82" s="146" t="s">
        <v>703</v>
      </c>
      <c r="I82" s="168">
        <v>1400</v>
      </c>
      <c r="J82" s="146">
        <v>2500</v>
      </c>
      <c r="K82" s="146">
        <v>3</v>
      </c>
      <c r="L82" s="169">
        <v>10</v>
      </c>
      <c r="M82" s="146" t="s">
        <v>1107</v>
      </c>
      <c r="N82" s="146" t="s">
        <v>1098</v>
      </c>
      <c r="O82" s="146" t="s">
        <v>1108</v>
      </c>
      <c r="Q82" s="169" t="s">
        <v>1109</v>
      </c>
    </row>
    <row r="83" spans="1:17" x14ac:dyDescent="0.2">
      <c r="A83" s="168" t="s">
        <v>762</v>
      </c>
      <c r="B83" s="146" t="s">
        <v>188</v>
      </c>
      <c r="C83" s="146" t="s">
        <v>1061</v>
      </c>
      <c r="D83" s="7" t="s">
        <v>1096</v>
      </c>
      <c r="E83" s="230">
        <v>45638</v>
      </c>
      <c r="G83" s="168">
        <v>14</v>
      </c>
      <c r="H83" s="146" t="s">
        <v>840</v>
      </c>
      <c r="I83" s="168">
        <v>1400</v>
      </c>
      <c r="J83" s="146">
        <v>2500</v>
      </c>
      <c r="K83" s="146">
        <v>3</v>
      </c>
      <c r="L83" s="169">
        <v>10</v>
      </c>
      <c r="M83" s="146" t="s">
        <v>1097</v>
      </c>
      <c r="N83" s="146" t="s">
        <v>1098</v>
      </c>
      <c r="O83" s="146" t="s">
        <v>1110</v>
      </c>
      <c r="Q83" s="169" t="s">
        <v>1111</v>
      </c>
    </row>
    <row r="84" spans="1:17" x14ac:dyDescent="0.2">
      <c r="A84" s="168" t="s">
        <v>762</v>
      </c>
      <c r="B84" s="146" t="s">
        <v>188</v>
      </c>
      <c r="C84" s="146" t="s">
        <v>1061</v>
      </c>
      <c r="D84" s="7" t="s">
        <v>1096</v>
      </c>
      <c r="E84" s="230">
        <v>45638</v>
      </c>
      <c r="G84" s="168">
        <v>14</v>
      </c>
      <c r="H84" s="146" t="s">
        <v>840</v>
      </c>
      <c r="I84" s="168">
        <v>1400</v>
      </c>
      <c r="J84" s="146">
        <v>2500</v>
      </c>
      <c r="K84" s="146">
        <v>3</v>
      </c>
      <c r="L84" s="169">
        <v>10</v>
      </c>
      <c r="M84" s="146" t="s">
        <v>1112</v>
      </c>
      <c r="N84" s="146" t="s">
        <v>1098</v>
      </c>
      <c r="O84" s="146" t="s">
        <v>1113</v>
      </c>
      <c r="Q84" s="169" t="s">
        <v>1114</v>
      </c>
    </row>
    <row r="85" spans="1:17" x14ac:dyDescent="0.2">
      <c r="A85" s="215" t="s">
        <v>765</v>
      </c>
      <c r="B85" s="147" t="s">
        <v>197</v>
      </c>
      <c r="C85" s="147" t="s">
        <v>1061</v>
      </c>
      <c r="D85" s="49" t="s">
        <v>1115</v>
      </c>
      <c r="E85" s="231">
        <v>45638</v>
      </c>
      <c r="F85" s="232">
        <v>0.58333333333333337</v>
      </c>
      <c r="G85" s="215">
        <v>14</v>
      </c>
      <c r="H85" s="147" t="s">
        <v>703</v>
      </c>
      <c r="I85" s="215">
        <v>1400</v>
      </c>
      <c r="J85" s="147">
        <v>2500</v>
      </c>
      <c r="K85" s="147">
        <v>3</v>
      </c>
      <c r="L85" s="206">
        <v>10</v>
      </c>
      <c r="M85" s="147" t="s">
        <v>1097</v>
      </c>
      <c r="N85" s="147" t="s">
        <v>1098</v>
      </c>
      <c r="O85" s="147" t="s">
        <v>1116</v>
      </c>
      <c r="P85" s="147"/>
      <c r="Q85" s="206" t="s">
        <v>1117</v>
      </c>
    </row>
    <row r="86" spans="1:17" x14ac:dyDescent="0.2">
      <c r="A86" s="168" t="s">
        <v>765</v>
      </c>
      <c r="B86" s="146" t="s">
        <v>197</v>
      </c>
      <c r="C86" s="146" t="s">
        <v>1061</v>
      </c>
      <c r="D86" s="146" t="s">
        <v>1115</v>
      </c>
      <c r="E86" s="230">
        <v>45638</v>
      </c>
      <c r="G86" s="168">
        <v>14</v>
      </c>
      <c r="H86" s="146" t="s">
        <v>703</v>
      </c>
      <c r="I86" s="168">
        <v>1400</v>
      </c>
      <c r="J86" s="146">
        <v>2500</v>
      </c>
      <c r="K86" s="146">
        <v>3</v>
      </c>
      <c r="L86" s="169">
        <v>10</v>
      </c>
      <c r="M86" s="146" t="s">
        <v>1107</v>
      </c>
      <c r="N86" s="146" t="s">
        <v>1098</v>
      </c>
      <c r="O86" s="146" t="s">
        <v>1118</v>
      </c>
      <c r="Q86" s="169" t="s">
        <v>1119</v>
      </c>
    </row>
    <row r="87" spans="1:17" x14ac:dyDescent="0.2">
      <c r="A87" s="215" t="s">
        <v>767</v>
      </c>
      <c r="B87" s="147" t="s">
        <v>173</v>
      </c>
      <c r="C87" s="147" t="s">
        <v>1061</v>
      </c>
      <c r="D87" s="147" t="s">
        <v>1120</v>
      </c>
      <c r="E87" s="231">
        <v>45638</v>
      </c>
      <c r="F87" s="232">
        <v>0.60416666666666663</v>
      </c>
      <c r="G87" s="215">
        <v>14</v>
      </c>
      <c r="H87" s="147" t="s">
        <v>840</v>
      </c>
      <c r="I87" s="215">
        <v>1400</v>
      </c>
      <c r="J87" s="147">
        <v>2500</v>
      </c>
      <c r="K87" s="147">
        <v>3</v>
      </c>
      <c r="L87" s="206">
        <v>10</v>
      </c>
      <c r="M87" s="147" t="s">
        <v>1112</v>
      </c>
      <c r="N87" s="147" t="s">
        <v>1098</v>
      </c>
      <c r="O87" s="147" t="s">
        <v>1121</v>
      </c>
      <c r="P87" s="147"/>
      <c r="Q87" s="206" t="s">
        <v>1122</v>
      </c>
    </row>
    <row r="88" spans="1:17" x14ac:dyDescent="0.2">
      <c r="A88" s="168" t="s">
        <v>767</v>
      </c>
      <c r="B88" s="146" t="s">
        <v>173</v>
      </c>
      <c r="C88" s="146" t="s">
        <v>1061</v>
      </c>
      <c r="D88" s="146" t="s">
        <v>1120</v>
      </c>
      <c r="E88" s="230">
        <v>45638</v>
      </c>
      <c r="G88" s="168">
        <v>14</v>
      </c>
      <c r="H88" s="146" t="s">
        <v>840</v>
      </c>
      <c r="I88" s="168">
        <v>1400</v>
      </c>
      <c r="J88" s="146">
        <v>2500</v>
      </c>
      <c r="K88" s="146">
        <v>3</v>
      </c>
      <c r="L88" s="169">
        <v>10</v>
      </c>
      <c r="M88" s="146" t="s">
        <v>1097</v>
      </c>
      <c r="N88" s="146" t="s">
        <v>1098</v>
      </c>
      <c r="O88" s="146" t="s">
        <v>1123</v>
      </c>
      <c r="Q88" s="169" t="s">
        <v>1124</v>
      </c>
    </row>
    <row r="89" spans="1:17" x14ac:dyDescent="0.2">
      <c r="A89" s="215" t="s">
        <v>770</v>
      </c>
      <c r="B89" s="147" t="s">
        <v>188</v>
      </c>
      <c r="C89" s="147" t="s">
        <v>1061</v>
      </c>
      <c r="D89" s="147" t="s">
        <v>771</v>
      </c>
      <c r="E89" s="231">
        <v>45638</v>
      </c>
      <c r="F89" s="232">
        <v>0.625</v>
      </c>
      <c r="G89" s="215">
        <v>14</v>
      </c>
      <c r="H89" s="147" t="s">
        <v>840</v>
      </c>
      <c r="I89" s="215">
        <v>1400</v>
      </c>
      <c r="J89" s="147">
        <v>2500</v>
      </c>
      <c r="K89" s="147">
        <v>3</v>
      </c>
      <c r="L89" s="206">
        <v>10</v>
      </c>
      <c r="M89" s="147" t="s">
        <v>1097</v>
      </c>
      <c r="N89" s="147" t="s">
        <v>1098</v>
      </c>
      <c r="O89" s="147" t="s">
        <v>1123</v>
      </c>
      <c r="P89" s="147"/>
      <c r="Q89" s="206" t="s">
        <v>1125</v>
      </c>
    </row>
    <row r="90" spans="1:17" x14ac:dyDescent="0.2">
      <c r="A90" s="168" t="s">
        <v>770</v>
      </c>
      <c r="B90" s="146" t="s">
        <v>188</v>
      </c>
      <c r="C90" s="146" t="s">
        <v>1061</v>
      </c>
      <c r="D90" s="146" t="s">
        <v>771</v>
      </c>
      <c r="E90" s="230">
        <v>45638</v>
      </c>
      <c r="G90" s="168">
        <v>14</v>
      </c>
      <c r="H90" s="146" t="s">
        <v>840</v>
      </c>
      <c r="I90" s="168">
        <v>1400</v>
      </c>
      <c r="J90" s="146">
        <v>2500</v>
      </c>
      <c r="K90" s="146">
        <v>3</v>
      </c>
      <c r="L90" s="169">
        <v>10</v>
      </c>
      <c r="M90" s="146" t="s">
        <v>1112</v>
      </c>
      <c r="N90" s="146" t="s">
        <v>1098</v>
      </c>
      <c r="O90" s="146" t="s">
        <v>1121</v>
      </c>
      <c r="Q90" s="169" t="s">
        <v>1126</v>
      </c>
    </row>
    <row r="91" spans="1:17" x14ac:dyDescent="0.2">
      <c r="A91" s="215" t="s">
        <v>773</v>
      </c>
      <c r="B91" s="147" t="s">
        <v>197</v>
      </c>
      <c r="C91" s="147" t="s">
        <v>1061</v>
      </c>
      <c r="D91" s="147" t="s">
        <v>774</v>
      </c>
      <c r="E91" s="231">
        <v>45638</v>
      </c>
      <c r="F91" s="232">
        <v>0.65625</v>
      </c>
      <c r="G91" s="215">
        <v>14</v>
      </c>
      <c r="H91" s="147" t="s">
        <v>703</v>
      </c>
      <c r="I91" s="215">
        <v>1400</v>
      </c>
      <c r="J91" s="147">
        <v>2500</v>
      </c>
      <c r="K91" s="147">
        <v>3</v>
      </c>
      <c r="L91" s="206">
        <v>10</v>
      </c>
      <c r="M91" s="147" t="s">
        <v>1097</v>
      </c>
      <c r="N91" s="147" t="s">
        <v>1098</v>
      </c>
      <c r="O91" s="147" t="s">
        <v>1123</v>
      </c>
      <c r="P91" s="147"/>
      <c r="Q91" s="206" t="s">
        <v>1127</v>
      </c>
    </row>
    <row r="92" spans="1:17" x14ac:dyDescent="0.2">
      <c r="A92" s="168" t="s">
        <v>773</v>
      </c>
      <c r="B92" s="146" t="s">
        <v>197</v>
      </c>
      <c r="C92" s="146" t="s">
        <v>1061</v>
      </c>
      <c r="D92" s="146" t="s">
        <v>774</v>
      </c>
      <c r="E92" s="230">
        <v>45638</v>
      </c>
      <c r="G92" s="168">
        <v>14</v>
      </c>
      <c r="H92" s="146" t="s">
        <v>703</v>
      </c>
      <c r="I92" s="168">
        <v>1400</v>
      </c>
      <c r="J92" s="146">
        <v>2500</v>
      </c>
      <c r="K92" s="146">
        <v>3</v>
      </c>
      <c r="L92" s="169">
        <v>10</v>
      </c>
      <c r="M92" s="146" t="s">
        <v>1112</v>
      </c>
      <c r="N92" s="146" t="s">
        <v>1098</v>
      </c>
      <c r="O92" s="146" t="s">
        <v>1121</v>
      </c>
      <c r="Q92" s="169" t="s">
        <v>1128</v>
      </c>
    </row>
    <row r="93" spans="1:17" x14ac:dyDescent="0.2">
      <c r="A93" s="215" t="s">
        <v>775</v>
      </c>
      <c r="B93" s="147" t="s">
        <v>197</v>
      </c>
      <c r="C93" s="147" t="s">
        <v>1061</v>
      </c>
      <c r="D93" s="147" t="s">
        <v>776</v>
      </c>
      <c r="E93" s="231">
        <v>45638</v>
      </c>
      <c r="F93" s="232">
        <v>0.69791666666666663</v>
      </c>
      <c r="G93" s="215">
        <v>14</v>
      </c>
      <c r="H93" s="147" t="s">
        <v>703</v>
      </c>
      <c r="I93" s="215">
        <v>1400</v>
      </c>
      <c r="J93" s="147">
        <v>2500</v>
      </c>
      <c r="K93" s="147">
        <v>3</v>
      </c>
      <c r="L93" s="206">
        <v>10</v>
      </c>
      <c r="M93" s="147" t="s">
        <v>1097</v>
      </c>
      <c r="N93" s="147" t="s">
        <v>1098</v>
      </c>
      <c r="O93" s="147" t="s">
        <v>1123</v>
      </c>
      <c r="P93" s="147"/>
      <c r="Q93" s="206" t="s">
        <v>1127</v>
      </c>
    </row>
    <row r="94" spans="1:17" x14ac:dyDescent="0.2">
      <c r="A94" s="216" t="s">
        <v>775</v>
      </c>
      <c r="B94" s="151" t="s">
        <v>197</v>
      </c>
      <c r="C94" s="151" t="s">
        <v>1061</v>
      </c>
      <c r="D94" s="151" t="s">
        <v>776</v>
      </c>
      <c r="E94" s="233">
        <v>45638</v>
      </c>
      <c r="F94" s="151"/>
      <c r="G94" s="216">
        <v>14</v>
      </c>
      <c r="H94" s="151" t="s">
        <v>703</v>
      </c>
      <c r="I94" s="216">
        <v>1400</v>
      </c>
      <c r="J94" s="151">
        <v>2500</v>
      </c>
      <c r="K94" s="151">
        <v>3</v>
      </c>
      <c r="L94" s="207">
        <v>10</v>
      </c>
      <c r="M94" s="151" t="s">
        <v>1112</v>
      </c>
      <c r="N94" s="151" t="s">
        <v>1098</v>
      </c>
      <c r="O94" s="151" t="s">
        <v>1121</v>
      </c>
      <c r="P94" s="151"/>
      <c r="Q94" s="207" t="s">
        <v>1128</v>
      </c>
    </row>
    <row r="95" spans="1:17" x14ac:dyDescent="0.2">
      <c r="A95" s="168" t="s">
        <v>777</v>
      </c>
      <c r="B95" s="146" t="s">
        <v>197</v>
      </c>
      <c r="C95" s="146" t="s">
        <v>1061</v>
      </c>
      <c r="D95" s="146" t="s">
        <v>778</v>
      </c>
      <c r="E95" s="230">
        <v>45638</v>
      </c>
      <c r="F95" s="251">
        <v>0.71875</v>
      </c>
      <c r="G95" s="168">
        <v>14</v>
      </c>
      <c r="H95" s="146" t="s">
        <v>703</v>
      </c>
      <c r="I95" s="215">
        <v>1400</v>
      </c>
      <c r="J95" s="147">
        <v>2500</v>
      </c>
      <c r="K95" s="147">
        <v>3</v>
      </c>
      <c r="L95" s="206">
        <v>10</v>
      </c>
      <c r="M95" s="147" t="s">
        <v>1097</v>
      </c>
      <c r="N95" s="147" t="s">
        <v>1098</v>
      </c>
      <c r="O95" s="147" t="s">
        <v>1123</v>
      </c>
      <c r="P95" s="147"/>
      <c r="Q95" s="206" t="s">
        <v>1127</v>
      </c>
    </row>
    <row r="96" spans="1:17" x14ac:dyDescent="0.2">
      <c r="A96" s="168" t="s">
        <v>777</v>
      </c>
      <c r="B96" s="146" t="s">
        <v>197</v>
      </c>
      <c r="C96" s="146" t="s">
        <v>1061</v>
      </c>
      <c r="D96" s="146" t="s">
        <v>778</v>
      </c>
      <c r="E96" s="230">
        <v>45638</v>
      </c>
      <c r="G96" s="168">
        <v>14</v>
      </c>
      <c r="H96" s="146" t="s">
        <v>703</v>
      </c>
      <c r="I96" s="216">
        <v>1400</v>
      </c>
      <c r="J96" s="151">
        <v>2500</v>
      </c>
      <c r="K96" s="151">
        <v>3</v>
      </c>
      <c r="L96" s="207">
        <v>10</v>
      </c>
      <c r="M96" s="151" t="s">
        <v>1112</v>
      </c>
      <c r="N96" s="151" t="s">
        <v>1098</v>
      </c>
      <c r="O96" s="151" t="s">
        <v>1121</v>
      </c>
      <c r="P96" s="151"/>
      <c r="Q96" s="207" t="s">
        <v>1128</v>
      </c>
    </row>
    <row r="97" spans="1:17" x14ac:dyDescent="0.2">
      <c r="A97" s="215" t="s">
        <v>758</v>
      </c>
      <c r="B97" s="147" t="s">
        <v>1008</v>
      </c>
      <c r="C97" s="147" t="s">
        <v>296</v>
      </c>
      <c r="D97" s="147" t="s">
        <v>759</v>
      </c>
      <c r="E97" s="215" t="s">
        <v>1129</v>
      </c>
      <c r="F97" s="232">
        <v>0.58333333333333337</v>
      </c>
      <c r="G97" s="215">
        <v>12</v>
      </c>
      <c r="H97" s="147" t="s">
        <v>703</v>
      </c>
      <c r="I97" s="215">
        <v>1200</v>
      </c>
      <c r="J97" s="147">
        <v>2500</v>
      </c>
      <c r="K97" s="147">
        <v>3</v>
      </c>
      <c r="L97" s="206">
        <v>10</v>
      </c>
      <c r="M97" s="147"/>
      <c r="N97" s="147"/>
      <c r="O97" s="147"/>
      <c r="P97" s="147" t="s">
        <v>1130</v>
      </c>
      <c r="Q97" s="206"/>
    </row>
    <row r="98" spans="1:17" x14ac:dyDescent="0.2">
      <c r="A98" s="168" t="s">
        <v>758</v>
      </c>
      <c r="B98" s="146" t="s">
        <v>1008</v>
      </c>
      <c r="C98" s="146" t="s">
        <v>296</v>
      </c>
      <c r="D98" s="146" t="s">
        <v>759</v>
      </c>
      <c r="E98" s="168" t="s">
        <v>1129</v>
      </c>
      <c r="F98" s="251">
        <v>0.60416666666666663</v>
      </c>
      <c r="G98" s="168">
        <v>12</v>
      </c>
      <c r="H98" s="146" t="s">
        <v>703</v>
      </c>
      <c r="I98" s="168">
        <v>1200</v>
      </c>
      <c r="J98" s="146">
        <v>2500</v>
      </c>
      <c r="K98" s="146">
        <v>3</v>
      </c>
      <c r="L98" s="169">
        <v>10</v>
      </c>
      <c r="P98" s="146" t="s">
        <v>1131</v>
      </c>
    </row>
    <row r="99" spans="1:17" x14ac:dyDescent="0.2">
      <c r="A99" s="215" t="s">
        <v>760</v>
      </c>
      <c r="B99" s="147" t="s">
        <v>1008</v>
      </c>
      <c r="C99" s="147" t="s">
        <v>296</v>
      </c>
      <c r="D99" s="147" t="s">
        <v>761</v>
      </c>
      <c r="E99" s="215" t="s">
        <v>1129</v>
      </c>
      <c r="F99" s="232">
        <v>0.625</v>
      </c>
      <c r="G99" s="215">
        <v>12</v>
      </c>
      <c r="H99" s="147" t="s">
        <v>703</v>
      </c>
      <c r="I99" s="215">
        <v>1200</v>
      </c>
      <c r="J99" s="147">
        <v>2500</v>
      </c>
      <c r="K99" s="147">
        <v>3</v>
      </c>
      <c r="L99" s="206">
        <v>10</v>
      </c>
      <c r="M99" s="147"/>
      <c r="N99" s="147"/>
      <c r="O99" s="147"/>
      <c r="P99" s="147" t="s">
        <v>1130</v>
      </c>
      <c r="Q99" s="206"/>
    </row>
    <row r="100" spans="1:17" x14ac:dyDescent="0.2">
      <c r="A100" s="168" t="s">
        <v>760</v>
      </c>
      <c r="B100" s="146" t="s">
        <v>1008</v>
      </c>
      <c r="C100" s="146" t="s">
        <v>296</v>
      </c>
      <c r="D100" s="146" t="s">
        <v>761</v>
      </c>
      <c r="E100" s="168" t="s">
        <v>1129</v>
      </c>
      <c r="F100" s="251">
        <v>0.64583333333333337</v>
      </c>
      <c r="G100" s="168">
        <v>12</v>
      </c>
      <c r="H100" s="146" t="s">
        <v>703</v>
      </c>
      <c r="I100" s="168">
        <v>1200</v>
      </c>
      <c r="J100" s="146">
        <v>2500</v>
      </c>
      <c r="K100" s="146">
        <v>3</v>
      </c>
      <c r="L100" s="169">
        <v>10</v>
      </c>
      <c r="P100" s="146" t="s">
        <v>1131</v>
      </c>
    </row>
    <row r="101" spans="1:17" x14ac:dyDescent="0.2">
      <c r="A101" s="215" t="s">
        <v>747</v>
      </c>
      <c r="B101" s="147" t="s">
        <v>1014</v>
      </c>
      <c r="C101" s="147" t="s">
        <v>880</v>
      </c>
      <c r="D101" s="49" t="s">
        <v>748</v>
      </c>
      <c r="E101" s="215" t="s">
        <v>1129</v>
      </c>
      <c r="F101" s="232">
        <v>0.6875</v>
      </c>
      <c r="G101" s="215">
        <v>12</v>
      </c>
      <c r="H101" s="147" t="s">
        <v>703</v>
      </c>
      <c r="I101" s="215">
        <v>1200</v>
      </c>
      <c r="J101" s="147">
        <v>2500</v>
      </c>
      <c r="K101" s="147">
        <v>3</v>
      </c>
      <c r="L101" s="206">
        <v>10</v>
      </c>
      <c r="M101" s="147"/>
      <c r="N101" s="147"/>
      <c r="O101" s="147"/>
      <c r="P101" s="147" t="s">
        <v>1130</v>
      </c>
      <c r="Q101" s="206"/>
    </row>
    <row r="102" spans="1:17" x14ac:dyDescent="0.2">
      <c r="A102" s="168" t="s">
        <v>747</v>
      </c>
      <c r="B102" s="146" t="s">
        <v>1014</v>
      </c>
      <c r="C102" s="146" t="s">
        <v>880</v>
      </c>
      <c r="D102" s="146" t="s">
        <v>748</v>
      </c>
      <c r="E102" s="168" t="s">
        <v>1129</v>
      </c>
      <c r="F102" s="251">
        <v>0.70833333333333337</v>
      </c>
      <c r="G102" s="168">
        <v>12</v>
      </c>
      <c r="H102" s="146" t="s">
        <v>703</v>
      </c>
      <c r="I102" s="168">
        <v>1200</v>
      </c>
      <c r="J102" s="146">
        <v>2500</v>
      </c>
      <c r="K102" s="146">
        <v>3</v>
      </c>
      <c r="L102" s="169">
        <v>10</v>
      </c>
      <c r="P102" s="146" t="s">
        <v>1131</v>
      </c>
    </row>
    <row r="103" spans="1:17" s="147" customFormat="1" x14ac:dyDescent="0.2">
      <c r="A103" s="252" t="s">
        <v>799</v>
      </c>
      <c r="B103" s="147" t="s">
        <v>188</v>
      </c>
      <c r="C103" s="147" t="s">
        <v>1061</v>
      </c>
      <c r="D103" s="49" t="s">
        <v>800</v>
      </c>
      <c r="E103" s="215" t="s">
        <v>1132</v>
      </c>
      <c r="F103" s="232">
        <v>0.45833333333333331</v>
      </c>
      <c r="G103" s="215">
        <v>16</v>
      </c>
      <c r="H103" s="147" t="s">
        <v>703</v>
      </c>
      <c r="I103" s="215">
        <v>1400</v>
      </c>
      <c r="J103" s="147">
        <v>2500</v>
      </c>
      <c r="K103" s="147">
        <v>3</v>
      </c>
      <c r="L103" s="206">
        <v>10</v>
      </c>
      <c r="M103" s="147" t="s">
        <v>1133</v>
      </c>
      <c r="N103" s="147" t="s">
        <v>1134</v>
      </c>
      <c r="Q103" s="206"/>
    </row>
    <row r="104" spans="1:17" x14ac:dyDescent="0.2">
      <c r="A104" s="167">
        <v>321</v>
      </c>
      <c r="B104" s="146" t="s">
        <v>188</v>
      </c>
      <c r="C104" s="146" t="s">
        <v>1061</v>
      </c>
      <c r="D104" s="7" t="s">
        <v>802</v>
      </c>
      <c r="E104" s="168" t="s">
        <v>1132</v>
      </c>
      <c r="F104" s="251">
        <v>0.5</v>
      </c>
      <c r="G104" s="168">
        <v>16</v>
      </c>
      <c r="H104" s="146" t="s">
        <v>703</v>
      </c>
      <c r="I104" s="168">
        <v>1400</v>
      </c>
      <c r="J104" s="146">
        <v>2500</v>
      </c>
      <c r="K104" s="146">
        <v>3</v>
      </c>
      <c r="L104" s="169">
        <v>10</v>
      </c>
      <c r="M104" s="146" t="s">
        <v>1133</v>
      </c>
      <c r="N104" s="146" t="s">
        <v>1134</v>
      </c>
    </row>
    <row r="105" spans="1:17" x14ac:dyDescent="0.2">
      <c r="A105" s="167">
        <v>322</v>
      </c>
      <c r="B105" s="146" t="s">
        <v>188</v>
      </c>
      <c r="C105" s="146" t="s">
        <v>1061</v>
      </c>
      <c r="D105" s="7" t="s">
        <v>804</v>
      </c>
      <c r="E105" s="168" t="s">
        <v>1132</v>
      </c>
      <c r="F105" s="251">
        <v>0.54166666666666663</v>
      </c>
      <c r="G105" s="168">
        <v>16</v>
      </c>
      <c r="H105" s="146" t="s">
        <v>703</v>
      </c>
      <c r="I105" s="168">
        <v>1400</v>
      </c>
      <c r="J105" s="146">
        <v>2500</v>
      </c>
      <c r="K105" s="146">
        <v>3</v>
      </c>
      <c r="L105" s="169">
        <v>10</v>
      </c>
      <c r="M105" s="146" t="s">
        <v>1133</v>
      </c>
      <c r="N105" s="146" t="s">
        <v>1134</v>
      </c>
    </row>
    <row r="106" spans="1:17" x14ac:dyDescent="0.2">
      <c r="A106" s="167">
        <v>323</v>
      </c>
      <c r="B106" s="146" t="s">
        <v>188</v>
      </c>
      <c r="C106" s="146" t="s">
        <v>1061</v>
      </c>
      <c r="D106" s="7" t="s">
        <v>806</v>
      </c>
      <c r="E106" s="168" t="s">
        <v>1132</v>
      </c>
      <c r="F106" s="251">
        <v>0.58333333333333337</v>
      </c>
      <c r="G106" s="168">
        <v>16</v>
      </c>
      <c r="H106" s="146" t="s">
        <v>703</v>
      </c>
      <c r="I106" s="168">
        <v>1400</v>
      </c>
      <c r="J106" s="146">
        <v>2500</v>
      </c>
      <c r="K106" s="146">
        <v>3</v>
      </c>
      <c r="L106" s="169">
        <v>10</v>
      </c>
      <c r="M106" s="146" t="s">
        <v>1133</v>
      </c>
      <c r="N106" s="146" t="s">
        <v>1134</v>
      </c>
    </row>
    <row r="107" spans="1:17" s="147" customFormat="1" x14ac:dyDescent="0.2">
      <c r="A107" s="48" t="s">
        <v>1135</v>
      </c>
      <c r="B107" s="147" t="s">
        <v>971</v>
      </c>
      <c r="C107" s="147" t="s">
        <v>864</v>
      </c>
      <c r="D107" s="147" t="s">
        <v>865</v>
      </c>
      <c r="E107" s="231">
        <v>45779</v>
      </c>
      <c r="F107" s="232">
        <v>0.40277777777777779</v>
      </c>
      <c r="G107" s="215">
        <v>14</v>
      </c>
      <c r="H107" s="147" t="s">
        <v>703</v>
      </c>
      <c r="I107" s="215">
        <v>1400</v>
      </c>
      <c r="J107" s="147">
        <v>2500</v>
      </c>
      <c r="K107" s="147">
        <v>3</v>
      </c>
      <c r="L107" s="206">
        <v>10</v>
      </c>
      <c r="M107" s="147" t="s">
        <v>1136</v>
      </c>
      <c r="Q107" s="206"/>
    </row>
    <row r="108" spans="1:17" x14ac:dyDescent="0.2">
      <c r="A108" s="52" t="s">
        <v>1137</v>
      </c>
      <c r="B108" s="146" t="s">
        <v>1138</v>
      </c>
      <c r="C108" s="146" t="s">
        <v>864</v>
      </c>
      <c r="D108" s="7" t="s">
        <v>866</v>
      </c>
      <c r="E108" s="230">
        <v>45779</v>
      </c>
      <c r="F108" s="251">
        <v>0.44444444444444442</v>
      </c>
      <c r="G108" s="168">
        <v>14</v>
      </c>
      <c r="H108" s="146" t="s">
        <v>703</v>
      </c>
      <c r="I108" s="168">
        <v>1400</v>
      </c>
      <c r="J108" s="146">
        <v>2500</v>
      </c>
      <c r="K108" s="146">
        <v>3</v>
      </c>
      <c r="L108" s="169">
        <v>10</v>
      </c>
      <c r="M108" s="146" t="s">
        <v>1136</v>
      </c>
    </row>
    <row r="109" spans="1:17" s="151" customFormat="1" x14ac:dyDescent="0.2">
      <c r="A109" s="50" t="s">
        <v>1139</v>
      </c>
      <c r="B109" s="151" t="s">
        <v>971</v>
      </c>
      <c r="C109" s="151" t="s">
        <v>864</v>
      </c>
      <c r="D109" s="151" t="s">
        <v>868</v>
      </c>
      <c r="E109" s="233">
        <v>45779</v>
      </c>
      <c r="F109" s="236">
        <v>0.47916666666666669</v>
      </c>
      <c r="G109" s="216">
        <v>14</v>
      </c>
      <c r="H109" s="151" t="s">
        <v>703</v>
      </c>
      <c r="I109" s="216">
        <v>1400</v>
      </c>
      <c r="J109" s="151">
        <v>2500</v>
      </c>
      <c r="K109" s="151">
        <v>3</v>
      </c>
      <c r="L109" s="207">
        <v>10</v>
      </c>
      <c r="M109" s="151" t="s">
        <v>1136</v>
      </c>
      <c r="Q109" s="207"/>
    </row>
    <row r="110" spans="1:17" x14ac:dyDescent="0.2">
      <c r="A110" s="195">
        <v>324</v>
      </c>
      <c r="B110" s="146" t="s">
        <v>1140</v>
      </c>
      <c r="C110" s="146" t="s">
        <v>1061</v>
      </c>
      <c r="D110" s="7" t="s">
        <v>808</v>
      </c>
      <c r="E110" s="230">
        <v>45993</v>
      </c>
      <c r="F110" s="251">
        <v>0.41666666666666669</v>
      </c>
      <c r="G110" s="168">
        <v>14</v>
      </c>
      <c r="H110" s="146" t="s">
        <v>703</v>
      </c>
      <c r="I110" s="168">
        <v>1400</v>
      </c>
      <c r="J110" s="146">
        <v>2500</v>
      </c>
      <c r="K110" s="146">
        <v>3</v>
      </c>
      <c r="L110" s="169">
        <v>10</v>
      </c>
      <c r="M110" s="146" t="s">
        <v>1133</v>
      </c>
      <c r="N110" s="146" t="s">
        <v>1134</v>
      </c>
    </row>
    <row r="111" spans="1:17" x14ac:dyDescent="0.2">
      <c r="A111" s="52" t="s">
        <v>809</v>
      </c>
      <c r="B111" s="146" t="s">
        <v>188</v>
      </c>
      <c r="C111" s="146" t="s">
        <v>1061</v>
      </c>
      <c r="D111" s="7" t="s">
        <v>810</v>
      </c>
      <c r="E111" s="230">
        <v>45993</v>
      </c>
      <c r="F111" s="251">
        <v>0.45833333333333331</v>
      </c>
      <c r="G111" s="168">
        <v>14</v>
      </c>
      <c r="H111" s="146" t="s">
        <v>703</v>
      </c>
      <c r="I111" s="168">
        <v>1400</v>
      </c>
      <c r="J111" s="146">
        <v>2500</v>
      </c>
      <c r="K111" s="146">
        <v>3</v>
      </c>
      <c r="L111" s="169">
        <v>10</v>
      </c>
      <c r="M111" s="146" t="s">
        <v>1133</v>
      </c>
    </row>
    <row r="112" spans="1:17" x14ac:dyDescent="0.2">
      <c r="A112" s="52" t="s">
        <v>811</v>
      </c>
      <c r="B112" s="146" t="s">
        <v>173</v>
      </c>
      <c r="C112" s="146" t="s">
        <v>1061</v>
      </c>
      <c r="D112" s="7" t="s">
        <v>812</v>
      </c>
      <c r="E112" s="230">
        <v>45993</v>
      </c>
      <c r="F112" s="251">
        <v>0.5</v>
      </c>
      <c r="G112" s="168">
        <v>14</v>
      </c>
      <c r="H112" s="146" t="s">
        <v>703</v>
      </c>
      <c r="I112" s="168">
        <v>1400</v>
      </c>
      <c r="J112" s="146">
        <v>2500</v>
      </c>
      <c r="K112" s="146">
        <v>3</v>
      </c>
      <c r="L112" s="169">
        <v>10</v>
      </c>
      <c r="M112" s="146" t="s">
        <v>1133</v>
      </c>
    </row>
    <row r="113" spans="1:17" x14ac:dyDescent="0.2">
      <c r="A113" s="52" t="s">
        <v>813</v>
      </c>
      <c r="B113" s="146" t="s">
        <v>188</v>
      </c>
      <c r="C113" s="146" t="s">
        <v>1061</v>
      </c>
      <c r="D113" s="7" t="s">
        <v>814</v>
      </c>
      <c r="E113" s="230">
        <v>45993</v>
      </c>
      <c r="F113" s="251">
        <v>0.54166666666666663</v>
      </c>
      <c r="G113" s="168">
        <v>14</v>
      </c>
      <c r="H113" s="146" t="s">
        <v>703</v>
      </c>
      <c r="I113" s="168">
        <v>1400</v>
      </c>
      <c r="J113" s="146">
        <v>2500</v>
      </c>
      <c r="K113" s="146">
        <v>3</v>
      </c>
      <c r="L113" s="169">
        <v>10</v>
      </c>
      <c r="M113" s="146" t="s">
        <v>1133</v>
      </c>
    </row>
    <row r="114" spans="1:17" x14ac:dyDescent="0.2">
      <c r="A114" s="52" t="s">
        <v>815</v>
      </c>
      <c r="B114" s="146" t="s">
        <v>188</v>
      </c>
      <c r="C114" s="146" t="s">
        <v>1061</v>
      </c>
      <c r="D114" s="7" t="s">
        <v>816</v>
      </c>
      <c r="E114" s="230">
        <v>45993</v>
      </c>
      <c r="F114" s="251">
        <v>0.58333333333333337</v>
      </c>
      <c r="G114" s="168">
        <v>14</v>
      </c>
      <c r="H114" s="146" t="s">
        <v>703</v>
      </c>
      <c r="I114" s="168">
        <v>1400</v>
      </c>
      <c r="J114" s="146">
        <v>2500</v>
      </c>
      <c r="K114" s="146">
        <v>3</v>
      </c>
      <c r="L114" s="169">
        <v>10</v>
      </c>
      <c r="M114" s="146" t="s">
        <v>1133</v>
      </c>
    </row>
    <row r="115" spans="1:17" x14ac:dyDescent="0.2">
      <c r="A115" s="52" t="s">
        <v>817</v>
      </c>
      <c r="B115" s="146" t="s">
        <v>489</v>
      </c>
      <c r="C115" s="146" t="s">
        <v>1061</v>
      </c>
      <c r="D115" s="7" t="s">
        <v>818</v>
      </c>
      <c r="E115" s="230">
        <v>45993</v>
      </c>
      <c r="F115" s="251">
        <v>0.625</v>
      </c>
      <c r="G115" s="168">
        <v>14</v>
      </c>
      <c r="H115" s="146" t="s">
        <v>703</v>
      </c>
      <c r="I115" s="168">
        <v>1400</v>
      </c>
      <c r="J115" s="146">
        <v>2500</v>
      </c>
      <c r="K115" s="146">
        <v>3</v>
      </c>
      <c r="L115" s="169">
        <v>10</v>
      </c>
      <c r="M115" s="146" t="s">
        <v>1133</v>
      </c>
    </row>
    <row r="116" spans="1:17" x14ac:dyDescent="0.2">
      <c r="A116" s="52" t="s">
        <v>819</v>
      </c>
      <c r="B116" s="146" t="s">
        <v>489</v>
      </c>
      <c r="C116" s="146" t="s">
        <v>1061</v>
      </c>
      <c r="D116" s="7" t="s">
        <v>820</v>
      </c>
      <c r="E116" s="230">
        <v>45993</v>
      </c>
      <c r="F116" s="251">
        <v>0.66666666666666663</v>
      </c>
      <c r="G116" s="168">
        <v>14</v>
      </c>
      <c r="H116" s="146" t="s">
        <v>703</v>
      </c>
      <c r="I116" s="168">
        <v>1400</v>
      </c>
      <c r="J116" s="146">
        <v>2500</v>
      </c>
      <c r="K116" s="146">
        <v>3</v>
      </c>
      <c r="L116" s="169">
        <v>10</v>
      </c>
      <c r="M116" s="146" t="s">
        <v>1133</v>
      </c>
    </row>
    <row r="117" spans="1:17" x14ac:dyDescent="0.2">
      <c r="A117" s="52" t="s">
        <v>821</v>
      </c>
      <c r="B117" s="146" t="s">
        <v>489</v>
      </c>
      <c r="C117" s="146" t="s">
        <v>1061</v>
      </c>
      <c r="D117" s="7" t="s">
        <v>822</v>
      </c>
      <c r="E117" s="230">
        <v>45993</v>
      </c>
      <c r="F117" s="251">
        <v>0.70833333333333337</v>
      </c>
      <c r="G117" s="168">
        <v>14</v>
      </c>
      <c r="H117" s="146" t="s">
        <v>703</v>
      </c>
      <c r="I117" s="168">
        <v>1400</v>
      </c>
      <c r="J117" s="146">
        <v>2500</v>
      </c>
      <c r="K117" s="146">
        <v>3</v>
      </c>
      <c r="L117" s="169">
        <v>10</v>
      </c>
      <c r="M117" s="146" t="s">
        <v>1133</v>
      </c>
    </row>
    <row r="118" spans="1:17" s="147" customFormat="1" x14ac:dyDescent="0.2">
      <c r="A118" s="48">
        <v>332</v>
      </c>
      <c r="B118" s="147" t="s">
        <v>188</v>
      </c>
      <c r="C118" s="147" t="s">
        <v>1061</v>
      </c>
      <c r="D118" s="49" t="s">
        <v>823</v>
      </c>
      <c r="E118" s="215" t="s">
        <v>1141</v>
      </c>
      <c r="F118" s="232">
        <v>0.45833333333333331</v>
      </c>
      <c r="G118" s="215">
        <v>14</v>
      </c>
      <c r="H118" s="147" t="s">
        <v>703</v>
      </c>
      <c r="I118" s="215">
        <v>1400</v>
      </c>
      <c r="J118" s="147">
        <v>2500</v>
      </c>
      <c r="K118" s="147">
        <v>3</v>
      </c>
      <c r="L118" s="206">
        <v>10</v>
      </c>
      <c r="M118" s="147" t="s">
        <v>1133</v>
      </c>
      <c r="Q118" s="206"/>
    </row>
    <row r="119" spans="1:17" x14ac:dyDescent="0.2">
      <c r="A119" s="52" t="s">
        <v>824</v>
      </c>
      <c r="B119" s="146" t="s">
        <v>489</v>
      </c>
      <c r="C119" s="146" t="s">
        <v>1061</v>
      </c>
      <c r="D119" s="7" t="s">
        <v>825</v>
      </c>
      <c r="E119" s="168" t="s">
        <v>1141</v>
      </c>
      <c r="F119" s="251">
        <v>0.5</v>
      </c>
      <c r="G119" s="168">
        <v>14</v>
      </c>
      <c r="H119" s="146" t="s">
        <v>703</v>
      </c>
      <c r="I119" s="168">
        <v>1400</v>
      </c>
      <c r="J119" s="146">
        <v>2500</v>
      </c>
      <c r="K119" s="146">
        <v>3</v>
      </c>
      <c r="L119" s="169">
        <v>10</v>
      </c>
      <c r="M119" s="146" t="s">
        <v>1133</v>
      </c>
    </row>
    <row r="120" spans="1:17" x14ac:dyDescent="0.2">
      <c r="A120" s="52" t="s">
        <v>826</v>
      </c>
      <c r="B120" s="146" t="s">
        <v>489</v>
      </c>
      <c r="C120" s="146" t="s">
        <v>1061</v>
      </c>
      <c r="D120" s="7" t="s">
        <v>827</v>
      </c>
      <c r="E120" s="168" t="s">
        <v>1141</v>
      </c>
      <c r="F120" s="251">
        <v>0.54166666666666663</v>
      </c>
      <c r="G120" s="168">
        <v>14</v>
      </c>
      <c r="H120" s="146" t="s">
        <v>703</v>
      </c>
      <c r="I120" s="168">
        <v>1400</v>
      </c>
      <c r="J120" s="146">
        <v>2500</v>
      </c>
      <c r="K120" s="146">
        <v>3</v>
      </c>
      <c r="L120" s="169">
        <v>10</v>
      </c>
      <c r="M120" s="146" t="s">
        <v>1133</v>
      </c>
    </row>
    <row r="121" spans="1:17" s="151" customFormat="1" x14ac:dyDescent="0.2">
      <c r="A121" s="50" t="s">
        <v>828</v>
      </c>
      <c r="B121" s="151" t="s">
        <v>188</v>
      </c>
      <c r="C121" s="151" t="s">
        <v>1061</v>
      </c>
      <c r="D121" s="51" t="s">
        <v>829</v>
      </c>
      <c r="E121" s="216" t="s">
        <v>1141</v>
      </c>
      <c r="F121" s="236">
        <v>0.58333333333333337</v>
      </c>
      <c r="G121" s="216">
        <v>14</v>
      </c>
      <c r="H121" s="151" t="s">
        <v>703</v>
      </c>
      <c r="I121" s="216">
        <v>1400</v>
      </c>
      <c r="J121" s="151">
        <v>2500</v>
      </c>
      <c r="K121" s="151">
        <v>3</v>
      </c>
      <c r="L121" s="207">
        <v>10</v>
      </c>
      <c r="M121" s="151" t="s">
        <v>1133</v>
      </c>
      <c r="Q121" s="207"/>
    </row>
    <row r="122" spans="1:17" x14ac:dyDescent="0.2">
      <c r="A122" s="52" t="s">
        <v>830</v>
      </c>
      <c r="B122" s="146" t="s">
        <v>1142</v>
      </c>
      <c r="C122" s="146" t="s">
        <v>1061</v>
      </c>
      <c r="D122" s="7" t="s">
        <v>831</v>
      </c>
      <c r="E122" s="230">
        <v>45750</v>
      </c>
      <c r="F122" s="251">
        <v>0.375</v>
      </c>
      <c r="G122" s="168">
        <v>14</v>
      </c>
      <c r="H122" s="146" t="s">
        <v>703</v>
      </c>
      <c r="I122" s="168">
        <v>1400</v>
      </c>
      <c r="J122" s="146">
        <v>2500</v>
      </c>
      <c r="K122" s="146">
        <v>3</v>
      </c>
      <c r="L122" s="169">
        <v>10</v>
      </c>
      <c r="M122" s="146" t="s">
        <v>1133</v>
      </c>
    </row>
    <row r="123" spans="1:17" x14ac:dyDescent="0.2">
      <c r="A123" s="52" t="s">
        <v>833</v>
      </c>
      <c r="B123" s="146" t="s">
        <v>1142</v>
      </c>
      <c r="C123" s="146" t="s">
        <v>1061</v>
      </c>
      <c r="D123" s="7" t="s">
        <v>834</v>
      </c>
      <c r="E123" s="230">
        <v>45750</v>
      </c>
      <c r="F123" s="251">
        <v>0.41666666666666669</v>
      </c>
      <c r="G123" s="168">
        <v>14</v>
      </c>
      <c r="H123" s="146" t="s">
        <v>703</v>
      </c>
      <c r="I123" s="168">
        <v>1400</v>
      </c>
      <c r="J123" s="146">
        <v>2500</v>
      </c>
      <c r="K123" s="146">
        <v>3</v>
      </c>
      <c r="L123" s="169">
        <v>10</v>
      </c>
      <c r="M123" s="146" t="s">
        <v>1133</v>
      </c>
    </row>
    <row r="124" spans="1:17" x14ac:dyDescent="0.2">
      <c r="A124" s="52" t="s">
        <v>835</v>
      </c>
      <c r="B124" s="146" t="s">
        <v>1142</v>
      </c>
      <c r="C124" s="146" t="s">
        <v>1061</v>
      </c>
      <c r="D124" s="7" t="s">
        <v>836</v>
      </c>
      <c r="E124" s="230">
        <v>45750</v>
      </c>
      <c r="F124" s="251">
        <v>0.45833333333333331</v>
      </c>
      <c r="G124" s="168">
        <v>14</v>
      </c>
      <c r="H124" s="146" t="s">
        <v>703</v>
      </c>
      <c r="I124" s="168">
        <v>1400</v>
      </c>
      <c r="J124" s="146">
        <v>2500</v>
      </c>
      <c r="K124" s="146">
        <v>3</v>
      </c>
      <c r="L124" s="169">
        <v>10</v>
      </c>
      <c r="M124" s="146" t="s">
        <v>1133</v>
      </c>
    </row>
    <row r="125" spans="1:17" x14ac:dyDescent="0.2">
      <c r="A125" s="52" t="s">
        <v>837</v>
      </c>
      <c r="B125" s="146" t="s">
        <v>1143</v>
      </c>
      <c r="C125" s="146" t="s">
        <v>1061</v>
      </c>
      <c r="D125" s="7" t="s">
        <v>838</v>
      </c>
      <c r="E125" s="230">
        <v>45750</v>
      </c>
      <c r="F125" s="251">
        <v>0.5</v>
      </c>
      <c r="G125" s="168">
        <v>14</v>
      </c>
      <c r="H125" s="146" t="s">
        <v>703</v>
      </c>
      <c r="I125" s="168">
        <v>1400</v>
      </c>
      <c r="J125" s="146">
        <v>2500</v>
      </c>
      <c r="K125" s="146">
        <v>3</v>
      </c>
      <c r="L125" s="169">
        <v>10</v>
      </c>
      <c r="M125" s="146" t="s">
        <v>1133</v>
      </c>
    </row>
    <row r="126" spans="1:17" s="147" customFormat="1" x14ac:dyDescent="0.2">
      <c r="A126" s="48" t="s">
        <v>841</v>
      </c>
      <c r="B126" s="147" t="s">
        <v>1143</v>
      </c>
      <c r="C126" s="147" t="s">
        <v>1061</v>
      </c>
      <c r="D126" s="49" t="s">
        <v>842</v>
      </c>
      <c r="E126" s="231">
        <v>45780</v>
      </c>
      <c r="F126" s="232">
        <v>0.41666666666666669</v>
      </c>
      <c r="G126" s="215">
        <v>14</v>
      </c>
      <c r="H126" s="147" t="s">
        <v>703</v>
      </c>
      <c r="I126" s="215">
        <v>1400</v>
      </c>
      <c r="J126" s="147">
        <v>2500</v>
      </c>
      <c r="K126" s="147">
        <v>3</v>
      </c>
      <c r="L126" s="206">
        <v>10</v>
      </c>
      <c r="M126" s="147" t="s">
        <v>1133</v>
      </c>
      <c r="Q126" s="206"/>
    </row>
    <row r="127" spans="1:17" x14ac:dyDescent="0.2">
      <c r="A127" s="52" t="s">
        <v>843</v>
      </c>
      <c r="B127" s="146" t="s">
        <v>197</v>
      </c>
      <c r="C127" s="146" t="s">
        <v>1061</v>
      </c>
      <c r="D127" s="7" t="s">
        <v>844</v>
      </c>
      <c r="E127" s="230">
        <v>45780</v>
      </c>
      <c r="F127" s="251">
        <v>0.5</v>
      </c>
      <c r="G127" s="168">
        <v>14</v>
      </c>
      <c r="H127" s="146" t="s">
        <v>703</v>
      </c>
      <c r="I127" s="168">
        <v>1400</v>
      </c>
      <c r="J127" s="146">
        <v>2500</v>
      </c>
      <c r="K127" s="146">
        <v>3</v>
      </c>
      <c r="L127" s="169">
        <v>10</v>
      </c>
      <c r="M127" s="146" t="s">
        <v>1133</v>
      </c>
    </row>
    <row r="128" spans="1:17" s="147" customFormat="1" x14ac:dyDescent="0.2">
      <c r="A128" s="48" t="s">
        <v>845</v>
      </c>
      <c r="B128" s="147" t="s">
        <v>197</v>
      </c>
      <c r="C128" s="147" t="s">
        <v>1061</v>
      </c>
      <c r="D128" s="49" t="s">
        <v>846</v>
      </c>
      <c r="E128" s="215" t="s">
        <v>1144</v>
      </c>
      <c r="F128" s="232">
        <v>0.35416666666666669</v>
      </c>
      <c r="G128" s="215">
        <v>14</v>
      </c>
      <c r="H128" s="147" t="s">
        <v>703</v>
      </c>
      <c r="I128" s="215">
        <v>1400</v>
      </c>
      <c r="J128" s="147">
        <v>2500</v>
      </c>
      <c r="K128" s="147">
        <v>3</v>
      </c>
      <c r="L128" s="206">
        <v>10</v>
      </c>
      <c r="M128" s="147" t="s">
        <v>1145</v>
      </c>
      <c r="Q128" s="206"/>
    </row>
    <row r="129" spans="1:17" x14ac:dyDescent="0.2">
      <c r="A129" s="195" t="s">
        <v>845</v>
      </c>
      <c r="B129" s="146" t="s">
        <v>197</v>
      </c>
      <c r="C129" s="146" t="s">
        <v>1061</v>
      </c>
      <c r="D129" s="146" t="s">
        <v>846</v>
      </c>
      <c r="E129" s="168" t="s">
        <v>1144</v>
      </c>
      <c r="F129" s="251">
        <v>0.3611111111111111</v>
      </c>
      <c r="G129" s="168">
        <v>14</v>
      </c>
      <c r="H129" s="146" t="s">
        <v>703</v>
      </c>
      <c r="I129" s="168">
        <v>1400</v>
      </c>
      <c r="J129" s="146">
        <v>2500</v>
      </c>
      <c r="K129" s="146">
        <v>3</v>
      </c>
      <c r="L129" s="169">
        <v>10</v>
      </c>
      <c r="M129" s="146" t="s">
        <v>1146</v>
      </c>
    </row>
    <row r="130" spans="1:17" x14ac:dyDescent="0.2">
      <c r="A130" s="195" t="s">
        <v>845</v>
      </c>
      <c r="B130" s="146" t="s">
        <v>197</v>
      </c>
      <c r="C130" s="146" t="s">
        <v>1061</v>
      </c>
      <c r="D130" s="146" t="s">
        <v>846</v>
      </c>
      <c r="E130" s="168" t="s">
        <v>1147</v>
      </c>
      <c r="F130" s="251">
        <v>0.36805555555555558</v>
      </c>
      <c r="G130" s="168">
        <v>14</v>
      </c>
      <c r="H130" s="146" t="s">
        <v>703</v>
      </c>
      <c r="I130" s="168">
        <v>1400</v>
      </c>
      <c r="J130" s="146">
        <v>2500</v>
      </c>
      <c r="K130" s="146">
        <v>3</v>
      </c>
      <c r="L130" s="169">
        <v>10</v>
      </c>
      <c r="M130" s="146" t="s">
        <v>1148</v>
      </c>
    </row>
    <row r="131" spans="1:17" x14ac:dyDescent="0.2">
      <c r="A131" s="195" t="s">
        <v>845</v>
      </c>
      <c r="B131" s="146" t="s">
        <v>197</v>
      </c>
      <c r="C131" s="146" t="s">
        <v>1061</v>
      </c>
      <c r="D131" s="146" t="s">
        <v>846</v>
      </c>
      <c r="E131" s="168" t="s">
        <v>1147</v>
      </c>
      <c r="F131" s="251">
        <v>0.375</v>
      </c>
      <c r="G131" s="168">
        <v>14</v>
      </c>
      <c r="H131" s="146" t="s">
        <v>703</v>
      </c>
      <c r="I131" s="168">
        <v>1400</v>
      </c>
      <c r="J131" s="146">
        <v>2500</v>
      </c>
      <c r="K131" s="146">
        <v>3</v>
      </c>
      <c r="L131" s="169">
        <v>10</v>
      </c>
      <c r="M131" s="146" t="s">
        <v>1097</v>
      </c>
    </row>
    <row r="132" spans="1:17" x14ac:dyDescent="0.2">
      <c r="A132" s="195" t="s">
        <v>845</v>
      </c>
      <c r="B132" s="146" t="s">
        <v>197</v>
      </c>
      <c r="C132" s="146" t="s">
        <v>1061</v>
      </c>
      <c r="D132" s="146" t="s">
        <v>846</v>
      </c>
      <c r="E132" s="168" t="s">
        <v>1144</v>
      </c>
      <c r="F132" s="251">
        <v>0.3888888888888889</v>
      </c>
      <c r="G132" s="168">
        <v>14</v>
      </c>
      <c r="H132" s="146" t="s">
        <v>703</v>
      </c>
      <c r="I132" s="168">
        <v>1400</v>
      </c>
      <c r="J132" s="146">
        <v>2500</v>
      </c>
      <c r="K132" s="146">
        <v>3</v>
      </c>
      <c r="L132" s="169">
        <v>10</v>
      </c>
      <c r="M132" s="146" t="s">
        <v>1112</v>
      </c>
    </row>
    <row r="133" spans="1:17" x14ac:dyDescent="0.2">
      <c r="A133" s="195" t="s">
        <v>845</v>
      </c>
      <c r="B133" s="146" t="s">
        <v>197</v>
      </c>
      <c r="C133" s="146" t="s">
        <v>1061</v>
      </c>
      <c r="D133" s="146" t="s">
        <v>846</v>
      </c>
      <c r="E133" s="168" t="s">
        <v>1144</v>
      </c>
      <c r="F133" s="251">
        <v>0.40277777777777779</v>
      </c>
      <c r="G133" s="168">
        <v>14</v>
      </c>
      <c r="H133" s="146" t="s">
        <v>703</v>
      </c>
      <c r="I133" s="168">
        <v>1400</v>
      </c>
      <c r="J133" s="146">
        <v>2500</v>
      </c>
      <c r="K133" s="146">
        <v>3</v>
      </c>
      <c r="L133" s="169">
        <v>10</v>
      </c>
      <c r="M133" s="146" t="s">
        <v>1136</v>
      </c>
    </row>
    <row r="134" spans="1:17" x14ac:dyDescent="0.2">
      <c r="A134" s="195" t="s">
        <v>1149</v>
      </c>
      <c r="B134" s="146" t="s">
        <v>971</v>
      </c>
      <c r="C134" s="146" t="s">
        <v>864</v>
      </c>
      <c r="D134" s="7" t="s">
        <v>867</v>
      </c>
      <c r="E134" s="168" t="s">
        <v>1144</v>
      </c>
      <c r="F134" s="251">
        <v>0.41666666666666669</v>
      </c>
      <c r="G134" s="168">
        <v>14</v>
      </c>
      <c r="H134" s="146" t="s">
        <v>703</v>
      </c>
      <c r="I134" s="168">
        <v>1400</v>
      </c>
      <c r="J134" s="146">
        <v>2500</v>
      </c>
      <c r="K134" s="146">
        <v>3</v>
      </c>
      <c r="L134" s="169">
        <v>10</v>
      </c>
      <c r="M134" s="146" t="s">
        <v>1136</v>
      </c>
    </row>
    <row r="135" spans="1:17" x14ac:dyDescent="0.2">
      <c r="A135" s="195" t="s">
        <v>1150</v>
      </c>
      <c r="B135" s="146" t="s">
        <v>971</v>
      </c>
      <c r="C135" s="146" t="s">
        <v>864</v>
      </c>
      <c r="D135" s="146" t="s">
        <v>869</v>
      </c>
      <c r="E135" s="168" t="s">
        <v>1144</v>
      </c>
      <c r="F135" s="251">
        <v>0.4375</v>
      </c>
      <c r="G135" s="168">
        <v>14</v>
      </c>
      <c r="H135" s="146" t="s">
        <v>703</v>
      </c>
      <c r="I135" s="168">
        <v>1400</v>
      </c>
      <c r="J135" s="146">
        <v>2500</v>
      </c>
      <c r="K135" s="146">
        <v>3</v>
      </c>
      <c r="L135" s="169">
        <v>10</v>
      </c>
      <c r="M135" s="146" t="s">
        <v>1136</v>
      </c>
    </row>
    <row r="136" spans="1:17" x14ac:dyDescent="0.2">
      <c r="A136" s="195" t="s">
        <v>1151</v>
      </c>
      <c r="B136" s="146" t="s">
        <v>971</v>
      </c>
      <c r="C136" s="146" t="s">
        <v>864</v>
      </c>
      <c r="D136" s="7" t="s">
        <v>870</v>
      </c>
      <c r="E136" s="168" t="s">
        <v>1144</v>
      </c>
      <c r="F136" s="251">
        <v>0.44444444444444442</v>
      </c>
      <c r="G136" s="168">
        <v>14</v>
      </c>
      <c r="H136" s="146" t="s">
        <v>703</v>
      </c>
      <c r="I136" s="168">
        <v>1400</v>
      </c>
      <c r="J136" s="146">
        <v>2500</v>
      </c>
      <c r="K136" s="146">
        <v>3</v>
      </c>
      <c r="L136" s="169">
        <v>10</v>
      </c>
      <c r="M136" s="146" t="s">
        <v>1136</v>
      </c>
    </row>
    <row r="137" spans="1:17" x14ac:dyDescent="0.2">
      <c r="A137" s="195" t="s">
        <v>845</v>
      </c>
      <c r="B137" s="146" t="s">
        <v>197</v>
      </c>
      <c r="C137" s="146" t="s">
        <v>1061</v>
      </c>
      <c r="D137" s="146" t="s">
        <v>846</v>
      </c>
      <c r="E137" s="168" t="s">
        <v>1144</v>
      </c>
      <c r="F137" s="251">
        <v>0.45833333333333331</v>
      </c>
      <c r="G137" s="168">
        <v>14</v>
      </c>
      <c r="H137" s="146" t="s">
        <v>703</v>
      </c>
      <c r="I137" s="168">
        <v>1400</v>
      </c>
      <c r="J137" s="146">
        <v>2500</v>
      </c>
      <c r="K137" s="146">
        <v>3</v>
      </c>
      <c r="L137" s="169">
        <v>10</v>
      </c>
      <c r="M137" s="146" t="s">
        <v>1152</v>
      </c>
    </row>
    <row r="138" spans="1:17" s="147" customFormat="1" x14ac:dyDescent="0.2">
      <c r="A138" s="226">
        <v>376</v>
      </c>
      <c r="B138" s="147" t="s">
        <v>1138</v>
      </c>
      <c r="C138" s="147" t="s">
        <v>864</v>
      </c>
      <c r="D138" s="49" t="s">
        <v>863</v>
      </c>
      <c r="E138" s="215" t="s">
        <v>1153</v>
      </c>
      <c r="F138" s="232">
        <v>0.375</v>
      </c>
      <c r="G138" s="215">
        <v>14</v>
      </c>
      <c r="H138" s="147" t="s">
        <v>703</v>
      </c>
      <c r="I138" s="215">
        <v>1400</v>
      </c>
      <c r="J138" s="147">
        <v>2500</v>
      </c>
      <c r="K138" s="147">
        <v>3</v>
      </c>
      <c r="L138" s="206">
        <v>10</v>
      </c>
      <c r="M138" s="147" t="s">
        <v>1136</v>
      </c>
      <c r="Q138" s="206"/>
    </row>
    <row r="139" spans="1:17" x14ac:dyDescent="0.2">
      <c r="A139" s="195">
        <v>472</v>
      </c>
      <c r="B139" s="146" t="s">
        <v>1154</v>
      </c>
      <c r="C139" s="146" t="s">
        <v>1155</v>
      </c>
      <c r="D139" s="7" t="s">
        <v>905</v>
      </c>
      <c r="E139" s="168" t="s">
        <v>1153</v>
      </c>
      <c r="F139" s="251">
        <v>0.41666666666666669</v>
      </c>
      <c r="G139" s="168">
        <v>14</v>
      </c>
      <c r="H139" s="146" t="s">
        <v>703</v>
      </c>
      <c r="I139" s="168">
        <v>1400</v>
      </c>
      <c r="J139" s="146">
        <v>2500</v>
      </c>
      <c r="K139" s="146">
        <v>3</v>
      </c>
      <c r="L139" s="169">
        <v>10</v>
      </c>
      <c r="M139" s="146" t="s">
        <v>1136</v>
      </c>
    </row>
    <row r="140" spans="1:17" x14ac:dyDescent="0.2">
      <c r="A140" s="195">
        <v>475</v>
      </c>
      <c r="B140" s="146" t="s">
        <v>1154</v>
      </c>
      <c r="C140" s="146" t="s">
        <v>1155</v>
      </c>
      <c r="D140" s="7" t="s">
        <v>1156</v>
      </c>
      <c r="E140" s="168" t="s">
        <v>1153</v>
      </c>
      <c r="F140" s="251">
        <v>0.45833333333333331</v>
      </c>
      <c r="G140" s="168">
        <v>14</v>
      </c>
      <c r="H140" s="146" t="s">
        <v>703</v>
      </c>
      <c r="I140" s="168">
        <v>1400</v>
      </c>
      <c r="J140" s="146">
        <v>2500</v>
      </c>
      <c r="K140" s="146">
        <v>3</v>
      </c>
      <c r="L140" s="169">
        <v>10</v>
      </c>
      <c r="M140" s="146" t="s">
        <v>1136</v>
      </c>
    </row>
    <row r="141" spans="1:17" s="151" customFormat="1" x14ac:dyDescent="0.2">
      <c r="A141" s="227">
        <v>478</v>
      </c>
      <c r="B141" s="151" t="s">
        <v>1157</v>
      </c>
      <c r="C141" s="151" t="s">
        <v>1155</v>
      </c>
      <c r="D141" s="51" t="s">
        <v>910</v>
      </c>
      <c r="E141" s="216" t="s">
        <v>1153</v>
      </c>
      <c r="F141" s="236">
        <v>0.5</v>
      </c>
      <c r="G141" s="216">
        <v>14</v>
      </c>
      <c r="H141" s="151" t="s">
        <v>703</v>
      </c>
      <c r="I141" s="216">
        <v>1400</v>
      </c>
      <c r="J141" s="151">
        <v>2500</v>
      </c>
      <c r="K141" s="151">
        <v>3</v>
      </c>
      <c r="L141" s="207">
        <v>10</v>
      </c>
      <c r="M141" s="151" t="s">
        <v>1136</v>
      </c>
      <c r="Q141" s="207"/>
    </row>
    <row r="142" spans="1:17" x14ac:dyDescent="0.2">
      <c r="A142" s="168">
        <v>490</v>
      </c>
      <c r="B142" s="146" t="s">
        <v>1157</v>
      </c>
      <c r="C142" s="146" t="s">
        <v>1155</v>
      </c>
      <c r="D142" s="7" t="s">
        <v>915</v>
      </c>
      <c r="E142" s="168" t="s">
        <v>1158</v>
      </c>
      <c r="F142" s="251">
        <v>0.41666666666666669</v>
      </c>
      <c r="G142" s="215">
        <v>14</v>
      </c>
      <c r="H142" s="147" t="s">
        <v>703</v>
      </c>
      <c r="I142" s="215">
        <v>1400</v>
      </c>
      <c r="J142" s="147">
        <v>2500</v>
      </c>
      <c r="K142" s="147">
        <v>3</v>
      </c>
      <c r="L142" s="206">
        <v>10</v>
      </c>
      <c r="M142" s="147" t="s">
        <v>1136</v>
      </c>
    </row>
    <row r="143" spans="1:17" x14ac:dyDescent="0.2">
      <c r="A143" s="7">
        <v>487</v>
      </c>
      <c r="B143" s="146" t="s">
        <v>1154</v>
      </c>
      <c r="C143" s="146" t="s">
        <v>1155</v>
      </c>
      <c r="D143" s="7" t="s">
        <v>914</v>
      </c>
      <c r="E143" s="168" t="s">
        <v>1158</v>
      </c>
      <c r="F143" s="251">
        <v>0.46875</v>
      </c>
      <c r="G143" s="168">
        <v>14</v>
      </c>
      <c r="H143" s="146" t="s">
        <v>703</v>
      </c>
      <c r="I143" s="168">
        <v>1400</v>
      </c>
      <c r="J143" s="146">
        <v>2500</v>
      </c>
      <c r="K143" s="146">
        <v>3</v>
      </c>
      <c r="L143" s="169">
        <v>10</v>
      </c>
      <c r="M143" s="146" t="s">
        <v>1136</v>
      </c>
    </row>
    <row r="144" spans="1:17" s="147" customFormat="1" x14ac:dyDescent="0.2">
      <c r="A144" s="226">
        <v>357</v>
      </c>
      <c r="B144" s="147" t="s">
        <v>1040</v>
      </c>
      <c r="C144" s="147" t="s">
        <v>1159</v>
      </c>
      <c r="D144" s="49" t="s">
        <v>855</v>
      </c>
      <c r="E144" s="231">
        <v>45873</v>
      </c>
      <c r="F144" s="232">
        <v>0.375</v>
      </c>
      <c r="G144" s="215">
        <v>60</v>
      </c>
      <c r="H144" s="147" t="s">
        <v>703</v>
      </c>
      <c r="I144" s="215">
        <v>5000</v>
      </c>
      <c r="J144" s="147">
        <v>2500</v>
      </c>
      <c r="K144" s="147">
        <v>3</v>
      </c>
      <c r="L144" s="206">
        <v>10</v>
      </c>
      <c r="M144" s="147" t="s">
        <v>1160</v>
      </c>
      <c r="Q144" s="206"/>
    </row>
    <row r="145" spans="1:17" x14ac:dyDescent="0.2">
      <c r="A145" s="195">
        <v>484</v>
      </c>
      <c r="B145" s="146" t="s">
        <v>1157</v>
      </c>
      <c r="C145" s="146" t="s">
        <v>1155</v>
      </c>
      <c r="D145" s="7" t="s">
        <v>913</v>
      </c>
      <c r="E145" s="230">
        <v>45873</v>
      </c>
      <c r="F145" s="251">
        <v>0.41666666666666669</v>
      </c>
      <c r="G145" s="168">
        <v>14</v>
      </c>
      <c r="H145" s="146" t="s">
        <v>703</v>
      </c>
      <c r="I145" s="168">
        <v>1400</v>
      </c>
      <c r="J145" s="146">
        <v>2500</v>
      </c>
      <c r="K145" s="146">
        <v>3</v>
      </c>
      <c r="L145" s="169">
        <v>10</v>
      </c>
      <c r="M145" s="146" t="s">
        <v>1136</v>
      </c>
    </row>
    <row r="146" spans="1:17" x14ac:dyDescent="0.2">
      <c r="A146" s="195">
        <v>482</v>
      </c>
      <c r="B146" s="146" t="s">
        <v>1157</v>
      </c>
      <c r="C146" s="146" t="s">
        <v>1155</v>
      </c>
      <c r="D146" s="7" t="s">
        <v>912</v>
      </c>
      <c r="E146" s="230">
        <v>45873</v>
      </c>
      <c r="F146" s="251">
        <v>0.45833333333333331</v>
      </c>
      <c r="G146" s="168">
        <v>14</v>
      </c>
      <c r="H146" s="146" t="s">
        <v>703</v>
      </c>
      <c r="I146" s="168">
        <v>1400</v>
      </c>
      <c r="J146" s="146">
        <v>2500</v>
      </c>
      <c r="K146" s="146">
        <v>3</v>
      </c>
      <c r="L146" s="169">
        <v>10</v>
      </c>
      <c r="M146" s="146" t="s">
        <v>1136</v>
      </c>
    </row>
    <row r="147" spans="1:17" s="147" customFormat="1" x14ac:dyDescent="0.2">
      <c r="A147" s="226">
        <v>355</v>
      </c>
      <c r="B147" s="147" t="s">
        <v>1032</v>
      </c>
      <c r="C147" s="147" t="s">
        <v>1159</v>
      </c>
      <c r="D147" s="49" t="s">
        <v>853</v>
      </c>
      <c r="E147" s="215" t="s">
        <v>1161</v>
      </c>
      <c r="F147" s="232">
        <v>0.375</v>
      </c>
      <c r="G147" s="215">
        <v>60</v>
      </c>
      <c r="H147" s="147" t="s">
        <v>703</v>
      </c>
      <c r="I147" s="215">
        <v>5000</v>
      </c>
      <c r="J147" s="147">
        <v>2500</v>
      </c>
      <c r="K147" s="147">
        <v>3</v>
      </c>
      <c r="L147" s="206">
        <v>10</v>
      </c>
      <c r="M147" s="147" t="s">
        <v>1160</v>
      </c>
      <c r="Q147" s="206"/>
    </row>
    <row r="148" spans="1:17" x14ac:dyDescent="0.2">
      <c r="A148" s="195">
        <v>356</v>
      </c>
      <c r="B148" s="146" t="s">
        <v>1032</v>
      </c>
      <c r="C148" s="146" t="s">
        <v>1159</v>
      </c>
      <c r="D148" s="7" t="s">
        <v>854</v>
      </c>
      <c r="E148" s="168" t="s">
        <v>1161</v>
      </c>
      <c r="F148" s="251">
        <v>0.41666666666666669</v>
      </c>
      <c r="G148" s="168">
        <v>60</v>
      </c>
      <c r="H148" s="146" t="s">
        <v>703</v>
      </c>
      <c r="I148" s="168">
        <v>5000</v>
      </c>
      <c r="J148" s="146">
        <v>2500</v>
      </c>
      <c r="K148" s="146">
        <v>3</v>
      </c>
      <c r="L148" s="169">
        <v>10</v>
      </c>
      <c r="M148" s="146" t="s">
        <v>1160</v>
      </c>
    </row>
    <row r="149" spans="1:17" x14ac:dyDescent="0.2">
      <c r="A149" s="195">
        <v>359</v>
      </c>
      <c r="B149" s="146" t="s">
        <v>1040</v>
      </c>
      <c r="C149" s="146" t="s">
        <v>1159</v>
      </c>
      <c r="D149" s="7" t="s">
        <v>857</v>
      </c>
      <c r="E149" s="168" t="s">
        <v>1161</v>
      </c>
      <c r="F149" s="251">
        <v>0.45833333333333331</v>
      </c>
      <c r="G149" s="168">
        <v>60</v>
      </c>
      <c r="H149" s="146" t="s">
        <v>703</v>
      </c>
      <c r="I149" s="168">
        <v>5000</v>
      </c>
      <c r="J149" s="146">
        <v>2500</v>
      </c>
      <c r="K149" s="146">
        <v>3</v>
      </c>
      <c r="L149" s="169">
        <v>10</v>
      </c>
      <c r="M149" s="146" t="s">
        <v>1160</v>
      </c>
    </row>
    <row r="150" spans="1:17" s="147" customFormat="1" x14ac:dyDescent="0.2">
      <c r="A150" s="226">
        <v>561</v>
      </c>
      <c r="B150" s="147" t="s">
        <v>1162</v>
      </c>
      <c r="C150" s="147" t="s">
        <v>1155</v>
      </c>
      <c r="D150" s="49" t="s">
        <v>944</v>
      </c>
      <c r="E150" s="215" t="s">
        <v>1163</v>
      </c>
      <c r="F150" s="232">
        <v>0.375</v>
      </c>
      <c r="G150" s="215">
        <v>14</v>
      </c>
      <c r="H150" s="147" t="s">
        <v>703</v>
      </c>
      <c r="I150" s="215">
        <v>1200</v>
      </c>
      <c r="J150" s="147">
        <v>2500</v>
      </c>
      <c r="K150" s="147">
        <v>3</v>
      </c>
      <c r="L150" s="206">
        <v>10</v>
      </c>
      <c r="M150" s="147" t="s">
        <v>1136</v>
      </c>
      <c r="Q150" s="206"/>
    </row>
    <row r="151" spans="1:17" x14ac:dyDescent="0.2">
      <c r="A151" s="195">
        <v>562</v>
      </c>
      <c r="B151" s="146" t="s">
        <v>1162</v>
      </c>
      <c r="C151" s="146" t="s">
        <v>1155</v>
      </c>
      <c r="D151" s="7" t="s">
        <v>943</v>
      </c>
      <c r="E151" s="168" t="s">
        <v>1163</v>
      </c>
      <c r="F151" s="251">
        <v>0.41666666666666669</v>
      </c>
      <c r="G151" s="168">
        <v>14</v>
      </c>
      <c r="H151" s="146" t="s">
        <v>703</v>
      </c>
      <c r="I151" s="168">
        <v>1200</v>
      </c>
      <c r="J151" s="146">
        <v>2500</v>
      </c>
      <c r="K151" s="146">
        <v>3</v>
      </c>
      <c r="L151" s="169">
        <v>10</v>
      </c>
      <c r="M151" s="146" t="s">
        <v>1136</v>
      </c>
    </row>
    <row r="152" spans="1:17" s="147" customFormat="1" x14ac:dyDescent="0.2">
      <c r="A152" s="226">
        <v>541</v>
      </c>
      <c r="B152" s="147" t="s">
        <v>1162</v>
      </c>
      <c r="C152" s="147" t="s">
        <v>1155</v>
      </c>
      <c r="D152" s="49" t="s">
        <v>936</v>
      </c>
      <c r="E152" s="215" t="s">
        <v>1164</v>
      </c>
      <c r="F152" s="232">
        <v>0.375</v>
      </c>
      <c r="G152" s="215">
        <v>14</v>
      </c>
      <c r="H152" s="147" t="s">
        <v>703</v>
      </c>
      <c r="I152" s="215">
        <v>1200</v>
      </c>
      <c r="J152" s="147">
        <v>2500</v>
      </c>
      <c r="K152" s="147">
        <v>3</v>
      </c>
      <c r="L152" s="206">
        <v>10</v>
      </c>
      <c r="M152" s="147" t="s">
        <v>1136</v>
      </c>
      <c r="Q152" s="206"/>
    </row>
    <row r="153" spans="1:17" x14ac:dyDescent="0.2">
      <c r="A153" s="195">
        <v>546</v>
      </c>
      <c r="B153" s="146" t="s">
        <v>1162</v>
      </c>
      <c r="C153" s="146" t="s">
        <v>1155</v>
      </c>
      <c r="D153" s="7" t="s">
        <v>938</v>
      </c>
      <c r="E153" s="168" t="s">
        <v>1164</v>
      </c>
      <c r="F153" s="251">
        <v>0.41666666666666669</v>
      </c>
      <c r="G153" s="168">
        <v>14</v>
      </c>
      <c r="H153" s="146" t="s">
        <v>703</v>
      </c>
      <c r="I153" s="168">
        <v>1200</v>
      </c>
      <c r="J153" s="146">
        <v>2500</v>
      </c>
      <c r="K153" s="146">
        <v>3</v>
      </c>
      <c r="L153" s="169">
        <v>10</v>
      </c>
      <c r="M153" s="146" t="s">
        <v>1136</v>
      </c>
    </row>
    <row r="154" spans="1:17" x14ac:dyDescent="0.2">
      <c r="A154" s="195">
        <v>552</v>
      </c>
      <c r="B154" s="146" t="s">
        <v>1165</v>
      </c>
      <c r="C154" s="146" t="s">
        <v>1155</v>
      </c>
      <c r="D154" s="7" t="s">
        <v>941</v>
      </c>
      <c r="E154" s="168" t="s">
        <v>1164</v>
      </c>
      <c r="F154" s="251">
        <v>0.45833333333333331</v>
      </c>
      <c r="G154" s="168">
        <v>14</v>
      </c>
      <c r="H154" s="146" t="s">
        <v>703</v>
      </c>
      <c r="I154" s="168">
        <v>1200</v>
      </c>
      <c r="J154" s="146">
        <v>2500</v>
      </c>
      <c r="K154" s="146">
        <v>3</v>
      </c>
      <c r="L154" s="169">
        <v>10</v>
      </c>
      <c r="M154" s="146" t="s">
        <v>1136</v>
      </c>
    </row>
    <row r="155" spans="1:17" x14ac:dyDescent="0.2">
      <c r="A155" s="195">
        <v>553</v>
      </c>
      <c r="B155" s="146" t="s">
        <v>1165</v>
      </c>
      <c r="C155" s="146" t="s">
        <v>1155</v>
      </c>
      <c r="D155" s="7" t="s">
        <v>942</v>
      </c>
      <c r="E155" s="168" t="s">
        <v>1164</v>
      </c>
      <c r="F155" s="251">
        <v>0.5</v>
      </c>
      <c r="G155" s="168">
        <v>14</v>
      </c>
      <c r="H155" s="146" t="s">
        <v>703</v>
      </c>
      <c r="I155" s="168">
        <v>1200</v>
      </c>
      <c r="J155" s="146">
        <v>2500</v>
      </c>
      <c r="K155" s="146">
        <v>3</v>
      </c>
      <c r="L155" s="169">
        <v>10</v>
      </c>
      <c r="M155" s="146" t="s">
        <v>1136</v>
      </c>
    </row>
    <row r="156" spans="1:17" s="147" customFormat="1" x14ac:dyDescent="0.2">
      <c r="A156" s="226">
        <v>632</v>
      </c>
      <c r="B156" s="147" t="s">
        <v>1166</v>
      </c>
      <c r="C156" s="147" t="s">
        <v>1155</v>
      </c>
      <c r="D156" s="49" t="s">
        <v>989</v>
      </c>
      <c r="E156" s="231">
        <v>45722</v>
      </c>
      <c r="F156" s="232">
        <v>0.41666666666666669</v>
      </c>
      <c r="G156" s="215">
        <v>14</v>
      </c>
      <c r="H156" s="147" t="s">
        <v>703</v>
      </c>
      <c r="I156" s="215">
        <v>1200</v>
      </c>
      <c r="J156" s="147">
        <v>2500</v>
      </c>
      <c r="K156" s="147">
        <v>3</v>
      </c>
      <c r="L156" s="206">
        <v>10</v>
      </c>
      <c r="M156" s="147" t="s">
        <v>1136</v>
      </c>
      <c r="Q156" s="206"/>
    </row>
    <row r="157" spans="1:17" x14ac:dyDescent="0.2">
      <c r="A157" s="195">
        <v>629</v>
      </c>
      <c r="B157" s="146" t="s">
        <v>1166</v>
      </c>
      <c r="C157" s="146" t="s">
        <v>1155</v>
      </c>
      <c r="D157" s="7" t="s">
        <v>988</v>
      </c>
      <c r="E157" s="230">
        <v>45722</v>
      </c>
      <c r="F157" s="251">
        <v>0.45833333333333331</v>
      </c>
      <c r="G157" s="168">
        <v>14</v>
      </c>
      <c r="H157" s="146" t="s">
        <v>703</v>
      </c>
      <c r="I157" s="168">
        <v>1200</v>
      </c>
      <c r="J157" s="146">
        <v>2500</v>
      </c>
      <c r="K157" s="146">
        <v>3</v>
      </c>
      <c r="L157" s="169">
        <v>10</v>
      </c>
      <c r="M157" s="146" t="s">
        <v>1136</v>
      </c>
    </row>
    <row r="158" spans="1:17" x14ac:dyDescent="0.2">
      <c r="A158" s="195">
        <v>623</v>
      </c>
      <c r="B158" s="146" t="s">
        <v>1166</v>
      </c>
      <c r="C158" s="146" t="s">
        <v>1155</v>
      </c>
      <c r="D158" s="7" t="s">
        <v>984</v>
      </c>
      <c r="E158" s="230">
        <v>45722</v>
      </c>
      <c r="F158" s="251">
        <v>0.47916666666666669</v>
      </c>
      <c r="G158" s="168">
        <v>14</v>
      </c>
      <c r="H158" s="146" t="s">
        <v>703</v>
      </c>
      <c r="I158" s="168">
        <v>1200</v>
      </c>
      <c r="J158" s="146">
        <v>2500</v>
      </c>
      <c r="K158" s="146">
        <v>3</v>
      </c>
      <c r="L158" s="169">
        <v>10</v>
      </c>
      <c r="M158" s="146" t="s">
        <v>1136</v>
      </c>
    </row>
    <row r="159" spans="1:17" s="285" customFormat="1" x14ac:dyDescent="0.2">
      <c r="A159" s="284">
        <v>642</v>
      </c>
      <c r="B159" s="285" t="s">
        <v>1166</v>
      </c>
      <c r="C159" s="285" t="s">
        <v>1155</v>
      </c>
      <c r="D159" s="286" t="s">
        <v>991</v>
      </c>
      <c r="E159" s="287">
        <v>45785</v>
      </c>
      <c r="F159" s="288">
        <v>0.41666666666666669</v>
      </c>
      <c r="G159" s="284">
        <v>14</v>
      </c>
      <c r="H159" s="285" t="s">
        <v>703</v>
      </c>
      <c r="I159" s="284">
        <v>1400</v>
      </c>
      <c r="J159" s="285">
        <v>2500</v>
      </c>
      <c r="K159" s="285">
        <v>3</v>
      </c>
      <c r="L159" s="289">
        <v>10</v>
      </c>
      <c r="M159" s="285" t="s">
        <v>1136</v>
      </c>
      <c r="Q159" s="289"/>
    </row>
    <row r="160" spans="1:17" x14ac:dyDescent="0.2">
      <c r="A160" s="168">
        <v>626</v>
      </c>
      <c r="B160" s="146" t="s">
        <v>1167</v>
      </c>
      <c r="C160" s="146" t="s">
        <v>1155</v>
      </c>
      <c r="D160" s="7" t="s">
        <v>987</v>
      </c>
      <c r="E160" s="230">
        <v>45785</v>
      </c>
      <c r="F160" s="251">
        <v>0.42708333333333331</v>
      </c>
      <c r="G160" s="168">
        <v>14</v>
      </c>
      <c r="H160" s="146" t="s">
        <v>703</v>
      </c>
      <c r="I160" s="168">
        <v>1200</v>
      </c>
      <c r="J160" s="146">
        <v>2500</v>
      </c>
      <c r="K160" s="146">
        <v>3</v>
      </c>
      <c r="L160" s="169">
        <v>10</v>
      </c>
      <c r="M160" s="146" t="s">
        <v>1136</v>
      </c>
    </row>
    <row r="161" spans="1:17" x14ac:dyDescent="0.2">
      <c r="A161" s="168">
        <v>636</v>
      </c>
      <c r="B161" s="146" t="s">
        <v>1167</v>
      </c>
      <c r="C161" s="146" t="s">
        <v>1155</v>
      </c>
      <c r="D161" s="7" t="s">
        <v>990</v>
      </c>
      <c r="E161" s="230">
        <v>45785</v>
      </c>
      <c r="F161" s="251">
        <v>0.4375</v>
      </c>
      <c r="G161" s="168">
        <v>14</v>
      </c>
      <c r="H161" s="146" t="s">
        <v>703</v>
      </c>
      <c r="I161" s="168">
        <v>1200</v>
      </c>
      <c r="J161" s="146">
        <v>2500</v>
      </c>
      <c r="K161" s="146">
        <v>3</v>
      </c>
      <c r="L161" s="169">
        <v>10</v>
      </c>
      <c r="M161" s="146" t="s">
        <v>1136</v>
      </c>
    </row>
    <row r="162" spans="1:17" x14ac:dyDescent="0.2">
      <c r="A162" s="168">
        <v>644</v>
      </c>
      <c r="B162" s="146" t="s">
        <v>1167</v>
      </c>
      <c r="C162" s="146" t="s">
        <v>1155</v>
      </c>
      <c r="D162" s="7" t="s">
        <v>992</v>
      </c>
      <c r="E162" s="230">
        <v>45785</v>
      </c>
      <c r="F162" s="251">
        <v>0.44791666666666669</v>
      </c>
      <c r="G162" s="168">
        <v>14</v>
      </c>
      <c r="H162" s="146" t="s">
        <v>703</v>
      </c>
      <c r="I162" s="168">
        <v>1200</v>
      </c>
      <c r="J162" s="146">
        <v>2500</v>
      </c>
      <c r="K162" s="146">
        <v>3</v>
      </c>
      <c r="L162" s="169">
        <v>10</v>
      </c>
      <c r="M162" s="146" t="s">
        <v>1136</v>
      </c>
    </row>
    <row r="163" spans="1:17" x14ac:dyDescent="0.2">
      <c r="A163" s="168">
        <v>647</v>
      </c>
      <c r="B163" s="146" t="s">
        <v>1167</v>
      </c>
      <c r="C163" s="146" t="s">
        <v>1155</v>
      </c>
      <c r="D163" s="7" t="s">
        <v>993</v>
      </c>
      <c r="E163" s="230">
        <v>45785</v>
      </c>
      <c r="F163" s="251">
        <v>0.45833333333333331</v>
      </c>
      <c r="G163" s="168">
        <v>14</v>
      </c>
      <c r="H163" s="146" t="s">
        <v>703</v>
      </c>
      <c r="I163" s="168">
        <v>1200</v>
      </c>
      <c r="J163" s="146">
        <v>2500</v>
      </c>
      <c r="K163" s="146">
        <v>3</v>
      </c>
      <c r="L163" s="169">
        <v>10</v>
      </c>
      <c r="M163" s="146" t="s">
        <v>1136</v>
      </c>
    </row>
    <row r="164" spans="1:17" s="285" customFormat="1" x14ac:dyDescent="0.2">
      <c r="A164" s="284">
        <v>539</v>
      </c>
      <c r="B164" s="285" t="s">
        <v>1168</v>
      </c>
      <c r="C164" s="285" t="s">
        <v>1155</v>
      </c>
      <c r="D164" s="286" t="s">
        <v>935</v>
      </c>
      <c r="E164" s="284" t="s">
        <v>1169</v>
      </c>
      <c r="F164" s="288">
        <v>0.375</v>
      </c>
      <c r="G164" s="284">
        <v>14</v>
      </c>
      <c r="H164" s="285" t="s">
        <v>703</v>
      </c>
      <c r="I164" s="284">
        <v>1200</v>
      </c>
      <c r="J164" s="285">
        <v>2500</v>
      </c>
      <c r="K164" s="285">
        <v>3</v>
      </c>
      <c r="L164" s="289">
        <v>10</v>
      </c>
      <c r="M164" s="285" t="s">
        <v>1136</v>
      </c>
      <c r="Q164" s="289"/>
    </row>
    <row r="165" spans="1:17" x14ac:dyDescent="0.2">
      <c r="A165" s="168">
        <v>535</v>
      </c>
      <c r="B165" s="146" t="s">
        <v>1168</v>
      </c>
      <c r="C165" s="146" t="s">
        <v>1155</v>
      </c>
      <c r="D165" s="7" t="s">
        <v>934</v>
      </c>
      <c r="E165" s="168" t="s">
        <v>1169</v>
      </c>
      <c r="F165" s="251">
        <v>0.41666666666666669</v>
      </c>
      <c r="G165" s="168">
        <v>14</v>
      </c>
      <c r="H165" s="146" t="s">
        <v>703</v>
      </c>
      <c r="I165" s="168">
        <v>1200</v>
      </c>
      <c r="J165" s="146">
        <v>2500</v>
      </c>
      <c r="K165" s="146">
        <v>3</v>
      </c>
      <c r="L165" s="169">
        <v>10</v>
      </c>
      <c r="M165" s="146" t="s">
        <v>1136</v>
      </c>
    </row>
    <row r="166" spans="1:17" x14ac:dyDescent="0.2">
      <c r="A166" s="168">
        <v>526</v>
      </c>
      <c r="B166" s="146" t="s">
        <v>1170</v>
      </c>
      <c r="C166" s="146" t="s">
        <v>1155</v>
      </c>
      <c r="D166" s="7" t="s">
        <v>931</v>
      </c>
      <c r="E166" s="168" t="s">
        <v>1169</v>
      </c>
      <c r="F166" s="251">
        <v>0.45833333333333331</v>
      </c>
      <c r="G166" s="168">
        <v>14</v>
      </c>
      <c r="H166" s="146" t="s">
        <v>703</v>
      </c>
      <c r="I166" s="168">
        <v>1200</v>
      </c>
      <c r="J166" s="146">
        <v>2500</v>
      </c>
      <c r="K166" s="146">
        <v>3</v>
      </c>
      <c r="L166" s="169">
        <v>10</v>
      </c>
      <c r="M166" s="146" t="s">
        <v>1136</v>
      </c>
    </row>
    <row r="167" spans="1:17" x14ac:dyDescent="0.2">
      <c r="A167" s="168">
        <v>529</v>
      </c>
      <c r="B167" s="146" t="s">
        <v>1170</v>
      </c>
      <c r="C167" s="146" t="s">
        <v>1155</v>
      </c>
      <c r="D167" s="7" t="s">
        <v>932</v>
      </c>
      <c r="E167" s="168" t="s">
        <v>1169</v>
      </c>
      <c r="F167" s="251">
        <v>0.5</v>
      </c>
      <c r="G167" s="168">
        <v>14</v>
      </c>
      <c r="H167" s="146" t="s">
        <v>703</v>
      </c>
      <c r="I167" s="168">
        <v>1200</v>
      </c>
      <c r="J167" s="146">
        <v>2500</v>
      </c>
      <c r="K167" s="146">
        <v>3</v>
      </c>
      <c r="L167" s="169">
        <v>10</v>
      </c>
      <c r="M167" s="146" t="s">
        <v>1136</v>
      </c>
    </row>
    <row r="168" spans="1:17" s="285" customFormat="1" x14ac:dyDescent="0.2">
      <c r="A168" s="284">
        <v>522</v>
      </c>
      <c r="B168" s="285" t="s">
        <v>1168</v>
      </c>
      <c r="C168" s="285" t="s">
        <v>1155</v>
      </c>
      <c r="D168" s="286" t="s">
        <v>928</v>
      </c>
      <c r="E168" s="284" t="s">
        <v>1171</v>
      </c>
      <c r="F168" s="288">
        <v>0.39583333333333331</v>
      </c>
      <c r="G168" s="284">
        <v>14</v>
      </c>
      <c r="H168" s="285" t="s">
        <v>703</v>
      </c>
      <c r="I168" s="284">
        <v>1200</v>
      </c>
      <c r="J168" s="285">
        <v>2500</v>
      </c>
      <c r="K168" s="285">
        <v>3</v>
      </c>
      <c r="L168" s="289">
        <v>10</v>
      </c>
      <c r="M168" s="285" t="s">
        <v>1136</v>
      </c>
      <c r="P168" s="285" t="s">
        <v>1172</v>
      </c>
      <c r="Q168" s="289"/>
    </row>
    <row r="169" spans="1:17" x14ac:dyDescent="0.2">
      <c r="A169" s="168">
        <v>522</v>
      </c>
      <c r="B169" s="146" t="s">
        <v>1168</v>
      </c>
      <c r="C169" s="146" t="s">
        <v>1155</v>
      </c>
      <c r="D169" s="146" t="s">
        <v>928</v>
      </c>
      <c r="E169" s="168" t="s">
        <v>1171</v>
      </c>
      <c r="F169" s="251">
        <v>0.4375</v>
      </c>
      <c r="G169" s="168">
        <v>14</v>
      </c>
      <c r="H169" s="146" t="s">
        <v>703</v>
      </c>
      <c r="I169" s="168">
        <v>1200</v>
      </c>
      <c r="J169" s="146">
        <v>2500</v>
      </c>
      <c r="K169" s="146">
        <v>3</v>
      </c>
      <c r="L169" s="169">
        <v>10</v>
      </c>
      <c r="M169" s="146" t="s">
        <v>1136</v>
      </c>
    </row>
    <row r="170" spans="1:17" s="291" customFormat="1" x14ac:dyDescent="0.2">
      <c r="A170" s="290">
        <v>534</v>
      </c>
      <c r="B170" s="291" t="s">
        <v>1168</v>
      </c>
      <c r="C170" s="291" t="s">
        <v>1155</v>
      </c>
      <c r="D170" s="292" t="s">
        <v>933</v>
      </c>
      <c r="E170" s="290" t="s">
        <v>1171</v>
      </c>
      <c r="F170" s="293">
        <v>0.45833333333333331</v>
      </c>
      <c r="G170" s="290">
        <v>14</v>
      </c>
      <c r="H170" s="291" t="s">
        <v>703</v>
      </c>
      <c r="I170" s="290">
        <v>1200</v>
      </c>
      <c r="J170" s="291">
        <v>2500</v>
      </c>
      <c r="K170" s="291">
        <v>3</v>
      </c>
      <c r="L170" s="294">
        <v>10</v>
      </c>
      <c r="M170" s="291" t="s">
        <v>1136</v>
      </c>
      <c r="Q170" s="294"/>
    </row>
    <row r="171" spans="1:17" x14ac:dyDescent="0.2">
      <c r="A171" s="168">
        <v>572</v>
      </c>
      <c r="B171" s="146" t="s">
        <v>1173</v>
      </c>
      <c r="C171" s="146" t="s">
        <v>1155</v>
      </c>
      <c r="D171" s="7" t="s">
        <v>947</v>
      </c>
      <c r="E171" s="168" t="s">
        <v>1174</v>
      </c>
      <c r="F171" s="251">
        <v>0.375</v>
      </c>
      <c r="G171" s="284">
        <v>14</v>
      </c>
      <c r="H171" s="285" t="s">
        <v>703</v>
      </c>
      <c r="I171" s="284">
        <v>1200</v>
      </c>
      <c r="J171" s="285">
        <v>2500</v>
      </c>
      <c r="K171" s="285">
        <v>3</v>
      </c>
      <c r="L171" s="289">
        <v>10</v>
      </c>
      <c r="M171" s="285" t="s">
        <v>1136</v>
      </c>
    </row>
    <row r="172" spans="1:17" x14ac:dyDescent="0.2">
      <c r="A172" s="168">
        <v>576</v>
      </c>
      <c r="B172" s="146" t="s">
        <v>1173</v>
      </c>
      <c r="C172" s="146" t="s">
        <v>1155</v>
      </c>
      <c r="D172" s="7" t="s">
        <v>952</v>
      </c>
      <c r="E172" s="168" t="s">
        <v>1174</v>
      </c>
      <c r="F172" s="251">
        <v>0.41666666666666669</v>
      </c>
      <c r="G172" s="168">
        <v>14</v>
      </c>
      <c r="H172" s="146" t="s">
        <v>703</v>
      </c>
      <c r="I172" s="168">
        <v>1200</v>
      </c>
      <c r="J172" s="146">
        <v>2500</v>
      </c>
      <c r="K172" s="146">
        <v>3</v>
      </c>
      <c r="L172" s="169">
        <v>10</v>
      </c>
      <c r="M172" s="146" t="s">
        <v>1136</v>
      </c>
      <c r="N172" s="146" t="s">
        <v>1175</v>
      </c>
    </row>
    <row r="173" spans="1:17" x14ac:dyDescent="0.2">
      <c r="A173" s="168">
        <v>595</v>
      </c>
      <c r="B173" s="146" t="s">
        <v>1173</v>
      </c>
      <c r="C173" s="146" t="s">
        <v>1155</v>
      </c>
      <c r="D173" s="7" t="s">
        <v>968</v>
      </c>
      <c r="E173" s="168" t="s">
        <v>1174</v>
      </c>
      <c r="F173" s="251">
        <v>0.45833333333333331</v>
      </c>
      <c r="G173" s="168">
        <v>14</v>
      </c>
      <c r="H173" s="146" t="s">
        <v>703</v>
      </c>
      <c r="I173" s="168">
        <v>1200</v>
      </c>
      <c r="J173" s="146">
        <v>2500</v>
      </c>
      <c r="K173" s="146">
        <v>3</v>
      </c>
      <c r="L173" s="169">
        <v>10</v>
      </c>
      <c r="M173" s="146" t="s">
        <v>1136</v>
      </c>
      <c r="N173" s="146" t="s">
        <v>1176</v>
      </c>
    </row>
    <row r="174" spans="1:17" x14ac:dyDescent="0.2">
      <c r="A174" s="168">
        <v>595</v>
      </c>
      <c r="B174" s="146" t="s">
        <v>1173</v>
      </c>
      <c r="C174" s="146" t="s">
        <v>1155</v>
      </c>
      <c r="D174" s="7" t="s">
        <v>968</v>
      </c>
      <c r="E174" s="168" t="s">
        <v>1174</v>
      </c>
      <c r="F174" s="251">
        <v>0.47916666666666669</v>
      </c>
      <c r="G174" s="168">
        <v>14</v>
      </c>
      <c r="H174" s="146" t="s">
        <v>703</v>
      </c>
      <c r="I174" s="168">
        <v>1200</v>
      </c>
      <c r="J174" s="146">
        <v>2500</v>
      </c>
      <c r="K174" s="146">
        <v>3</v>
      </c>
      <c r="L174" s="169">
        <v>10</v>
      </c>
      <c r="M174" s="146" t="s">
        <v>1136</v>
      </c>
      <c r="N174" s="146" t="s">
        <v>1177</v>
      </c>
    </row>
    <row r="175" spans="1:17" x14ac:dyDescent="0.2">
      <c r="A175" s="168">
        <v>580</v>
      </c>
      <c r="B175" s="146" t="s">
        <v>1178</v>
      </c>
      <c r="C175" s="146" t="s">
        <v>1155</v>
      </c>
      <c r="D175" s="7" t="s">
        <v>955</v>
      </c>
      <c r="E175" s="168" t="s">
        <v>1174</v>
      </c>
      <c r="F175" s="251">
        <v>0.5</v>
      </c>
      <c r="G175" s="168">
        <v>14</v>
      </c>
      <c r="H175" s="146" t="s">
        <v>703</v>
      </c>
      <c r="I175" s="168">
        <v>1200</v>
      </c>
      <c r="J175" s="146">
        <v>2500</v>
      </c>
      <c r="K175" s="146">
        <v>3</v>
      </c>
      <c r="L175" s="169">
        <v>10</v>
      </c>
      <c r="M175" s="146" t="s">
        <v>1136</v>
      </c>
    </row>
  </sheetData>
  <autoFilter ref="A1:L141" xr:uid="{0A653319-E61C-4F39-B7F1-8EF58D8F54B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A464-E5E6-4FB6-A659-814F3EF9AAFA}">
  <dimension ref="A1:AH335"/>
  <sheetViews>
    <sheetView workbookViewId="0">
      <pane ySplit="1" topLeftCell="A321" activePane="bottomLeft" state="frozen"/>
      <selection pane="bottomLeft" activeCell="W328" sqref="W328:Y335"/>
    </sheetView>
  </sheetViews>
  <sheetFormatPr baseColWidth="10" defaultColWidth="9" defaultRowHeight="16" x14ac:dyDescent="0.2"/>
  <cols>
    <col min="1" max="1" width="21.33203125" style="195" customWidth="1"/>
    <col min="2" max="2" width="17.5" style="146" customWidth="1"/>
    <col min="3" max="3" width="25.6640625" style="195" customWidth="1"/>
    <col min="4" max="4" width="24.1640625" style="195" customWidth="1"/>
    <col min="5" max="5" width="21.33203125" style="146" customWidth="1"/>
    <col min="6" max="6" width="43.1640625" style="146" customWidth="1"/>
    <col min="7" max="7" width="13.1640625" style="195" customWidth="1"/>
    <col min="8" max="8" width="9" style="146"/>
    <col min="9" max="9" width="11.5" style="195" customWidth="1"/>
    <col min="10" max="10" width="10.33203125" style="277" customWidth="1"/>
    <col min="11" max="11" width="9" style="146"/>
    <col min="12" max="14" width="9" style="146" customWidth="1"/>
    <col min="15" max="15" width="9" style="195" customWidth="1"/>
    <col min="16" max="19" width="9" style="146"/>
    <col min="20" max="20" width="10.83203125" style="146" customWidth="1"/>
    <col min="21" max="22" width="9" style="146"/>
    <col min="23" max="23" width="9" style="195"/>
    <col min="24" max="25" width="9" style="146"/>
    <col min="26" max="26" width="25.5" style="344" customWidth="1"/>
    <col min="27" max="27" width="23.83203125" style="256" customWidth="1"/>
    <col min="28" max="28" width="9" style="195"/>
    <col min="29" max="29" width="9" style="146"/>
    <col min="30" max="30" width="9" style="271"/>
    <col min="31" max="32" width="9" style="146"/>
    <col min="33" max="33" width="9" style="271"/>
    <col min="34" max="16384" width="9" style="146"/>
  </cols>
  <sheetData>
    <row r="1" spans="1:33" s="193" customFormat="1" ht="84" x14ac:dyDescent="0.2">
      <c r="A1" s="194" t="s">
        <v>997</v>
      </c>
      <c r="B1" s="197" t="s">
        <v>998</v>
      </c>
      <c r="C1" s="194" t="s">
        <v>1179</v>
      </c>
      <c r="D1" s="194" t="s">
        <v>6</v>
      </c>
      <c r="E1" s="197" t="s">
        <v>2</v>
      </c>
      <c r="F1" s="197" t="s">
        <v>996</v>
      </c>
      <c r="G1" s="198" t="s">
        <v>1180</v>
      </c>
      <c r="H1" s="197" t="s">
        <v>1181</v>
      </c>
      <c r="I1" s="194" t="s">
        <v>1182</v>
      </c>
      <c r="J1" s="341" t="s">
        <v>1183</v>
      </c>
      <c r="K1" s="197" t="s">
        <v>1184</v>
      </c>
      <c r="L1" s="197" t="s">
        <v>632</v>
      </c>
      <c r="M1" s="259" t="s">
        <v>1185</v>
      </c>
      <c r="N1" s="197" t="s">
        <v>1186</v>
      </c>
      <c r="O1" s="343" t="s">
        <v>1187</v>
      </c>
      <c r="P1" s="197" t="s">
        <v>1188</v>
      </c>
      <c r="Q1" s="197" t="s">
        <v>1189</v>
      </c>
      <c r="R1" s="197" t="s">
        <v>1190</v>
      </c>
      <c r="S1" s="197" t="s">
        <v>1191</v>
      </c>
      <c r="T1" s="200" t="s">
        <v>1192</v>
      </c>
      <c r="U1" s="200" t="s">
        <v>1193</v>
      </c>
      <c r="V1" s="200" t="s">
        <v>1194</v>
      </c>
      <c r="W1" s="343" t="s">
        <v>1195</v>
      </c>
      <c r="X1" s="200" t="s">
        <v>1196</v>
      </c>
      <c r="Y1" s="200" t="s">
        <v>1197</v>
      </c>
      <c r="Z1" s="194" t="s">
        <v>1198</v>
      </c>
      <c r="AA1" s="197" t="s">
        <v>11</v>
      </c>
      <c r="AB1" s="349"/>
      <c r="AD1" s="270"/>
      <c r="AG1" s="270"/>
    </row>
    <row r="2" spans="1:33" x14ac:dyDescent="0.2">
      <c r="A2" s="195" t="s">
        <v>1071</v>
      </c>
      <c r="B2" s="251">
        <v>0.58333333333333337</v>
      </c>
      <c r="C2" s="195">
        <v>34</v>
      </c>
      <c r="D2" s="195" t="s">
        <v>1021</v>
      </c>
      <c r="E2" s="146">
        <v>60</v>
      </c>
      <c r="F2" s="144" t="s">
        <v>72</v>
      </c>
      <c r="I2" s="195" t="s">
        <v>1199</v>
      </c>
      <c r="J2" s="277">
        <v>1</v>
      </c>
      <c r="K2" s="278">
        <v>10</v>
      </c>
      <c r="L2" s="146">
        <v>442</v>
      </c>
      <c r="M2" s="146" t="s">
        <v>1200</v>
      </c>
      <c r="N2" s="278">
        <v>20</v>
      </c>
      <c r="O2" s="195" t="s">
        <v>1201</v>
      </c>
      <c r="P2" s="146" t="s">
        <v>1202</v>
      </c>
      <c r="AA2" s="256" t="s">
        <v>1203</v>
      </c>
    </row>
    <row r="3" spans="1:33" x14ac:dyDescent="0.2">
      <c r="A3" s="195" t="s">
        <v>1071</v>
      </c>
      <c r="B3" s="251">
        <v>0.625</v>
      </c>
      <c r="C3" s="195">
        <v>31</v>
      </c>
      <c r="D3" s="195" t="s">
        <v>1204</v>
      </c>
      <c r="E3" s="146">
        <v>60</v>
      </c>
      <c r="F3" s="144" t="s">
        <v>72</v>
      </c>
      <c r="I3" s="195" t="s">
        <v>1199</v>
      </c>
      <c r="J3" s="277">
        <v>1</v>
      </c>
      <c r="K3" s="278">
        <v>10</v>
      </c>
      <c r="L3" s="146">
        <v>442</v>
      </c>
      <c r="M3" s="146" t="s">
        <v>1200</v>
      </c>
      <c r="N3" s="278">
        <v>20</v>
      </c>
      <c r="O3" s="195" t="s">
        <v>1201</v>
      </c>
      <c r="P3" s="146" t="s">
        <v>1202</v>
      </c>
      <c r="AA3" s="256" t="s">
        <v>1203</v>
      </c>
    </row>
    <row r="4" spans="1:33" x14ac:dyDescent="0.2">
      <c r="A4" s="195" t="s">
        <v>1071</v>
      </c>
      <c r="B4" s="251">
        <v>0.66666666666666663</v>
      </c>
      <c r="C4" s="195">
        <v>35</v>
      </c>
      <c r="D4" s="195" t="s">
        <v>1205</v>
      </c>
      <c r="E4" s="146">
        <v>30</v>
      </c>
      <c r="F4" s="144" t="s">
        <v>80</v>
      </c>
      <c r="I4" s="195" t="s">
        <v>1199</v>
      </c>
      <c r="J4" s="277">
        <v>1</v>
      </c>
      <c r="K4" s="278">
        <v>10</v>
      </c>
      <c r="L4" s="146">
        <v>442</v>
      </c>
      <c r="M4" s="146" t="s">
        <v>1200</v>
      </c>
      <c r="N4" s="278">
        <v>20</v>
      </c>
      <c r="O4" s="195" t="s">
        <v>1201</v>
      </c>
      <c r="P4" s="146" t="s">
        <v>1202</v>
      </c>
      <c r="AA4" s="256" t="s">
        <v>1206</v>
      </c>
    </row>
    <row r="5" spans="1:33" x14ac:dyDescent="0.2">
      <c r="A5" s="195" t="s">
        <v>1207</v>
      </c>
      <c r="B5" s="251">
        <v>0.58333333333333337</v>
      </c>
      <c r="C5" s="195">
        <v>34</v>
      </c>
      <c r="D5" s="195" t="s">
        <v>1021</v>
      </c>
      <c r="E5" s="146">
        <v>60</v>
      </c>
      <c r="F5" s="144" t="s">
        <v>72</v>
      </c>
      <c r="I5" s="195" t="s">
        <v>1199</v>
      </c>
      <c r="J5" s="277">
        <v>1</v>
      </c>
      <c r="K5" s="278">
        <v>10</v>
      </c>
      <c r="L5" s="146">
        <v>442</v>
      </c>
      <c r="M5" s="146" t="s">
        <v>1200</v>
      </c>
      <c r="N5" s="278">
        <v>20</v>
      </c>
      <c r="O5" s="195" t="s">
        <v>1208</v>
      </c>
      <c r="P5" s="146" t="s">
        <v>1209</v>
      </c>
      <c r="Z5" s="344" t="s">
        <v>1210</v>
      </c>
      <c r="AA5" s="256" t="s">
        <v>1211</v>
      </c>
    </row>
    <row r="6" spans="1:33" x14ac:dyDescent="0.2">
      <c r="A6" s="195" t="s">
        <v>1207</v>
      </c>
      <c r="B6" s="251">
        <v>0.58333333333333337</v>
      </c>
      <c r="C6" s="195">
        <v>34</v>
      </c>
      <c r="D6" s="195" t="s">
        <v>1021</v>
      </c>
      <c r="E6" s="146">
        <v>60</v>
      </c>
      <c r="F6" s="144" t="s">
        <v>72</v>
      </c>
      <c r="I6" s="195" t="s">
        <v>1199</v>
      </c>
      <c r="J6" s="277">
        <v>1</v>
      </c>
      <c r="K6" s="278">
        <v>10</v>
      </c>
      <c r="L6" s="146">
        <v>442</v>
      </c>
      <c r="M6" s="146" t="s">
        <v>1200</v>
      </c>
      <c r="N6" s="278">
        <v>20</v>
      </c>
      <c r="O6" s="195" t="s">
        <v>1212</v>
      </c>
      <c r="P6" s="146" t="s">
        <v>1209</v>
      </c>
      <c r="AA6" s="256" t="s">
        <v>1213</v>
      </c>
    </row>
    <row r="7" spans="1:33" x14ac:dyDescent="0.2">
      <c r="A7" s="195" t="s">
        <v>1207</v>
      </c>
      <c r="B7" s="251">
        <v>0.625</v>
      </c>
      <c r="C7" s="195">
        <v>34</v>
      </c>
      <c r="D7" s="195" t="s">
        <v>1021</v>
      </c>
      <c r="E7" s="146">
        <v>60</v>
      </c>
      <c r="F7" s="144" t="s">
        <v>72</v>
      </c>
      <c r="I7" s="195" t="s">
        <v>1199</v>
      </c>
      <c r="J7" s="277">
        <v>1</v>
      </c>
      <c r="K7" s="278">
        <v>10</v>
      </c>
      <c r="L7" s="146">
        <v>442</v>
      </c>
      <c r="M7" s="146" t="s">
        <v>1200</v>
      </c>
      <c r="N7" s="278">
        <v>20</v>
      </c>
      <c r="O7" s="195" t="s">
        <v>1214</v>
      </c>
      <c r="P7" s="146" t="s">
        <v>1209</v>
      </c>
      <c r="Z7" s="344" t="s">
        <v>1215</v>
      </c>
      <c r="AA7" s="256" t="s">
        <v>1216</v>
      </c>
    </row>
    <row r="8" spans="1:33" x14ac:dyDescent="0.2">
      <c r="A8" s="195" t="s">
        <v>1207</v>
      </c>
      <c r="B8" s="251">
        <v>0.625</v>
      </c>
      <c r="C8" s="195">
        <v>34</v>
      </c>
      <c r="D8" s="195" t="s">
        <v>1021</v>
      </c>
      <c r="E8" s="146">
        <v>60</v>
      </c>
      <c r="F8" s="144" t="s">
        <v>72</v>
      </c>
      <c r="I8" s="195" t="s">
        <v>1199</v>
      </c>
      <c r="J8" s="277">
        <v>1</v>
      </c>
      <c r="K8" s="278">
        <v>10</v>
      </c>
      <c r="L8" s="146">
        <v>442</v>
      </c>
      <c r="M8" s="146" t="s">
        <v>1200</v>
      </c>
      <c r="N8" s="278">
        <v>20</v>
      </c>
      <c r="O8" s="195" t="s">
        <v>1208</v>
      </c>
      <c r="P8" s="146" t="s">
        <v>1209</v>
      </c>
      <c r="Z8" s="344" t="s">
        <v>1217</v>
      </c>
      <c r="AA8" s="256" t="s">
        <v>1218</v>
      </c>
    </row>
    <row r="9" spans="1:33" x14ac:dyDescent="0.2">
      <c r="A9" s="195" t="s">
        <v>1219</v>
      </c>
      <c r="B9" s="251">
        <v>0.45833333333333331</v>
      </c>
      <c r="C9" s="195">
        <v>34</v>
      </c>
      <c r="D9" s="195" t="s">
        <v>1021</v>
      </c>
      <c r="E9" s="146">
        <v>60</v>
      </c>
      <c r="F9" s="144" t="s">
        <v>72</v>
      </c>
      <c r="G9" s="199"/>
      <c r="I9" s="195" t="s">
        <v>1199</v>
      </c>
      <c r="J9" s="277">
        <v>1</v>
      </c>
      <c r="K9" s="278">
        <v>10</v>
      </c>
      <c r="L9" s="146">
        <v>442</v>
      </c>
      <c r="M9" s="146" t="s">
        <v>1220</v>
      </c>
      <c r="N9" s="278">
        <v>20</v>
      </c>
      <c r="O9" s="195" t="s">
        <v>1208</v>
      </c>
      <c r="P9" s="146" t="s">
        <v>1209</v>
      </c>
      <c r="Z9" s="344" t="s">
        <v>1221</v>
      </c>
      <c r="AA9" s="350" t="s">
        <v>1222</v>
      </c>
    </row>
    <row r="10" spans="1:33" x14ac:dyDescent="0.2">
      <c r="A10" s="195" t="s">
        <v>1219</v>
      </c>
      <c r="B10" s="251">
        <v>0.47916666666666669</v>
      </c>
      <c r="C10" s="195">
        <v>34</v>
      </c>
      <c r="D10" s="195" t="s">
        <v>1021</v>
      </c>
      <c r="E10" s="146">
        <v>60</v>
      </c>
      <c r="F10" s="144" t="s">
        <v>72</v>
      </c>
      <c r="G10" s="199"/>
      <c r="I10" s="195" t="s">
        <v>1199</v>
      </c>
      <c r="J10" s="277">
        <v>1</v>
      </c>
      <c r="K10" s="278">
        <v>10</v>
      </c>
      <c r="L10" s="146">
        <v>442</v>
      </c>
      <c r="M10" s="146" t="s">
        <v>1220</v>
      </c>
      <c r="N10" s="278">
        <v>20</v>
      </c>
      <c r="O10" s="195" t="s">
        <v>1208</v>
      </c>
      <c r="P10" s="146" t="s">
        <v>1209</v>
      </c>
      <c r="Z10" s="344" t="s">
        <v>1223</v>
      </c>
      <c r="AA10" s="350" t="s">
        <v>1224</v>
      </c>
    </row>
    <row r="11" spans="1:33" x14ac:dyDescent="0.2">
      <c r="A11" s="195" t="s">
        <v>1219</v>
      </c>
      <c r="B11" s="251">
        <v>0.48958333333333331</v>
      </c>
      <c r="C11" s="195">
        <v>34</v>
      </c>
      <c r="D11" s="195" t="s">
        <v>1021</v>
      </c>
      <c r="E11" s="146">
        <v>60</v>
      </c>
      <c r="F11" s="144" t="s">
        <v>72</v>
      </c>
      <c r="G11" s="201" t="s">
        <v>1225</v>
      </c>
      <c r="I11" s="195" t="s">
        <v>1199</v>
      </c>
      <c r="J11" s="277">
        <v>1</v>
      </c>
      <c r="K11" s="278">
        <v>3</v>
      </c>
      <c r="L11" s="146">
        <v>442</v>
      </c>
      <c r="M11" s="146" t="s">
        <v>1220</v>
      </c>
      <c r="N11" s="278">
        <v>20</v>
      </c>
      <c r="O11" s="195" t="s">
        <v>1208</v>
      </c>
      <c r="P11" s="146" t="s">
        <v>1209</v>
      </c>
      <c r="Z11" s="344" t="s">
        <v>1226</v>
      </c>
      <c r="AA11" s="350" t="s">
        <v>1227</v>
      </c>
    </row>
    <row r="12" spans="1:33" x14ac:dyDescent="0.2">
      <c r="A12" s="196">
        <v>45454</v>
      </c>
      <c r="B12" s="251">
        <v>0.4375</v>
      </c>
      <c r="C12" s="195" t="s">
        <v>1228</v>
      </c>
      <c r="D12" s="195" t="s">
        <v>1229</v>
      </c>
      <c r="E12" s="146">
        <v>12</v>
      </c>
      <c r="F12" s="144" t="s">
        <v>299</v>
      </c>
      <c r="G12" s="195" t="s">
        <v>1225</v>
      </c>
      <c r="H12" s="146">
        <v>2084</v>
      </c>
      <c r="I12" s="195" t="s">
        <v>1199</v>
      </c>
      <c r="J12" s="277">
        <v>1</v>
      </c>
      <c r="K12" s="278">
        <v>3</v>
      </c>
      <c r="L12" s="146">
        <v>442</v>
      </c>
      <c r="M12" s="146" t="s">
        <v>1220</v>
      </c>
      <c r="N12" s="278">
        <v>20</v>
      </c>
      <c r="O12" s="195" t="s">
        <v>1208</v>
      </c>
      <c r="P12" s="146" t="s">
        <v>1209</v>
      </c>
      <c r="Q12" s="146" t="s">
        <v>1230</v>
      </c>
      <c r="R12" s="146">
        <v>1993</v>
      </c>
      <c r="S12" s="146">
        <v>2210</v>
      </c>
      <c r="T12" s="146">
        <v>2</v>
      </c>
      <c r="U12" s="146">
        <v>110</v>
      </c>
      <c r="V12" s="146" t="s">
        <v>1231</v>
      </c>
      <c r="W12" s="195">
        <v>621</v>
      </c>
      <c r="X12" s="146">
        <v>1600</v>
      </c>
      <c r="Y12" s="146">
        <v>2436</v>
      </c>
      <c r="Z12" s="344" t="s">
        <v>1232</v>
      </c>
      <c r="AA12" s="256" t="s">
        <v>1233</v>
      </c>
    </row>
    <row r="13" spans="1:33" x14ac:dyDescent="0.2">
      <c r="A13" s="196">
        <v>45454</v>
      </c>
      <c r="B13" s="251">
        <v>0.44791666666666669</v>
      </c>
      <c r="C13" s="195" t="s">
        <v>1228</v>
      </c>
      <c r="D13" s="195" t="s">
        <v>1229</v>
      </c>
      <c r="E13" s="146">
        <v>12</v>
      </c>
      <c r="F13" s="144" t="s">
        <v>299</v>
      </c>
      <c r="G13" s="195" t="s">
        <v>1234</v>
      </c>
      <c r="H13" s="146">
        <v>2100</v>
      </c>
      <c r="I13" s="195" t="s">
        <v>1199</v>
      </c>
      <c r="J13" s="277">
        <v>1</v>
      </c>
      <c r="K13" s="278">
        <v>3</v>
      </c>
      <c r="L13" s="146">
        <v>442</v>
      </c>
      <c r="M13" s="146" t="s">
        <v>1220</v>
      </c>
      <c r="N13" s="278">
        <v>20</v>
      </c>
      <c r="O13" s="195" t="s">
        <v>1208</v>
      </c>
      <c r="Q13" s="146" t="s">
        <v>1235</v>
      </c>
      <c r="R13" s="146">
        <v>1992</v>
      </c>
      <c r="S13" s="146">
        <v>2210</v>
      </c>
      <c r="T13" s="146">
        <v>2</v>
      </c>
      <c r="U13" s="146">
        <v>110</v>
      </c>
      <c r="V13" s="146" t="s">
        <v>1231</v>
      </c>
      <c r="W13" s="195">
        <v>621</v>
      </c>
      <c r="X13" s="146">
        <v>1600</v>
      </c>
      <c r="Y13" s="146">
        <v>2436</v>
      </c>
      <c r="Z13" s="344" t="s">
        <v>1236</v>
      </c>
      <c r="AA13" s="256" t="s">
        <v>1237</v>
      </c>
    </row>
    <row r="14" spans="1:33" x14ac:dyDescent="0.2">
      <c r="A14" s="196">
        <v>45454</v>
      </c>
      <c r="B14" s="251">
        <v>0.45833333333333331</v>
      </c>
      <c r="C14" s="195" t="s">
        <v>1228</v>
      </c>
      <c r="D14" s="195" t="s">
        <v>1229</v>
      </c>
      <c r="E14" s="146">
        <v>12</v>
      </c>
      <c r="F14" s="144" t="s">
        <v>299</v>
      </c>
      <c r="G14" s="195" t="s">
        <v>1225</v>
      </c>
      <c r="H14" s="146">
        <v>2029</v>
      </c>
      <c r="I14" s="195" t="s">
        <v>1199</v>
      </c>
      <c r="J14" s="277">
        <v>1</v>
      </c>
      <c r="K14" s="278">
        <v>3</v>
      </c>
      <c r="L14" s="146">
        <v>442</v>
      </c>
      <c r="M14" s="146" t="s">
        <v>1220</v>
      </c>
      <c r="N14" s="278">
        <v>20</v>
      </c>
      <c r="O14" s="195" t="s">
        <v>1208</v>
      </c>
      <c r="Q14" s="146" t="s">
        <v>1238</v>
      </c>
      <c r="R14" s="146">
        <v>1972</v>
      </c>
      <c r="S14" s="146">
        <v>2230</v>
      </c>
      <c r="T14" s="146">
        <v>2</v>
      </c>
      <c r="U14" s="146">
        <v>130</v>
      </c>
      <c r="V14" s="146" t="s">
        <v>1239</v>
      </c>
      <c r="W14" s="195">
        <v>621</v>
      </c>
      <c r="X14" s="146">
        <v>1600</v>
      </c>
      <c r="Y14" s="146">
        <v>2436</v>
      </c>
      <c r="Z14" s="344" t="s">
        <v>1240</v>
      </c>
      <c r="AA14" s="256" t="s">
        <v>1241</v>
      </c>
    </row>
    <row r="15" spans="1:33" x14ac:dyDescent="0.2">
      <c r="A15" s="196">
        <v>45454</v>
      </c>
      <c r="B15" s="251">
        <v>0.47916666666666669</v>
      </c>
      <c r="C15" s="195" t="s">
        <v>1228</v>
      </c>
      <c r="D15" s="195" t="s">
        <v>1229</v>
      </c>
      <c r="E15" s="146">
        <v>12</v>
      </c>
      <c r="F15" s="144" t="s">
        <v>299</v>
      </c>
      <c r="G15" s="195" t="s">
        <v>1234</v>
      </c>
      <c r="H15" s="146">
        <v>2148</v>
      </c>
      <c r="I15" s="195" t="s">
        <v>1199</v>
      </c>
      <c r="J15" s="277">
        <v>1</v>
      </c>
      <c r="K15" s="278">
        <v>3</v>
      </c>
      <c r="L15" s="146">
        <v>442</v>
      </c>
      <c r="M15" s="146" t="s">
        <v>1220</v>
      </c>
      <c r="N15" s="278">
        <v>20</v>
      </c>
      <c r="O15" s="195" t="s">
        <v>1208</v>
      </c>
      <c r="Q15" s="146" t="s">
        <v>1242</v>
      </c>
      <c r="R15" s="146">
        <v>1972</v>
      </c>
      <c r="S15" s="146">
        <v>2230</v>
      </c>
      <c r="T15" s="146">
        <v>2</v>
      </c>
      <c r="U15" s="146">
        <v>130</v>
      </c>
      <c r="V15" s="146" t="s">
        <v>1239</v>
      </c>
      <c r="W15" s="195">
        <v>621</v>
      </c>
      <c r="X15" s="146">
        <v>1600</v>
      </c>
      <c r="Y15" s="146">
        <v>2436</v>
      </c>
      <c r="Z15" s="344" t="s">
        <v>1243</v>
      </c>
      <c r="AA15" s="256" t="s">
        <v>1244</v>
      </c>
    </row>
    <row r="16" spans="1:33" x14ac:dyDescent="0.2">
      <c r="A16" s="196">
        <v>45454</v>
      </c>
      <c r="B16" s="251">
        <v>0.5</v>
      </c>
      <c r="C16" s="195" t="s">
        <v>1228</v>
      </c>
      <c r="D16" s="195" t="s">
        <v>1229</v>
      </c>
      <c r="E16" s="146">
        <v>12</v>
      </c>
      <c r="F16" s="144" t="s">
        <v>299</v>
      </c>
      <c r="G16" s="195" t="s">
        <v>1234</v>
      </c>
      <c r="H16" s="146">
        <v>2154</v>
      </c>
      <c r="I16" s="195" t="s">
        <v>1199</v>
      </c>
      <c r="J16" s="277">
        <v>1</v>
      </c>
      <c r="K16" s="278">
        <v>3</v>
      </c>
      <c r="L16" s="146">
        <v>442</v>
      </c>
      <c r="M16" s="146" t="s">
        <v>1220</v>
      </c>
      <c r="N16" s="278">
        <v>50</v>
      </c>
      <c r="O16" s="195" t="s">
        <v>1208</v>
      </c>
      <c r="Q16" s="146" t="s">
        <v>1245</v>
      </c>
      <c r="R16" s="146">
        <v>2108</v>
      </c>
      <c r="S16" s="146">
        <v>2202</v>
      </c>
      <c r="T16" s="146">
        <v>2</v>
      </c>
      <c r="U16" s="146">
        <v>48</v>
      </c>
      <c r="V16" s="146" t="s">
        <v>1246</v>
      </c>
      <c r="W16" s="195">
        <v>621</v>
      </c>
      <c r="X16" s="146">
        <v>1600</v>
      </c>
      <c r="Y16" s="146">
        <v>2436</v>
      </c>
      <c r="Z16" s="344" t="s">
        <v>1247</v>
      </c>
      <c r="AA16" s="256" t="s">
        <v>1248</v>
      </c>
    </row>
    <row r="17" spans="1:27" x14ac:dyDescent="0.2">
      <c r="A17" s="196">
        <v>45454</v>
      </c>
      <c r="B17" s="251">
        <v>0.4375</v>
      </c>
      <c r="C17" s="195" t="s">
        <v>1228</v>
      </c>
      <c r="D17" s="195" t="s">
        <v>1229</v>
      </c>
      <c r="E17" s="146">
        <v>12</v>
      </c>
      <c r="F17" s="144" t="s">
        <v>299</v>
      </c>
      <c r="G17" s="195" t="s">
        <v>1225</v>
      </c>
      <c r="H17" s="146" t="s">
        <v>1249</v>
      </c>
      <c r="I17" s="195" t="s">
        <v>1199</v>
      </c>
      <c r="J17" s="277">
        <v>1</v>
      </c>
      <c r="K17" s="278">
        <v>3</v>
      </c>
      <c r="L17" s="146">
        <v>442</v>
      </c>
      <c r="M17" s="146" t="s">
        <v>1220</v>
      </c>
      <c r="N17" s="278">
        <v>20</v>
      </c>
      <c r="O17" s="195" t="s">
        <v>1208</v>
      </c>
      <c r="P17" s="146" t="s">
        <v>1209</v>
      </c>
      <c r="R17" s="146">
        <v>1980</v>
      </c>
      <c r="S17" s="146">
        <v>2220</v>
      </c>
      <c r="T17" s="146">
        <v>2</v>
      </c>
      <c r="U17" s="146">
        <v>120</v>
      </c>
      <c r="V17" s="146" t="s">
        <v>1250</v>
      </c>
      <c r="W17" s="195">
        <v>621</v>
      </c>
      <c r="X17" s="146">
        <v>1600</v>
      </c>
      <c r="Y17" s="146">
        <v>2436</v>
      </c>
      <c r="Z17" s="344" t="s">
        <v>1251</v>
      </c>
      <c r="AA17" s="256" t="s">
        <v>1244</v>
      </c>
    </row>
    <row r="18" spans="1:27" x14ac:dyDescent="0.2">
      <c r="A18" s="195" t="s">
        <v>1095</v>
      </c>
      <c r="B18" s="251">
        <v>0.4375</v>
      </c>
      <c r="C18" s="195">
        <v>128</v>
      </c>
      <c r="D18" s="195" t="s">
        <v>22</v>
      </c>
      <c r="E18" s="146">
        <v>500</v>
      </c>
      <c r="F18" s="7" t="s">
        <v>479</v>
      </c>
      <c r="H18" s="146" t="s">
        <v>1249</v>
      </c>
      <c r="I18" s="195" t="s">
        <v>1199</v>
      </c>
      <c r="J18" s="277">
        <v>1</v>
      </c>
      <c r="K18" s="146">
        <v>4</v>
      </c>
      <c r="L18" s="146">
        <v>442</v>
      </c>
      <c r="M18" s="146" t="s">
        <v>1220</v>
      </c>
      <c r="N18" s="146">
        <v>20</v>
      </c>
      <c r="O18" s="195" t="s">
        <v>1208</v>
      </c>
      <c r="R18" s="146">
        <v>-795</v>
      </c>
      <c r="S18" s="146">
        <v>-48</v>
      </c>
      <c r="T18" s="146">
        <v>3</v>
      </c>
      <c r="V18" s="146" t="s">
        <v>1252</v>
      </c>
      <c r="W18" s="195">
        <v>621</v>
      </c>
      <c r="X18" s="146">
        <v>1600</v>
      </c>
      <c r="Y18" s="146">
        <v>2436</v>
      </c>
      <c r="Z18" s="344" t="s">
        <v>1253</v>
      </c>
    </row>
    <row r="19" spans="1:27" x14ac:dyDescent="0.2">
      <c r="A19" s="195" t="s">
        <v>1095</v>
      </c>
      <c r="B19" s="251">
        <v>0.4375</v>
      </c>
      <c r="C19" s="195">
        <v>128</v>
      </c>
      <c r="D19" s="195" t="s">
        <v>22</v>
      </c>
      <c r="E19" s="146">
        <v>500</v>
      </c>
      <c r="F19" s="7" t="s">
        <v>479</v>
      </c>
      <c r="I19" s="195" t="s">
        <v>1199</v>
      </c>
      <c r="J19" s="277">
        <v>1</v>
      </c>
      <c r="K19" s="146">
        <v>4</v>
      </c>
      <c r="L19" s="146">
        <v>442</v>
      </c>
      <c r="M19" s="146" t="s">
        <v>1220</v>
      </c>
      <c r="N19" s="146">
        <v>20</v>
      </c>
      <c r="O19" s="195" t="s">
        <v>1208</v>
      </c>
      <c r="R19" s="146">
        <v>-795</v>
      </c>
      <c r="S19" s="146">
        <v>-48</v>
      </c>
      <c r="T19" s="146">
        <v>3</v>
      </c>
      <c r="V19" s="146" t="s">
        <v>1252</v>
      </c>
      <c r="W19" s="195">
        <v>621</v>
      </c>
      <c r="X19" s="146">
        <v>1600</v>
      </c>
      <c r="Y19" s="146">
        <v>2436</v>
      </c>
      <c r="Z19" s="344" t="s">
        <v>1254</v>
      </c>
    </row>
    <row r="20" spans="1:27" x14ac:dyDescent="0.2">
      <c r="A20" s="195" t="s">
        <v>1095</v>
      </c>
      <c r="B20" s="251">
        <v>0.4375</v>
      </c>
      <c r="C20" s="195">
        <v>171</v>
      </c>
      <c r="D20" s="195" t="s">
        <v>22</v>
      </c>
      <c r="E20" s="146">
        <v>500</v>
      </c>
      <c r="F20" s="7" t="s">
        <v>531</v>
      </c>
      <c r="I20" s="195" t="s">
        <v>1199</v>
      </c>
      <c r="J20" s="277">
        <v>1</v>
      </c>
      <c r="K20" s="146">
        <v>4</v>
      </c>
      <c r="L20" s="146">
        <v>442</v>
      </c>
      <c r="M20" s="146" t="s">
        <v>1220</v>
      </c>
      <c r="N20" s="146">
        <v>20</v>
      </c>
      <c r="O20" s="195" t="s">
        <v>1208</v>
      </c>
      <c r="R20" s="146">
        <v>-795</v>
      </c>
      <c r="S20" s="146">
        <v>-48</v>
      </c>
      <c r="T20" s="146">
        <v>3</v>
      </c>
      <c r="V20" s="146" t="s">
        <v>1252</v>
      </c>
      <c r="W20" s="195">
        <v>621</v>
      </c>
      <c r="X20" s="146">
        <v>1600</v>
      </c>
      <c r="Y20" s="146">
        <v>2436</v>
      </c>
      <c r="Z20" s="344" t="s">
        <v>1255</v>
      </c>
    </row>
    <row r="21" spans="1:27" x14ac:dyDescent="0.2">
      <c r="A21" s="195" t="s">
        <v>1095</v>
      </c>
      <c r="B21" s="251">
        <v>0.4375</v>
      </c>
      <c r="C21" s="195">
        <v>171</v>
      </c>
      <c r="D21" s="195" t="s">
        <v>22</v>
      </c>
      <c r="E21" s="146">
        <v>500</v>
      </c>
      <c r="F21" s="7" t="s">
        <v>531</v>
      </c>
      <c r="I21" s="195" t="s">
        <v>1199</v>
      </c>
      <c r="J21" s="277">
        <v>1</v>
      </c>
      <c r="K21" s="146">
        <v>4</v>
      </c>
      <c r="L21" s="146">
        <v>442</v>
      </c>
      <c r="M21" s="146" t="s">
        <v>1220</v>
      </c>
      <c r="N21" s="146">
        <v>20</v>
      </c>
      <c r="O21" s="195" t="s">
        <v>1208</v>
      </c>
      <c r="R21" s="146">
        <v>-1800</v>
      </c>
      <c r="S21" s="146">
        <v>-606</v>
      </c>
      <c r="T21" s="146">
        <v>6</v>
      </c>
      <c r="U21" s="146">
        <v>200</v>
      </c>
      <c r="V21" s="146">
        <v>30</v>
      </c>
      <c r="W21" s="195">
        <v>621</v>
      </c>
      <c r="X21" s="146">
        <v>1600</v>
      </c>
      <c r="Y21" s="146">
        <v>2436</v>
      </c>
      <c r="Z21" s="344" t="s">
        <v>1256</v>
      </c>
    </row>
    <row r="22" spans="1:27" x14ac:dyDescent="0.2">
      <c r="A22" s="195" t="s">
        <v>1095</v>
      </c>
      <c r="B22" s="251">
        <v>0.4375</v>
      </c>
      <c r="C22" s="195">
        <v>171</v>
      </c>
      <c r="D22" s="195" t="s">
        <v>22</v>
      </c>
      <c r="E22" s="146">
        <v>500</v>
      </c>
      <c r="F22" s="7" t="s">
        <v>531</v>
      </c>
      <c r="I22" s="195" t="s">
        <v>1199</v>
      </c>
      <c r="J22" s="277">
        <v>1</v>
      </c>
      <c r="K22" s="146">
        <v>4</v>
      </c>
      <c r="L22" s="146">
        <v>442</v>
      </c>
      <c r="M22" s="146" t="s">
        <v>1220</v>
      </c>
      <c r="N22" s="146">
        <v>20</v>
      </c>
      <c r="O22" s="195" t="s">
        <v>1208</v>
      </c>
      <c r="R22" s="146">
        <v>-1800</v>
      </c>
      <c r="S22" s="146">
        <v>-606</v>
      </c>
      <c r="T22" s="146">
        <v>6</v>
      </c>
      <c r="U22" s="146">
        <v>200</v>
      </c>
      <c r="V22" s="146">
        <v>30</v>
      </c>
      <c r="W22" s="195">
        <v>621</v>
      </c>
      <c r="X22" s="146">
        <v>1600</v>
      </c>
      <c r="Y22" s="146">
        <v>2436</v>
      </c>
      <c r="Z22" s="344" t="s">
        <v>1257</v>
      </c>
    </row>
    <row r="23" spans="1:27" x14ac:dyDescent="0.2">
      <c r="A23" s="195" t="s">
        <v>1258</v>
      </c>
      <c r="B23" s="251">
        <v>0.3888888888888889</v>
      </c>
      <c r="C23" s="195">
        <v>263</v>
      </c>
      <c r="D23" s="195" t="s">
        <v>22</v>
      </c>
      <c r="E23" s="146">
        <v>60</v>
      </c>
      <c r="F23" s="7" t="s">
        <v>639</v>
      </c>
      <c r="G23" s="195" t="s">
        <v>1259</v>
      </c>
      <c r="H23" s="146">
        <v>-2000</v>
      </c>
      <c r="I23" s="195" t="s">
        <v>1199</v>
      </c>
      <c r="J23" s="277">
        <v>1</v>
      </c>
      <c r="K23" s="146">
        <v>4</v>
      </c>
      <c r="L23" s="146">
        <v>442</v>
      </c>
      <c r="M23" s="146" t="s">
        <v>1220</v>
      </c>
      <c r="N23" s="146">
        <v>20</v>
      </c>
      <c r="O23" s="195" t="s">
        <v>1208</v>
      </c>
      <c r="R23" s="146">
        <v>-1779</v>
      </c>
      <c r="S23" s="146">
        <v>-2335</v>
      </c>
      <c r="T23" s="146">
        <v>4</v>
      </c>
      <c r="U23" s="146">
        <v>140</v>
      </c>
      <c r="V23" s="146" t="s">
        <v>1260</v>
      </c>
      <c r="W23" s="195">
        <v>621</v>
      </c>
      <c r="X23" s="146">
        <v>1600</v>
      </c>
      <c r="Y23" s="146">
        <v>2436</v>
      </c>
      <c r="AA23" s="256" t="s">
        <v>1261</v>
      </c>
    </row>
    <row r="24" spans="1:27" x14ac:dyDescent="0.2">
      <c r="A24" s="195" t="s">
        <v>1258</v>
      </c>
      <c r="B24" s="251">
        <v>0.39583333333333331</v>
      </c>
      <c r="C24" s="195">
        <v>263</v>
      </c>
      <c r="D24" s="195" t="s">
        <v>22</v>
      </c>
      <c r="E24" s="146">
        <v>60</v>
      </c>
      <c r="F24" s="146" t="s">
        <v>639</v>
      </c>
      <c r="G24" s="195" t="s">
        <v>1259</v>
      </c>
      <c r="H24" s="146">
        <v>-2000</v>
      </c>
      <c r="I24" s="195" t="s">
        <v>1199</v>
      </c>
      <c r="J24" s="277">
        <v>1</v>
      </c>
      <c r="K24" s="146">
        <v>4</v>
      </c>
      <c r="L24" s="146">
        <v>442</v>
      </c>
      <c r="M24" s="146" t="s">
        <v>1220</v>
      </c>
      <c r="N24" s="146">
        <v>20</v>
      </c>
      <c r="O24" s="195" t="s">
        <v>1208</v>
      </c>
      <c r="R24" s="146">
        <v>-1779</v>
      </c>
      <c r="S24" s="146">
        <v>-2335</v>
      </c>
      <c r="T24" s="146">
        <v>4</v>
      </c>
      <c r="U24" s="146">
        <v>140</v>
      </c>
      <c r="V24" s="146" t="s">
        <v>1260</v>
      </c>
      <c r="W24" s="195">
        <v>621</v>
      </c>
      <c r="X24" s="146">
        <v>1600</v>
      </c>
      <c r="Y24" s="146">
        <v>2436</v>
      </c>
      <c r="AA24" s="256" t="s">
        <v>1261</v>
      </c>
    </row>
    <row r="25" spans="1:27" x14ac:dyDescent="0.2">
      <c r="A25" s="195" t="s">
        <v>1258</v>
      </c>
      <c r="B25" s="251">
        <v>0.39930555555555558</v>
      </c>
      <c r="C25" s="195">
        <v>263</v>
      </c>
      <c r="D25" s="195" t="s">
        <v>22</v>
      </c>
      <c r="E25" s="146">
        <v>60</v>
      </c>
      <c r="F25" s="146" t="s">
        <v>639</v>
      </c>
      <c r="G25" s="195" t="s">
        <v>1262</v>
      </c>
      <c r="I25" s="195" t="s">
        <v>1199</v>
      </c>
      <c r="J25" s="277">
        <v>1</v>
      </c>
      <c r="K25" s="146">
        <v>4</v>
      </c>
      <c r="L25" s="146">
        <v>442</v>
      </c>
      <c r="M25" s="146" t="s">
        <v>1220</v>
      </c>
      <c r="N25" s="146">
        <v>20</v>
      </c>
      <c r="O25" s="195" t="s">
        <v>1208</v>
      </c>
      <c r="R25" s="146">
        <v>-1779</v>
      </c>
      <c r="S25" s="146">
        <v>-2335</v>
      </c>
      <c r="T25" s="146">
        <v>4</v>
      </c>
      <c r="U25" s="146">
        <v>140</v>
      </c>
      <c r="V25" s="146" t="s">
        <v>1260</v>
      </c>
      <c r="W25" s="195">
        <v>621</v>
      </c>
      <c r="X25" s="146">
        <v>1600</v>
      </c>
      <c r="Y25" s="146">
        <v>2436</v>
      </c>
      <c r="AA25" s="256" t="s">
        <v>1263</v>
      </c>
    </row>
    <row r="26" spans="1:27" x14ac:dyDescent="0.2">
      <c r="A26" s="195" t="s">
        <v>1258</v>
      </c>
      <c r="B26" s="251">
        <v>0.40625</v>
      </c>
      <c r="C26" s="195">
        <v>125</v>
      </c>
      <c r="D26" s="195" t="s">
        <v>22</v>
      </c>
      <c r="E26" s="146">
        <v>500</v>
      </c>
      <c r="F26" s="7" t="s">
        <v>475</v>
      </c>
      <c r="G26" s="195" t="s">
        <v>1259</v>
      </c>
      <c r="I26" s="195" t="s">
        <v>1199</v>
      </c>
      <c r="J26" s="277">
        <v>1</v>
      </c>
      <c r="K26" s="146">
        <v>4</v>
      </c>
      <c r="L26" s="146">
        <v>442</v>
      </c>
      <c r="M26" s="146" t="s">
        <v>1220</v>
      </c>
      <c r="N26" s="146">
        <v>20</v>
      </c>
      <c r="O26" s="195" t="s">
        <v>1208</v>
      </c>
      <c r="R26" s="146">
        <v>-3068</v>
      </c>
      <c r="S26" s="146">
        <v>-2600</v>
      </c>
      <c r="T26" s="146">
        <v>4</v>
      </c>
      <c r="U26" s="146">
        <v>140</v>
      </c>
      <c r="V26" s="146" t="s">
        <v>1260</v>
      </c>
      <c r="W26" s="195">
        <v>621</v>
      </c>
      <c r="X26" s="146">
        <v>1600</v>
      </c>
      <c r="Y26" s="146">
        <v>2436</v>
      </c>
      <c r="AA26" s="256" t="s">
        <v>1264</v>
      </c>
    </row>
    <row r="27" spans="1:27" x14ac:dyDescent="0.2">
      <c r="A27" s="195" t="s">
        <v>1258</v>
      </c>
      <c r="B27" s="251">
        <v>0.41666666666666669</v>
      </c>
      <c r="C27" s="195">
        <v>125</v>
      </c>
      <c r="D27" s="195" t="s">
        <v>22</v>
      </c>
      <c r="E27" s="146">
        <v>500</v>
      </c>
      <c r="F27" s="7" t="s">
        <v>475</v>
      </c>
      <c r="G27" s="195" t="s">
        <v>1259</v>
      </c>
      <c r="I27" s="195" t="s">
        <v>1199</v>
      </c>
      <c r="J27" s="277">
        <v>1</v>
      </c>
      <c r="K27" s="146">
        <v>4</v>
      </c>
      <c r="L27" s="146">
        <v>442</v>
      </c>
      <c r="M27" s="146" t="s">
        <v>1220</v>
      </c>
      <c r="N27" s="146">
        <v>20</v>
      </c>
      <c r="O27" s="195" t="s">
        <v>1208</v>
      </c>
      <c r="R27" s="146">
        <v>-3068</v>
      </c>
      <c r="S27" s="146">
        <v>-2600</v>
      </c>
      <c r="T27" s="146">
        <v>4</v>
      </c>
      <c r="U27" s="146">
        <v>140</v>
      </c>
      <c r="V27" s="146" t="s">
        <v>1260</v>
      </c>
      <c r="W27" s="195">
        <v>621</v>
      </c>
      <c r="X27" s="146">
        <v>1600</v>
      </c>
      <c r="Y27" s="146">
        <v>2436</v>
      </c>
      <c r="AA27" s="256" t="s">
        <v>1264</v>
      </c>
    </row>
    <row r="28" spans="1:27" x14ac:dyDescent="0.2">
      <c r="A28" s="195" t="s">
        <v>1258</v>
      </c>
      <c r="B28" s="251">
        <v>0.43402777777777779</v>
      </c>
      <c r="C28" s="195">
        <v>125</v>
      </c>
      <c r="D28" s="195" t="s">
        <v>22</v>
      </c>
      <c r="E28" s="146">
        <v>500</v>
      </c>
      <c r="F28" s="7" t="s">
        <v>475</v>
      </c>
      <c r="G28" s="195" t="s">
        <v>1262</v>
      </c>
      <c r="I28" s="195" t="s">
        <v>1199</v>
      </c>
      <c r="J28" s="277">
        <v>1</v>
      </c>
      <c r="K28" s="146">
        <v>4</v>
      </c>
      <c r="L28" s="146">
        <v>442</v>
      </c>
      <c r="M28" s="146" t="s">
        <v>1220</v>
      </c>
      <c r="N28" s="146">
        <v>20</v>
      </c>
      <c r="O28" s="195" t="s">
        <v>1208</v>
      </c>
      <c r="R28" s="146">
        <v>-3068</v>
      </c>
      <c r="S28" s="146">
        <v>-2600</v>
      </c>
      <c r="T28" s="146">
        <v>4</v>
      </c>
      <c r="U28" s="146">
        <v>140</v>
      </c>
      <c r="V28" s="146" t="s">
        <v>1260</v>
      </c>
      <c r="W28" s="195">
        <v>621</v>
      </c>
      <c r="X28" s="146">
        <v>1600</v>
      </c>
      <c r="Y28" s="146">
        <v>2436</v>
      </c>
      <c r="AA28" s="256" t="s">
        <v>1265</v>
      </c>
    </row>
    <row r="29" spans="1:27" x14ac:dyDescent="0.2">
      <c r="A29" s="195" t="s">
        <v>1258</v>
      </c>
      <c r="B29" s="251">
        <v>0.44791666666666669</v>
      </c>
      <c r="C29" s="195">
        <v>256</v>
      </c>
      <c r="D29" s="195" t="s">
        <v>22</v>
      </c>
      <c r="E29" s="146">
        <v>60</v>
      </c>
      <c r="F29" s="146" t="s">
        <v>639</v>
      </c>
      <c r="G29" s="195" t="s">
        <v>1259</v>
      </c>
      <c r="I29" s="195" t="s">
        <v>1199</v>
      </c>
      <c r="J29" s="277">
        <v>1</v>
      </c>
      <c r="K29" s="146">
        <v>4</v>
      </c>
      <c r="L29" s="146">
        <v>442</v>
      </c>
      <c r="M29" s="146" t="s">
        <v>1220</v>
      </c>
      <c r="N29" s="146">
        <v>20</v>
      </c>
      <c r="O29" s="195" t="s">
        <v>1208</v>
      </c>
      <c r="R29" s="146">
        <v>-2800</v>
      </c>
      <c r="S29" s="146">
        <v>-2244</v>
      </c>
      <c r="T29" s="146">
        <v>4</v>
      </c>
      <c r="U29" s="146">
        <v>140</v>
      </c>
      <c r="V29" s="146" t="s">
        <v>1260</v>
      </c>
      <c r="W29" s="195">
        <v>621</v>
      </c>
      <c r="X29" s="146">
        <v>1600</v>
      </c>
      <c r="Y29" s="146">
        <v>2436</v>
      </c>
      <c r="AA29" s="256" t="s">
        <v>1264</v>
      </c>
    </row>
    <row r="30" spans="1:27" x14ac:dyDescent="0.2">
      <c r="A30" s="195" t="s">
        <v>1258</v>
      </c>
      <c r="B30" s="251">
        <v>0.45833333333333331</v>
      </c>
      <c r="C30" s="195">
        <v>256</v>
      </c>
      <c r="D30" s="195" t="s">
        <v>22</v>
      </c>
      <c r="E30" s="146">
        <v>60</v>
      </c>
      <c r="F30" s="146" t="s">
        <v>639</v>
      </c>
      <c r="G30" s="195" t="s">
        <v>1262</v>
      </c>
      <c r="I30" s="195" t="s">
        <v>1199</v>
      </c>
      <c r="J30" s="277">
        <v>1</v>
      </c>
      <c r="K30" s="146">
        <v>4</v>
      </c>
      <c r="L30" s="146">
        <v>442</v>
      </c>
      <c r="M30" s="146" t="s">
        <v>1220</v>
      </c>
      <c r="N30" s="146">
        <v>20</v>
      </c>
      <c r="O30" s="195" t="s">
        <v>1208</v>
      </c>
      <c r="R30" s="146">
        <v>-2800</v>
      </c>
      <c r="S30" s="146">
        <v>-2244</v>
      </c>
      <c r="T30" s="146">
        <v>4</v>
      </c>
      <c r="U30" s="146">
        <v>140</v>
      </c>
      <c r="V30" s="146" t="s">
        <v>1260</v>
      </c>
      <c r="W30" s="195">
        <v>621</v>
      </c>
      <c r="X30" s="146">
        <v>1600</v>
      </c>
      <c r="Y30" s="146">
        <v>2436</v>
      </c>
      <c r="AA30" s="256" t="s">
        <v>1265</v>
      </c>
    </row>
    <row r="31" spans="1:27" x14ac:dyDescent="0.2">
      <c r="A31" s="195" t="s">
        <v>1258</v>
      </c>
      <c r="B31" s="251">
        <v>0.46875</v>
      </c>
      <c r="C31" s="195">
        <v>131</v>
      </c>
      <c r="D31" s="195" t="s">
        <v>22</v>
      </c>
      <c r="E31" s="146">
        <v>500</v>
      </c>
      <c r="F31" s="146" t="s">
        <v>484</v>
      </c>
      <c r="G31" s="195" t="s">
        <v>1259</v>
      </c>
      <c r="I31" s="195" t="s">
        <v>1199</v>
      </c>
      <c r="J31" s="277">
        <v>1</v>
      </c>
      <c r="K31" s="146">
        <v>4</v>
      </c>
      <c r="L31" s="146">
        <v>442</v>
      </c>
      <c r="M31" s="146" t="s">
        <v>1220</v>
      </c>
      <c r="N31" s="146">
        <v>20</v>
      </c>
      <c r="O31" s="195" t="s">
        <v>1208</v>
      </c>
      <c r="R31" s="146">
        <v>-2580</v>
      </c>
      <c r="S31" s="146">
        <v>-3200</v>
      </c>
      <c r="T31" s="146">
        <v>4</v>
      </c>
      <c r="U31" s="146">
        <v>150</v>
      </c>
      <c r="V31" s="146" t="s">
        <v>1266</v>
      </c>
      <c r="W31" s="195">
        <v>621</v>
      </c>
      <c r="X31" s="146">
        <v>1600</v>
      </c>
      <c r="Y31" s="146">
        <v>2436</v>
      </c>
      <c r="AA31" s="256" t="s">
        <v>1261</v>
      </c>
    </row>
    <row r="32" spans="1:27" x14ac:dyDescent="0.2">
      <c r="A32" s="195" t="s">
        <v>1258</v>
      </c>
      <c r="B32" s="251">
        <v>0.47916666666666669</v>
      </c>
      <c r="C32" s="195">
        <v>131</v>
      </c>
      <c r="D32" s="195" t="s">
        <v>22</v>
      </c>
      <c r="E32" s="146">
        <v>500</v>
      </c>
      <c r="F32" s="146" t="s">
        <v>484</v>
      </c>
      <c r="G32" s="195" t="s">
        <v>1262</v>
      </c>
      <c r="I32" s="195" t="s">
        <v>1199</v>
      </c>
      <c r="J32" s="277">
        <v>1</v>
      </c>
      <c r="K32" s="146">
        <v>4</v>
      </c>
      <c r="L32" s="146">
        <v>442</v>
      </c>
      <c r="M32" s="146" t="s">
        <v>1220</v>
      </c>
      <c r="N32" s="146">
        <v>20</v>
      </c>
      <c r="O32" s="195" t="s">
        <v>1208</v>
      </c>
      <c r="R32" s="146">
        <v>-2580</v>
      </c>
      <c r="S32" s="146">
        <v>-3200</v>
      </c>
      <c r="T32" s="146">
        <v>4</v>
      </c>
      <c r="U32" s="146">
        <v>150</v>
      </c>
      <c r="V32" s="146" t="s">
        <v>1266</v>
      </c>
      <c r="W32" s="195">
        <v>621</v>
      </c>
      <c r="X32" s="146">
        <v>1600</v>
      </c>
      <c r="Y32" s="146">
        <v>2436</v>
      </c>
      <c r="AA32" s="256" t="s">
        <v>1263</v>
      </c>
    </row>
    <row r="33" spans="1:33" x14ac:dyDescent="0.2">
      <c r="A33" s="195" t="s">
        <v>1258</v>
      </c>
      <c r="B33" s="251">
        <v>0.48958333333333331</v>
      </c>
      <c r="C33" s="195">
        <v>131</v>
      </c>
      <c r="D33" s="195" t="s">
        <v>22</v>
      </c>
      <c r="E33" s="146">
        <v>500</v>
      </c>
      <c r="F33" s="146" t="s">
        <v>484</v>
      </c>
      <c r="G33" s="195" t="s">
        <v>1259</v>
      </c>
      <c r="I33" s="195" t="s">
        <v>1199</v>
      </c>
      <c r="J33" s="277">
        <v>1</v>
      </c>
      <c r="K33" s="146">
        <v>4</v>
      </c>
      <c r="L33" s="146">
        <v>442</v>
      </c>
      <c r="M33" s="146" t="s">
        <v>1220</v>
      </c>
      <c r="N33" s="146">
        <v>20</v>
      </c>
      <c r="O33" s="195" t="s">
        <v>1208</v>
      </c>
      <c r="R33" s="146">
        <v>-2580</v>
      </c>
      <c r="S33" s="146">
        <v>-3200</v>
      </c>
      <c r="T33" s="146">
        <v>4</v>
      </c>
      <c r="U33" s="146">
        <v>150</v>
      </c>
      <c r="V33" s="146" t="s">
        <v>1266</v>
      </c>
      <c r="W33" s="195">
        <v>621</v>
      </c>
      <c r="X33" s="146">
        <v>1600</v>
      </c>
      <c r="Y33" s="146">
        <v>2436</v>
      </c>
      <c r="AA33" s="256" t="s">
        <v>1261</v>
      </c>
    </row>
    <row r="34" spans="1:33" s="147" customFormat="1" x14ac:dyDescent="0.2">
      <c r="A34" s="226" t="s">
        <v>1267</v>
      </c>
      <c r="B34" s="232">
        <v>0.60416666666666663</v>
      </c>
      <c r="C34" s="226"/>
      <c r="D34" s="226" t="s">
        <v>22</v>
      </c>
      <c r="E34" s="147">
        <v>12</v>
      </c>
      <c r="G34" s="226"/>
      <c r="I34" s="226" t="s">
        <v>1199</v>
      </c>
      <c r="J34" s="254">
        <v>1</v>
      </c>
      <c r="K34" s="258">
        <v>10</v>
      </c>
      <c r="L34" s="147">
        <v>442</v>
      </c>
      <c r="M34" s="147" t="s">
        <v>1200</v>
      </c>
      <c r="N34" s="258">
        <v>20</v>
      </c>
      <c r="O34" s="226" t="s">
        <v>1136</v>
      </c>
      <c r="W34" s="226"/>
      <c r="Z34" s="345" t="s">
        <v>1268</v>
      </c>
      <c r="AA34" s="255"/>
      <c r="AB34" s="226"/>
      <c r="AD34" s="272"/>
      <c r="AG34" s="272"/>
    </row>
    <row r="35" spans="1:33" x14ac:dyDescent="0.2">
      <c r="A35" s="195" t="s">
        <v>1267</v>
      </c>
      <c r="B35" s="251">
        <v>0.60416666666666663</v>
      </c>
      <c r="D35" s="195" t="s">
        <v>22</v>
      </c>
      <c r="E35" s="146">
        <v>12</v>
      </c>
      <c r="I35" s="195" t="s">
        <v>1199</v>
      </c>
      <c r="J35" s="277">
        <v>1</v>
      </c>
      <c r="K35" s="278">
        <v>10</v>
      </c>
      <c r="L35" s="146">
        <v>442</v>
      </c>
      <c r="M35" s="146" t="s">
        <v>1200</v>
      </c>
      <c r="N35" s="278">
        <v>20</v>
      </c>
      <c r="O35" s="195" t="s">
        <v>1136</v>
      </c>
      <c r="Z35" s="344" t="s">
        <v>1269</v>
      </c>
    </row>
    <row r="36" spans="1:33" x14ac:dyDescent="0.2">
      <c r="A36" s="195" t="s">
        <v>1267</v>
      </c>
      <c r="B36" s="251">
        <v>0.60416666666666663</v>
      </c>
      <c r="D36" s="195" t="s">
        <v>22</v>
      </c>
      <c r="E36" s="146">
        <v>12</v>
      </c>
      <c r="I36" s="195" t="s">
        <v>1199</v>
      </c>
      <c r="J36" s="277">
        <v>1</v>
      </c>
      <c r="K36" s="278">
        <v>10</v>
      </c>
      <c r="L36" s="146">
        <v>442</v>
      </c>
      <c r="M36" s="146" t="s">
        <v>1200</v>
      </c>
      <c r="N36" s="278">
        <v>20</v>
      </c>
      <c r="O36" s="195" t="s">
        <v>1201</v>
      </c>
      <c r="Z36" s="344" t="s">
        <v>1270</v>
      </c>
    </row>
    <row r="37" spans="1:33" x14ac:dyDescent="0.2">
      <c r="A37" s="195" t="s">
        <v>1267</v>
      </c>
      <c r="B37" s="251">
        <v>0.60416666666666663</v>
      </c>
      <c r="D37" s="195" t="s">
        <v>22</v>
      </c>
      <c r="E37" s="146">
        <v>12</v>
      </c>
      <c r="I37" s="195" t="s">
        <v>1199</v>
      </c>
      <c r="J37" s="277">
        <v>1</v>
      </c>
      <c r="K37" s="278">
        <v>10</v>
      </c>
      <c r="L37" s="146">
        <v>442</v>
      </c>
      <c r="M37" s="146" t="s">
        <v>1200</v>
      </c>
      <c r="N37" s="278">
        <v>20</v>
      </c>
      <c r="O37" s="195" t="s">
        <v>1201</v>
      </c>
      <c r="Z37" s="344" t="s">
        <v>1271</v>
      </c>
    </row>
    <row r="38" spans="1:33" x14ac:dyDescent="0.2">
      <c r="A38" s="195" t="s">
        <v>1267</v>
      </c>
      <c r="B38" s="251">
        <v>0.60416666666666663</v>
      </c>
      <c r="D38" s="195" t="s">
        <v>22</v>
      </c>
      <c r="E38" s="146">
        <v>12</v>
      </c>
      <c r="I38" s="195" t="s">
        <v>1199</v>
      </c>
      <c r="J38" s="277">
        <v>1</v>
      </c>
      <c r="K38" s="278">
        <v>10</v>
      </c>
      <c r="L38" s="146">
        <v>442</v>
      </c>
      <c r="M38" s="146" t="s">
        <v>1200</v>
      </c>
      <c r="N38" s="278">
        <v>20</v>
      </c>
      <c r="O38" s="195" t="s">
        <v>1201</v>
      </c>
      <c r="Z38" s="344" t="s">
        <v>1272</v>
      </c>
    </row>
    <row r="39" spans="1:33" x14ac:dyDescent="0.2">
      <c r="A39" s="195" t="s">
        <v>1267</v>
      </c>
      <c r="B39" s="251">
        <v>0.60416666666666663</v>
      </c>
      <c r="D39" s="195" t="s">
        <v>22</v>
      </c>
      <c r="E39" s="146">
        <v>12</v>
      </c>
      <c r="I39" s="195" t="s">
        <v>1199</v>
      </c>
      <c r="J39" s="277">
        <v>1</v>
      </c>
      <c r="K39" s="278">
        <v>10</v>
      </c>
      <c r="L39" s="146">
        <v>442</v>
      </c>
      <c r="M39" s="146" t="s">
        <v>1200</v>
      </c>
      <c r="N39" s="278">
        <v>20</v>
      </c>
      <c r="O39" s="195" t="s">
        <v>1201</v>
      </c>
      <c r="Z39" s="344" t="s">
        <v>1273</v>
      </c>
    </row>
    <row r="40" spans="1:33" x14ac:dyDescent="0.2">
      <c r="A40" s="195" t="s">
        <v>1267</v>
      </c>
      <c r="B40" s="251">
        <v>0.60416666666666663</v>
      </c>
      <c r="D40" s="195" t="s">
        <v>22</v>
      </c>
      <c r="E40" s="146">
        <v>12</v>
      </c>
      <c r="I40" s="195" t="s">
        <v>1199</v>
      </c>
      <c r="J40" s="277">
        <v>1</v>
      </c>
      <c r="K40" s="278">
        <v>10</v>
      </c>
      <c r="L40" s="146">
        <v>442</v>
      </c>
      <c r="M40" s="146" t="s">
        <v>1200</v>
      </c>
      <c r="N40" s="278">
        <v>20</v>
      </c>
      <c r="O40" s="195" t="s">
        <v>1201</v>
      </c>
      <c r="Z40" s="344" t="s">
        <v>1274</v>
      </c>
    </row>
    <row r="41" spans="1:33" x14ac:dyDescent="0.2">
      <c r="A41" s="195" t="s">
        <v>1267</v>
      </c>
      <c r="B41" s="251">
        <v>0.60416666666666663</v>
      </c>
      <c r="D41" s="195" t="s">
        <v>22</v>
      </c>
      <c r="E41" s="146">
        <v>12</v>
      </c>
      <c r="I41" s="195" t="s">
        <v>1199</v>
      </c>
      <c r="J41" s="277">
        <v>1</v>
      </c>
      <c r="K41" s="278">
        <v>10</v>
      </c>
      <c r="L41" s="146">
        <v>442</v>
      </c>
      <c r="M41" s="146" t="s">
        <v>1200</v>
      </c>
      <c r="N41" s="278">
        <v>20</v>
      </c>
      <c r="O41" s="195" t="s">
        <v>1201</v>
      </c>
      <c r="Z41" s="344" t="s">
        <v>1275</v>
      </c>
    </row>
    <row r="42" spans="1:33" x14ac:dyDescent="0.2">
      <c r="A42" s="195" t="s">
        <v>1267</v>
      </c>
      <c r="B42" s="251">
        <v>0.60416666666666663</v>
      </c>
      <c r="D42" s="195" t="s">
        <v>22</v>
      </c>
      <c r="E42" s="146">
        <v>12</v>
      </c>
      <c r="I42" s="195" t="s">
        <v>1199</v>
      </c>
      <c r="J42" s="277">
        <v>1</v>
      </c>
      <c r="K42" s="278">
        <v>10</v>
      </c>
      <c r="L42" s="146">
        <v>442</v>
      </c>
      <c r="M42" s="146" t="s">
        <v>1200</v>
      </c>
      <c r="N42" s="278">
        <v>20</v>
      </c>
      <c r="O42" s="195" t="s">
        <v>1201</v>
      </c>
      <c r="Z42" s="344" t="s">
        <v>1276</v>
      </c>
    </row>
    <row r="43" spans="1:33" x14ac:dyDescent="0.2">
      <c r="A43" s="195" t="s">
        <v>1267</v>
      </c>
      <c r="B43" s="251">
        <v>0.60416666666666663</v>
      </c>
      <c r="D43" s="195" t="s">
        <v>22</v>
      </c>
      <c r="E43" s="146">
        <v>12</v>
      </c>
      <c r="I43" s="195" t="s">
        <v>1199</v>
      </c>
      <c r="J43" s="277">
        <v>1</v>
      </c>
      <c r="K43" s="278">
        <v>10</v>
      </c>
      <c r="L43" s="146">
        <v>442</v>
      </c>
      <c r="M43" s="146" t="s">
        <v>1200</v>
      </c>
      <c r="N43" s="278">
        <v>20</v>
      </c>
      <c r="O43" s="195" t="s">
        <v>1201</v>
      </c>
      <c r="Z43" s="344" t="s">
        <v>1277</v>
      </c>
    </row>
    <row r="44" spans="1:33" x14ac:dyDescent="0.2">
      <c r="A44" s="195" t="s">
        <v>1267</v>
      </c>
      <c r="B44" s="251">
        <v>0.60416666666666663</v>
      </c>
      <c r="D44" s="195" t="s">
        <v>22</v>
      </c>
      <c r="E44" s="146">
        <v>12</v>
      </c>
      <c r="I44" s="195" t="s">
        <v>1199</v>
      </c>
      <c r="J44" s="277">
        <v>1</v>
      </c>
      <c r="K44" s="278">
        <v>10</v>
      </c>
      <c r="L44" s="146">
        <v>442</v>
      </c>
      <c r="M44" s="146" t="s">
        <v>1200</v>
      </c>
      <c r="N44" s="278">
        <v>20</v>
      </c>
      <c r="O44" s="195" t="s">
        <v>1201</v>
      </c>
      <c r="Z44" s="344" t="s">
        <v>1278</v>
      </c>
    </row>
    <row r="45" spans="1:33" x14ac:dyDescent="0.2">
      <c r="A45" s="195" t="s">
        <v>1267</v>
      </c>
      <c r="B45" s="251">
        <v>0.60416666666666663</v>
      </c>
      <c r="D45" s="195" t="s">
        <v>22</v>
      </c>
      <c r="E45" s="146">
        <v>12</v>
      </c>
      <c r="I45" s="195" t="s">
        <v>1199</v>
      </c>
      <c r="J45" s="277">
        <v>1</v>
      </c>
      <c r="K45" s="278">
        <v>10</v>
      </c>
      <c r="L45" s="146">
        <v>442</v>
      </c>
      <c r="M45" s="146" t="s">
        <v>1200</v>
      </c>
      <c r="N45" s="278">
        <v>20</v>
      </c>
      <c r="O45" s="195" t="s">
        <v>1201</v>
      </c>
      <c r="Z45" s="344" t="s">
        <v>1279</v>
      </c>
    </row>
    <row r="46" spans="1:33" x14ac:dyDescent="0.2">
      <c r="A46" s="195" t="s">
        <v>1267</v>
      </c>
      <c r="B46" s="251">
        <v>0.60416666666666663</v>
      </c>
      <c r="D46" s="195" t="s">
        <v>1280</v>
      </c>
      <c r="E46" s="146">
        <v>12</v>
      </c>
      <c r="I46" s="195" t="s">
        <v>1199</v>
      </c>
      <c r="J46" s="277">
        <v>1</v>
      </c>
      <c r="K46" s="278">
        <v>10</v>
      </c>
      <c r="L46" s="146">
        <v>442</v>
      </c>
      <c r="M46" s="146" t="s">
        <v>1200</v>
      </c>
      <c r="N46" s="278">
        <v>20</v>
      </c>
      <c r="O46" s="195" t="s">
        <v>1201</v>
      </c>
      <c r="Z46" s="344" t="s">
        <v>1281</v>
      </c>
    </row>
    <row r="47" spans="1:33" x14ac:dyDescent="0.2">
      <c r="A47" s="195" t="s">
        <v>1267</v>
      </c>
      <c r="B47" s="251">
        <v>0.60416666666666663</v>
      </c>
      <c r="D47" s="195" t="s">
        <v>1280</v>
      </c>
      <c r="E47" s="146">
        <v>12</v>
      </c>
      <c r="I47" s="195" t="s">
        <v>1199</v>
      </c>
      <c r="J47" s="277">
        <v>1</v>
      </c>
      <c r="K47" s="278">
        <v>10</v>
      </c>
      <c r="L47" s="146">
        <v>442</v>
      </c>
      <c r="M47" s="146" t="s">
        <v>1200</v>
      </c>
      <c r="N47" s="278">
        <v>20</v>
      </c>
      <c r="O47" s="195" t="s">
        <v>1201</v>
      </c>
      <c r="Z47" s="344" t="s">
        <v>1282</v>
      </c>
    </row>
    <row r="48" spans="1:33" x14ac:dyDescent="0.2">
      <c r="A48" s="195" t="s">
        <v>1267</v>
      </c>
      <c r="B48" s="251">
        <v>0.60416666666666663</v>
      </c>
      <c r="D48" s="195" t="s">
        <v>1280</v>
      </c>
      <c r="E48" s="146">
        <v>12</v>
      </c>
    </row>
    <row r="49" spans="1:33" x14ac:dyDescent="0.2">
      <c r="A49" s="195" t="s">
        <v>1267</v>
      </c>
      <c r="B49" s="251">
        <v>0.60416666666666663</v>
      </c>
      <c r="D49" s="195" t="s">
        <v>1280</v>
      </c>
      <c r="E49" s="146">
        <v>12</v>
      </c>
    </row>
    <row r="50" spans="1:33" x14ac:dyDescent="0.2">
      <c r="A50" s="195" t="s">
        <v>1267</v>
      </c>
      <c r="B50" s="251">
        <v>0.60416666666666663</v>
      </c>
      <c r="D50" s="195" t="s">
        <v>1280</v>
      </c>
      <c r="E50" s="146">
        <v>12</v>
      </c>
    </row>
    <row r="51" spans="1:33" x14ac:dyDescent="0.2">
      <c r="A51" s="195" t="s">
        <v>1267</v>
      </c>
      <c r="B51" s="251">
        <v>0.60416666666666663</v>
      </c>
      <c r="D51" s="195" t="s">
        <v>1280</v>
      </c>
      <c r="E51" s="146">
        <v>12</v>
      </c>
    </row>
    <row r="52" spans="1:33" x14ac:dyDescent="0.2">
      <c r="A52" s="195" t="s">
        <v>1267</v>
      </c>
      <c r="B52" s="251">
        <v>0.60416666666666663</v>
      </c>
      <c r="D52" s="195" t="s">
        <v>1280</v>
      </c>
      <c r="E52" s="146">
        <v>12</v>
      </c>
    </row>
    <row r="53" spans="1:33" x14ac:dyDescent="0.2">
      <c r="A53" s="195" t="s">
        <v>1267</v>
      </c>
      <c r="B53" s="251">
        <v>0.60416666666666663</v>
      </c>
      <c r="D53" s="195" t="s">
        <v>1280</v>
      </c>
      <c r="E53" s="146">
        <v>12</v>
      </c>
    </row>
    <row r="54" spans="1:33" x14ac:dyDescent="0.2">
      <c r="A54" s="195" t="s">
        <v>1267</v>
      </c>
      <c r="B54" s="251">
        <v>0.60416666666666663</v>
      </c>
      <c r="D54" s="195" t="s">
        <v>1280</v>
      </c>
      <c r="E54" s="146">
        <v>12</v>
      </c>
    </row>
    <row r="55" spans="1:33" x14ac:dyDescent="0.2">
      <c r="A55" s="195" t="s">
        <v>1267</v>
      </c>
      <c r="B55" s="251">
        <v>0.60416666666666663</v>
      </c>
      <c r="D55" s="195" t="s">
        <v>1280</v>
      </c>
      <c r="E55" s="146">
        <v>12</v>
      </c>
    </row>
    <row r="56" spans="1:33" x14ac:dyDescent="0.2">
      <c r="A56" s="195" t="s">
        <v>1267</v>
      </c>
      <c r="B56" s="251">
        <v>0.60416666666666663</v>
      </c>
      <c r="D56" s="195" t="s">
        <v>1280</v>
      </c>
      <c r="E56" s="146">
        <v>12</v>
      </c>
    </row>
    <row r="57" spans="1:33" s="151" customFormat="1" x14ac:dyDescent="0.2">
      <c r="A57" s="227" t="s">
        <v>1267</v>
      </c>
      <c r="B57" s="236">
        <v>0.60416666666666663</v>
      </c>
      <c r="C57" s="227"/>
      <c r="D57" s="227" t="s">
        <v>1280</v>
      </c>
      <c r="E57" s="151">
        <v>12</v>
      </c>
      <c r="G57" s="227"/>
      <c r="I57" s="227"/>
      <c r="J57" s="268"/>
      <c r="O57" s="227"/>
      <c r="W57" s="227"/>
      <c r="Z57" s="346"/>
      <c r="AA57" s="257"/>
      <c r="AB57" s="227"/>
      <c r="AD57" s="273"/>
      <c r="AG57" s="273"/>
    </row>
    <row r="58" spans="1:33" x14ac:dyDescent="0.2">
      <c r="A58" s="196">
        <v>45779</v>
      </c>
      <c r="B58" s="251">
        <v>0.60416666666666663</v>
      </c>
      <c r="D58" s="195" t="s">
        <v>1283</v>
      </c>
      <c r="E58" s="146">
        <v>12</v>
      </c>
      <c r="I58" s="195" t="s">
        <v>1199</v>
      </c>
      <c r="J58" s="277">
        <v>1</v>
      </c>
      <c r="K58" s="146">
        <v>10</v>
      </c>
      <c r="L58" s="146">
        <v>442</v>
      </c>
      <c r="M58" s="146" t="s">
        <v>1220</v>
      </c>
      <c r="N58" s="146">
        <v>20</v>
      </c>
      <c r="O58" s="195" t="s">
        <v>1201</v>
      </c>
      <c r="W58" s="195">
        <v>621</v>
      </c>
      <c r="X58" s="146">
        <v>1600</v>
      </c>
      <c r="Y58" s="146">
        <v>2436</v>
      </c>
      <c r="Z58" s="344" t="s">
        <v>1284</v>
      </c>
    </row>
    <row r="59" spans="1:33" x14ac:dyDescent="0.2">
      <c r="A59" s="196">
        <v>45779</v>
      </c>
      <c r="B59" s="251">
        <v>0.61597222222222225</v>
      </c>
      <c r="D59" s="195" t="s">
        <v>1283</v>
      </c>
      <c r="E59" s="146">
        <v>12</v>
      </c>
      <c r="I59" s="195" t="s">
        <v>1199</v>
      </c>
      <c r="J59" s="277">
        <v>1</v>
      </c>
      <c r="K59" s="146">
        <v>10</v>
      </c>
      <c r="L59" s="146">
        <v>442</v>
      </c>
      <c r="M59" s="146" t="s">
        <v>1220</v>
      </c>
      <c r="N59" s="146">
        <v>20</v>
      </c>
      <c r="O59" s="195" t="s">
        <v>1201</v>
      </c>
      <c r="W59" s="195">
        <v>1948</v>
      </c>
      <c r="X59" s="146">
        <v>2800</v>
      </c>
      <c r="Y59" s="146">
        <v>3531</v>
      </c>
      <c r="Z59" s="344" t="s">
        <v>1285</v>
      </c>
    </row>
    <row r="60" spans="1:33" x14ac:dyDescent="0.2">
      <c r="A60" s="196">
        <v>45779</v>
      </c>
      <c r="B60" s="251">
        <v>0.62083333333333335</v>
      </c>
      <c r="D60" s="195" t="s">
        <v>1283</v>
      </c>
      <c r="E60" s="146">
        <v>12</v>
      </c>
      <c r="I60" s="195" t="s">
        <v>1199</v>
      </c>
      <c r="J60" s="277">
        <v>1</v>
      </c>
      <c r="K60" s="146">
        <v>10</v>
      </c>
      <c r="L60" s="146">
        <v>442</v>
      </c>
      <c r="M60" s="146" t="s">
        <v>1220</v>
      </c>
      <c r="N60" s="146">
        <v>20</v>
      </c>
      <c r="O60" s="195" t="s">
        <v>1201</v>
      </c>
      <c r="W60" s="195">
        <v>621</v>
      </c>
      <c r="X60" s="146">
        <v>1600</v>
      </c>
      <c r="Y60" s="146">
        <v>2436</v>
      </c>
      <c r="Z60" s="344" t="s">
        <v>1286</v>
      </c>
    </row>
    <row r="61" spans="1:33" x14ac:dyDescent="0.2">
      <c r="A61" s="196">
        <v>45779</v>
      </c>
      <c r="B61" s="251">
        <v>0.625</v>
      </c>
      <c r="D61" s="195" t="s">
        <v>1283</v>
      </c>
      <c r="E61" s="146">
        <v>12</v>
      </c>
      <c r="I61" s="195" t="s">
        <v>1199</v>
      </c>
      <c r="J61" s="277">
        <v>1</v>
      </c>
      <c r="K61" s="146">
        <v>10</v>
      </c>
      <c r="L61" s="146">
        <v>442</v>
      </c>
      <c r="M61" s="146" t="s">
        <v>1220</v>
      </c>
      <c r="N61" s="146">
        <v>20</v>
      </c>
      <c r="O61" s="195" t="s">
        <v>1201</v>
      </c>
      <c r="W61" s="195">
        <v>1948</v>
      </c>
      <c r="X61" s="146">
        <v>2800</v>
      </c>
      <c r="Y61" s="146">
        <v>3531</v>
      </c>
      <c r="Z61" s="344" t="s">
        <v>1287</v>
      </c>
    </row>
    <row r="62" spans="1:33" x14ac:dyDescent="0.2">
      <c r="A62" s="196">
        <v>45779</v>
      </c>
      <c r="B62" s="251">
        <v>0.63194444444444442</v>
      </c>
      <c r="D62" s="195" t="s">
        <v>1283</v>
      </c>
      <c r="E62" s="146">
        <v>12</v>
      </c>
      <c r="I62" s="195" t="s">
        <v>1199</v>
      </c>
      <c r="J62" s="277">
        <v>1</v>
      </c>
      <c r="K62" s="146">
        <v>10</v>
      </c>
      <c r="L62" s="146">
        <v>442</v>
      </c>
      <c r="M62" s="146" t="s">
        <v>1220</v>
      </c>
      <c r="N62" s="146">
        <v>20</v>
      </c>
      <c r="O62" s="195" t="s">
        <v>1201</v>
      </c>
      <c r="W62" s="195">
        <v>621</v>
      </c>
      <c r="X62" s="146">
        <v>1600</v>
      </c>
      <c r="Y62" s="146">
        <v>2436</v>
      </c>
      <c r="Z62" s="344" t="s">
        <v>1288</v>
      </c>
    </row>
    <row r="63" spans="1:33" x14ac:dyDescent="0.2">
      <c r="A63" s="196">
        <v>45779</v>
      </c>
      <c r="B63" s="251">
        <v>0.63611111111111107</v>
      </c>
      <c r="D63" s="195" t="s">
        <v>1283</v>
      </c>
      <c r="E63" s="146">
        <v>12</v>
      </c>
      <c r="I63" s="195" t="s">
        <v>1199</v>
      </c>
      <c r="J63" s="277">
        <v>1</v>
      </c>
      <c r="K63" s="146">
        <v>10</v>
      </c>
      <c r="L63" s="146">
        <v>442</v>
      </c>
      <c r="M63" s="146" t="s">
        <v>1220</v>
      </c>
      <c r="N63" s="146">
        <v>20</v>
      </c>
      <c r="O63" s="195" t="s">
        <v>1201</v>
      </c>
      <c r="W63" s="195">
        <v>1948</v>
      </c>
      <c r="X63" s="146">
        <v>2800</v>
      </c>
      <c r="Y63" s="146">
        <v>3531</v>
      </c>
      <c r="Z63" s="344" t="s">
        <v>1289</v>
      </c>
    </row>
    <row r="64" spans="1:33" x14ac:dyDescent="0.2">
      <c r="A64" s="196">
        <v>45779</v>
      </c>
      <c r="B64" s="251">
        <v>0.64444444444444449</v>
      </c>
      <c r="D64" s="195" t="s">
        <v>1283</v>
      </c>
      <c r="E64" s="146">
        <v>12</v>
      </c>
      <c r="I64" s="195" t="s">
        <v>1199</v>
      </c>
      <c r="J64" s="277">
        <v>1</v>
      </c>
      <c r="K64" s="146">
        <v>10</v>
      </c>
      <c r="L64" s="146">
        <v>442</v>
      </c>
      <c r="M64" s="146" t="s">
        <v>1220</v>
      </c>
      <c r="N64" s="146">
        <v>20</v>
      </c>
      <c r="O64" s="195" t="s">
        <v>1208</v>
      </c>
      <c r="W64" s="195">
        <v>621</v>
      </c>
      <c r="X64" s="146">
        <v>1600</v>
      </c>
      <c r="Y64" s="146">
        <v>2436</v>
      </c>
      <c r="Z64" s="344" t="s">
        <v>1290</v>
      </c>
    </row>
    <row r="65" spans="1:34" x14ac:dyDescent="0.2">
      <c r="A65" s="196">
        <v>45779</v>
      </c>
      <c r="B65" s="251">
        <v>0.64930555555555558</v>
      </c>
      <c r="D65" s="195" t="s">
        <v>1283</v>
      </c>
      <c r="E65" s="146">
        <v>12</v>
      </c>
      <c r="I65" s="195" t="s">
        <v>1199</v>
      </c>
      <c r="J65" s="277">
        <v>1</v>
      </c>
      <c r="K65" s="146">
        <v>10</v>
      </c>
      <c r="L65" s="146">
        <v>442</v>
      </c>
      <c r="M65" s="146" t="s">
        <v>1220</v>
      </c>
      <c r="N65" s="146">
        <v>20</v>
      </c>
      <c r="O65" s="195" t="s">
        <v>1208</v>
      </c>
      <c r="W65" s="195">
        <v>621</v>
      </c>
      <c r="X65" s="146">
        <v>1600</v>
      </c>
      <c r="Y65" s="146">
        <v>2436</v>
      </c>
      <c r="Z65" s="344" t="s">
        <v>1291</v>
      </c>
    </row>
    <row r="66" spans="1:34" x14ac:dyDescent="0.2">
      <c r="A66" s="196">
        <v>45779</v>
      </c>
      <c r="B66" s="251">
        <v>0.65833333333333333</v>
      </c>
      <c r="D66" s="195" t="s">
        <v>1283</v>
      </c>
      <c r="E66" s="146">
        <v>12</v>
      </c>
      <c r="I66" s="195" t="s">
        <v>1199</v>
      </c>
      <c r="J66" s="277">
        <v>1</v>
      </c>
      <c r="K66" s="146">
        <v>10</v>
      </c>
      <c r="L66" s="146">
        <v>442</v>
      </c>
      <c r="M66" s="146" t="s">
        <v>1220</v>
      </c>
      <c r="N66" s="146">
        <v>20</v>
      </c>
      <c r="O66" s="195" t="s">
        <v>1136</v>
      </c>
      <c r="W66" s="195">
        <v>621</v>
      </c>
      <c r="X66" s="146">
        <v>1600</v>
      </c>
      <c r="Y66" s="146">
        <v>2436</v>
      </c>
      <c r="Z66" s="344" t="s">
        <v>1292</v>
      </c>
    </row>
    <row r="67" spans="1:34" s="147" customFormat="1" x14ac:dyDescent="0.2">
      <c r="A67" s="253">
        <v>45750</v>
      </c>
      <c r="B67" s="232">
        <v>0.61111111111111116</v>
      </c>
      <c r="C67" s="275">
        <v>280</v>
      </c>
      <c r="D67" s="226" t="s">
        <v>1293</v>
      </c>
      <c r="E67" s="147">
        <v>12</v>
      </c>
      <c r="F67" s="49" t="s">
        <v>702</v>
      </c>
      <c r="G67" s="226"/>
      <c r="I67" s="226" t="s">
        <v>1199</v>
      </c>
      <c r="J67" s="254">
        <v>1</v>
      </c>
      <c r="K67" s="147">
        <v>10</v>
      </c>
      <c r="L67" s="147">
        <v>442</v>
      </c>
      <c r="M67" s="147" t="s">
        <v>1220</v>
      </c>
      <c r="N67" s="147">
        <v>20</v>
      </c>
      <c r="O67" s="226" t="s">
        <v>1136</v>
      </c>
      <c r="T67" s="147">
        <v>5</v>
      </c>
      <c r="W67" s="226">
        <v>621</v>
      </c>
      <c r="X67" s="147">
        <v>1600</v>
      </c>
      <c r="Y67" s="147">
        <v>2436</v>
      </c>
      <c r="Z67" s="345" t="s">
        <v>1268</v>
      </c>
      <c r="AA67" s="255"/>
      <c r="AB67" s="226">
        <v>32413</v>
      </c>
      <c r="AC67" s="146">
        <v>32553</v>
      </c>
      <c r="AD67" s="271">
        <f>AC67-AB67</f>
        <v>140</v>
      </c>
      <c r="AE67" s="146">
        <v>8332</v>
      </c>
      <c r="AF67" s="146">
        <v>8436</v>
      </c>
      <c r="AG67" s="271">
        <f>AF67-AE67</f>
        <v>104</v>
      </c>
      <c r="AH67" s="147" t="s">
        <v>1294</v>
      </c>
    </row>
    <row r="68" spans="1:34" x14ac:dyDescent="0.2">
      <c r="A68" s="196">
        <v>45750</v>
      </c>
      <c r="B68" s="251">
        <v>0.61805555555555558</v>
      </c>
      <c r="C68" s="276">
        <v>280</v>
      </c>
      <c r="D68" s="195" t="s">
        <v>1293</v>
      </c>
      <c r="E68" s="146">
        <v>12</v>
      </c>
      <c r="F68" s="7" t="s">
        <v>702</v>
      </c>
      <c r="I68" s="195" t="s">
        <v>1199</v>
      </c>
      <c r="J68" s="277">
        <v>1</v>
      </c>
      <c r="K68" s="146">
        <v>10</v>
      </c>
      <c r="L68" s="146">
        <v>442</v>
      </c>
      <c r="M68" s="146" t="s">
        <v>1220</v>
      </c>
      <c r="N68" s="146">
        <v>20</v>
      </c>
      <c r="O68" s="195" t="s">
        <v>1136</v>
      </c>
      <c r="T68" s="146">
        <v>5</v>
      </c>
      <c r="W68" s="195">
        <v>1948</v>
      </c>
      <c r="X68" s="146">
        <v>2800</v>
      </c>
      <c r="Y68" s="146">
        <v>3531</v>
      </c>
      <c r="Z68" s="344" t="s">
        <v>1295</v>
      </c>
      <c r="AB68" s="195">
        <v>32572</v>
      </c>
      <c r="AC68" s="146">
        <v>32428</v>
      </c>
      <c r="AD68" s="271">
        <f t="shared" ref="AD68:AD106" si="0">AC68-AB68</f>
        <v>-144</v>
      </c>
      <c r="AE68" s="146">
        <v>8415</v>
      </c>
      <c r="AF68" s="146">
        <v>8296</v>
      </c>
      <c r="AG68" s="271">
        <f t="shared" ref="AG68:AG106" si="1">AF68-AE68</f>
        <v>-119</v>
      </c>
      <c r="AH68" s="146" t="s">
        <v>1296</v>
      </c>
    </row>
    <row r="69" spans="1:34" x14ac:dyDescent="0.2">
      <c r="A69" s="196">
        <v>45750</v>
      </c>
      <c r="B69" s="251">
        <v>0.625</v>
      </c>
      <c r="C69" s="276">
        <v>280</v>
      </c>
      <c r="D69" s="195" t="s">
        <v>1293</v>
      </c>
      <c r="E69" s="146">
        <v>12</v>
      </c>
      <c r="F69" s="7" t="s">
        <v>702</v>
      </c>
      <c r="I69" s="195" t="s">
        <v>1199</v>
      </c>
      <c r="J69" s="277">
        <v>1</v>
      </c>
      <c r="K69" s="146">
        <v>10</v>
      </c>
      <c r="L69" s="146">
        <v>442</v>
      </c>
      <c r="M69" s="146" t="s">
        <v>1220</v>
      </c>
      <c r="N69" s="146">
        <v>20</v>
      </c>
      <c r="O69" s="195" t="s">
        <v>1136</v>
      </c>
      <c r="T69" s="146">
        <v>5</v>
      </c>
      <c r="W69" s="195">
        <v>621</v>
      </c>
      <c r="X69" s="146">
        <v>1600</v>
      </c>
      <c r="Y69" s="146">
        <v>2436</v>
      </c>
      <c r="Z69" s="344" t="s">
        <v>1296</v>
      </c>
      <c r="AB69" s="195">
        <v>32384</v>
      </c>
      <c r="AC69" s="146">
        <v>32521</v>
      </c>
      <c r="AD69" s="271">
        <f t="shared" si="0"/>
        <v>137</v>
      </c>
      <c r="AE69" s="146">
        <v>8369</v>
      </c>
      <c r="AF69" s="146">
        <v>8467</v>
      </c>
      <c r="AG69" s="271">
        <f t="shared" si="1"/>
        <v>98</v>
      </c>
      <c r="AH69" s="146" t="s">
        <v>1297</v>
      </c>
    </row>
    <row r="70" spans="1:34" x14ac:dyDescent="0.2">
      <c r="A70" s="196">
        <v>45750</v>
      </c>
      <c r="B70" s="251">
        <v>0.63194444444444442</v>
      </c>
      <c r="C70" s="276">
        <v>280</v>
      </c>
      <c r="D70" s="195" t="s">
        <v>1293</v>
      </c>
      <c r="E70" s="146">
        <v>12</v>
      </c>
      <c r="F70" s="7" t="s">
        <v>702</v>
      </c>
      <c r="I70" s="195" t="s">
        <v>1199</v>
      </c>
      <c r="J70" s="277">
        <v>1</v>
      </c>
      <c r="K70" s="146">
        <v>10</v>
      </c>
      <c r="L70" s="146">
        <v>442</v>
      </c>
      <c r="M70" s="146" t="s">
        <v>1220</v>
      </c>
      <c r="N70" s="146">
        <v>20</v>
      </c>
      <c r="O70" s="195" t="s">
        <v>1136</v>
      </c>
      <c r="T70" s="146">
        <v>5</v>
      </c>
      <c r="W70" s="195">
        <v>1948</v>
      </c>
      <c r="X70" s="146">
        <v>2800</v>
      </c>
      <c r="Y70" s="146">
        <v>3531</v>
      </c>
      <c r="Z70" s="344" t="s">
        <v>1298</v>
      </c>
    </row>
    <row r="71" spans="1:34" x14ac:dyDescent="0.2">
      <c r="A71" s="196">
        <v>45750</v>
      </c>
      <c r="B71" s="251">
        <v>0.63888888888888884</v>
      </c>
      <c r="C71" s="276">
        <v>280</v>
      </c>
      <c r="D71" s="195" t="s">
        <v>1293</v>
      </c>
      <c r="E71" s="146">
        <v>12</v>
      </c>
      <c r="F71" s="7" t="s">
        <v>702</v>
      </c>
      <c r="I71" s="195" t="s">
        <v>1199</v>
      </c>
      <c r="J71" s="277">
        <v>1</v>
      </c>
      <c r="K71" s="146">
        <v>10</v>
      </c>
      <c r="L71" s="146">
        <v>442</v>
      </c>
      <c r="M71" s="146" t="s">
        <v>1220</v>
      </c>
      <c r="N71" s="146">
        <v>20</v>
      </c>
      <c r="O71" s="195" t="s">
        <v>1136</v>
      </c>
      <c r="T71" s="146">
        <v>5</v>
      </c>
      <c r="W71" s="195">
        <v>621</v>
      </c>
      <c r="X71" s="146">
        <v>1600</v>
      </c>
      <c r="Y71" s="146">
        <v>2436</v>
      </c>
      <c r="Z71" s="344" t="s">
        <v>1299</v>
      </c>
    </row>
    <row r="72" spans="1:34" x14ac:dyDescent="0.2">
      <c r="A72" s="196">
        <v>45750</v>
      </c>
      <c r="B72" s="251">
        <v>0.64583333333333337</v>
      </c>
      <c r="C72" s="276">
        <v>280</v>
      </c>
      <c r="D72" s="195" t="s">
        <v>1293</v>
      </c>
      <c r="E72" s="146">
        <v>12</v>
      </c>
      <c r="F72" s="7" t="s">
        <v>702</v>
      </c>
      <c r="I72" s="195" t="s">
        <v>1199</v>
      </c>
      <c r="J72" s="277">
        <v>1</v>
      </c>
      <c r="K72" s="146">
        <v>10</v>
      </c>
      <c r="L72" s="146">
        <v>442</v>
      </c>
      <c r="M72" s="146" t="s">
        <v>1220</v>
      </c>
      <c r="N72" s="146">
        <v>20</v>
      </c>
      <c r="O72" s="195" t="s">
        <v>1136</v>
      </c>
      <c r="T72" s="146">
        <v>5</v>
      </c>
      <c r="W72" s="195">
        <v>1948</v>
      </c>
      <c r="X72" s="146">
        <v>2800</v>
      </c>
      <c r="Y72" s="146">
        <v>3531</v>
      </c>
      <c r="Z72" s="344" t="s">
        <v>1297</v>
      </c>
    </row>
    <row r="73" spans="1:34" x14ac:dyDescent="0.2">
      <c r="A73" s="196">
        <v>45750</v>
      </c>
      <c r="B73" s="251">
        <v>0.65277777777777779</v>
      </c>
      <c r="C73" s="276">
        <v>279</v>
      </c>
      <c r="D73" s="195" t="s">
        <v>1293</v>
      </c>
      <c r="E73" s="146">
        <v>12</v>
      </c>
      <c r="F73" s="7" t="s">
        <v>698</v>
      </c>
      <c r="I73" s="195" t="s">
        <v>1199</v>
      </c>
      <c r="J73" s="277">
        <v>1</v>
      </c>
      <c r="K73" s="146">
        <v>10</v>
      </c>
      <c r="L73" s="146">
        <v>442</v>
      </c>
      <c r="M73" s="146" t="s">
        <v>1220</v>
      </c>
      <c r="N73" s="146">
        <v>20</v>
      </c>
      <c r="O73" s="195" t="s">
        <v>1136</v>
      </c>
      <c r="T73" s="146">
        <v>5</v>
      </c>
      <c r="W73" s="195">
        <v>621</v>
      </c>
      <c r="X73" s="146">
        <v>1600</v>
      </c>
      <c r="Y73" s="146">
        <v>2436</v>
      </c>
      <c r="Z73" s="345" t="s">
        <v>1268</v>
      </c>
      <c r="AB73" s="195">
        <v>32787</v>
      </c>
      <c r="AC73" s="146">
        <v>32925</v>
      </c>
      <c r="AD73" s="271">
        <f t="shared" si="0"/>
        <v>138</v>
      </c>
      <c r="AE73" s="146">
        <v>9918</v>
      </c>
      <c r="AF73" s="146">
        <v>10060</v>
      </c>
      <c r="AG73" s="271">
        <f t="shared" si="1"/>
        <v>142</v>
      </c>
    </row>
    <row r="74" spans="1:34" x14ac:dyDescent="0.2">
      <c r="A74" s="196">
        <v>45750</v>
      </c>
      <c r="B74" s="251">
        <v>0.65972222222222221</v>
      </c>
      <c r="C74" s="276">
        <v>279</v>
      </c>
      <c r="D74" s="195" t="s">
        <v>1293</v>
      </c>
      <c r="E74" s="146">
        <v>12</v>
      </c>
      <c r="F74" s="7" t="s">
        <v>698</v>
      </c>
      <c r="I74" s="195" t="s">
        <v>1199</v>
      </c>
      <c r="J74" s="277">
        <v>1</v>
      </c>
      <c r="K74" s="146">
        <v>10</v>
      </c>
      <c r="L74" s="146">
        <v>442</v>
      </c>
      <c r="M74" s="146" t="s">
        <v>1220</v>
      </c>
      <c r="N74" s="146">
        <v>20</v>
      </c>
      <c r="O74" s="195" t="s">
        <v>1136</v>
      </c>
      <c r="T74" s="146">
        <v>5</v>
      </c>
      <c r="W74" s="195">
        <v>1948</v>
      </c>
      <c r="X74" s="146">
        <v>2800</v>
      </c>
      <c r="Y74" s="146">
        <v>3531</v>
      </c>
      <c r="Z74" s="344" t="s">
        <v>1295</v>
      </c>
      <c r="AB74" s="195">
        <v>32898</v>
      </c>
      <c r="AC74" s="146">
        <v>32739</v>
      </c>
      <c r="AD74" s="271">
        <f t="shared" si="0"/>
        <v>-159</v>
      </c>
      <c r="AE74" s="146">
        <v>10095</v>
      </c>
      <c r="AF74" s="146">
        <v>9957</v>
      </c>
      <c r="AG74" s="271">
        <f t="shared" si="1"/>
        <v>-138</v>
      </c>
    </row>
    <row r="75" spans="1:34" x14ac:dyDescent="0.2">
      <c r="A75" s="196">
        <v>45750</v>
      </c>
      <c r="B75" s="251">
        <v>0.66666666666666663</v>
      </c>
      <c r="C75" s="276">
        <v>279</v>
      </c>
      <c r="D75" s="195" t="s">
        <v>1293</v>
      </c>
      <c r="E75" s="146">
        <v>12</v>
      </c>
      <c r="F75" s="7" t="s">
        <v>698</v>
      </c>
      <c r="I75" s="195" t="s">
        <v>1199</v>
      </c>
      <c r="J75" s="277">
        <v>1</v>
      </c>
      <c r="K75" s="146">
        <v>10</v>
      </c>
      <c r="L75" s="146">
        <v>442</v>
      </c>
      <c r="M75" s="146" t="s">
        <v>1220</v>
      </c>
      <c r="N75" s="146">
        <v>20</v>
      </c>
      <c r="O75" s="195" t="s">
        <v>1136</v>
      </c>
      <c r="T75" s="146">
        <v>5</v>
      </c>
      <c r="W75" s="195">
        <v>621</v>
      </c>
      <c r="X75" s="146">
        <v>1600</v>
      </c>
      <c r="Y75" s="146">
        <v>2436</v>
      </c>
      <c r="Z75" s="344" t="s">
        <v>1296</v>
      </c>
      <c r="AB75" s="195">
        <v>32824</v>
      </c>
      <c r="AC75" s="146">
        <v>32971</v>
      </c>
      <c r="AD75" s="271">
        <f t="shared" si="0"/>
        <v>147</v>
      </c>
      <c r="AE75" s="146">
        <v>9903</v>
      </c>
      <c r="AF75" s="146">
        <v>11024</v>
      </c>
      <c r="AG75" s="271">
        <f t="shared" si="1"/>
        <v>1121</v>
      </c>
    </row>
    <row r="76" spans="1:34" x14ac:dyDescent="0.2">
      <c r="A76" s="196">
        <v>45750</v>
      </c>
      <c r="B76" s="251">
        <v>0.67361111111111116</v>
      </c>
      <c r="C76" s="276">
        <v>279</v>
      </c>
      <c r="D76" s="195" t="s">
        <v>1293</v>
      </c>
      <c r="E76" s="146">
        <v>12</v>
      </c>
      <c r="F76" s="7" t="s">
        <v>698</v>
      </c>
      <c r="I76" s="195" t="s">
        <v>1199</v>
      </c>
      <c r="J76" s="277">
        <v>1</v>
      </c>
      <c r="K76" s="146">
        <v>10</v>
      </c>
      <c r="L76" s="146">
        <v>442</v>
      </c>
      <c r="M76" s="146" t="s">
        <v>1220</v>
      </c>
      <c r="N76" s="146">
        <v>20</v>
      </c>
      <c r="O76" s="195" t="s">
        <v>1136</v>
      </c>
      <c r="T76" s="146">
        <v>5</v>
      </c>
      <c r="W76" s="195">
        <v>1948</v>
      </c>
      <c r="X76" s="146">
        <v>2800</v>
      </c>
      <c r="Y76" s="146">
        <v>3531</v>
      </c>
      <c r="Z76" s="344" t="s">
        <v>1298</v>
      </c>
    </row>
    <row r="77" spans="1:34" x14ac:dyDescent="0.2">
      <c r="A77" s="196">
        <v>45750</v>
      </c>
      <c r="B77" s="251">
        <v>0.68055555555555558</v>
      </c>
      <c r="C77" s="276">
        <v>279</v>
      </c>
      <c r="D77" s="195" t="s">
        <v>1293</v>
      </c>
      <c r="E77" s="146">
        <v>12</v>
      </c>
      <c r="F77" s="7" t="s">
        <v>698</v>
      </c>
      <c r="I77" s="195" t="s">
        <v>1199</v>
      </c>
      <c r="J77" s="277">
        <v>1</v>
      </c>
      <c r="K77" s="146">
        <v>5</v>
      </c>
      <c r="L77" s="146">
        <v>442</v>
      </c>
      <c r="M77" s="146" t="s">
        <v>1220</v>
      </c>
      <c r="N77" s="146">
        <v>20</v>
      </c>
      <c r="O77" s="195" t="s">
        <v>1136</v>
      </c>
      <c r="T77" s="146">
        <v>5</v>
      </c>
      <c r="W77" s="195">
        <v>621</v>
      </c>
      <c r="X77" s="146">
        <v>1600</v>
      </c>
      <c r="Y77" s="146">
        <v>2436</v>
      </c>
      <c r="Z77" s="344" t="s">
        <v>1299</v>
      </c>
    </row>
    <row r="78" spans="1:34" x14ac:dyDescent="0.2">
      <c r="A78" s="196">
        <v>45750</v>
      </c>
      <c r="B78" s="251">
        <v>0.6875</v>
      </c>
      <c r="C78" s="276">
        <v>279</v>
      </c>
      <c r="D78" s="195" t="s">
        <v>1293</v>
      </c>
      <c r="E78" s="146">
        <v>12</v>
      </c>
      <c r="F78" s="7" t="s">
        <v>698</v>
      </c>
      <c r="I78" s="195" t="s">
        <v>1199</v>
      </c>
      <c r="J78" s="277">
        <v>1</v>
      </c>
      <c r="K78" s="146">
        <v>5</v>
      </c>
      <c r="L78" s="146">
        <v>442</v>
      </c>
      <c r="M78" s="146" t="s">
        <v>1220</v>
      </c>
      <c r="N78" s="146">
        <v>20</v>
      </c>
      <c r="O78" s="195" t="s">
        <v>1136</v>
      </c>
      <c r="T78" s="146">
        <v>5</v>
      </c>
      <c r="W78" s="195">
        <v>1948</v>
      </c>
      <c r="X78" s="146">
        <v>2800</v>
      </c>
      <c r="Y78" s="146">
        <v>3531</v>
      </c>
      <c r="Z78" s="344" t="s">
        <v>1297</v>
      </c>
    </row>
    <row r="79" spans="1:34" x14ac:dyDescent="0.2">
      <c r="A79" s="196">
        <v>45750</v>
      </c>
      <c r="B79" s="251">
        <v>0.69097222222222221</v>
      </c>
      <c r="C79" s="276">
        <v>289</v>
      </c>
      <c r="D79" s="195" t="s">
        <v>1293</v>
      </c>
      <c r="E79" s="146">
        <v>12</v>
      </c>
      <c r="F79" s="7" t="s">
        <v>728</v>
      </c>
      <c r="I79" s="195" t="s">
        <v>1199</v>
      </c>
      <c r="J79" s="277">
        <v>1</v>
      </c>
      <c r="K79" s="146">
        <v>5</v>
      </c>
      <c r="L79" s="146">
        <v>442</v>
      </c>
      <c r="M79" s="146" t="s">
        <v>1220</v>
      </c>
      <c r="N79" s="146">
        <v>20</v>
      </c>
      <c r="O79" s="195" t="s">
        <v>1136</v>
      </c>
      <c r="T79" s="146">
        <v>5</v>
      </c>
      <c r="W79" s="195">
        <v>621</v>
      </c>
      <c r="X79" s="146">
        <v>1600</v>
      </c>
      <c r="Y79" s="146">
        <v>2436</v>
      </c>
      <c r="Z79" s="345" t="s">
        <v>1268</v>
      </c>
      <c r="AB79" s="195">
        <v>30497</v>
      </c>
      <c r="AC79" s="146">
        <v>30637</v>
      </c>
      <c r="AD79" s="271">
        <f t="shared" si="0"/>
        <v>140</v>
      </c>
      <c r="AE79" s="146">
        <v>9862</v>
      </c>
      <c r="AF79" s="146">
        <v>9965</v>
      </c>
      <c r="AG79" s="271">
        <f t="shared" si="1"/>
        <v>103</v>
      </c>
    </row>
    <row r="80" spans="1:34" x14ac:dyDescent="0.2">
      <c r="A80" s="196">
        <v>45750</v>
      </c>
      <c r="B80" s="251">
        <v>0.69444444444444442</v>
      </c>
      <c r="C80" s="276">
        <v>289</v>
      </c>
      <c r="D80" s="195" t="s">
        <v>1293</v>
      </c>
      <c r="E80" s="146">
        <v>12</v>
      </c>
      <c r="F80" s="7" t="s">
        <v>728</v>
      </c>
      <c r="I80" s="195" t="s">
        <v>1199</v>
      </c>
      <c r="J80" s="277">
        <v>1</v>
      </c>
      <c r="K80" s="146">
        <v>5</v>
      </c>
      <c r="L80" s="146">
        <v>442</v>
      </c>
      <c r="M80" s="146" t="s">
        <v>1220</v>
      </c>
      <c r="N80" s="146">
        <v>20</v>
      </c>
      <c r="O80" s="195" t="s">
        <v>1136</v>
      </c>
      <c r="T80" s="146">
        <v>5</v>
      </c>
      <c r="W80" s="195">
        <v>1948</v>
      </c>
      <c r="X80" s="146">
        <v>2800</v>
      </c>
      <c r="Y80" s="146">
        <v>3531</v>
      </c>
      <c r="Z80" s="344" t="s">
        <v>1295</v>
      </c>
    </row>
    <row r="81" spans="1:33" x14ac:dyDescent="0.2">
      <c r="A81" s="196">
        <v>45750</v>
      </c>
      <c r="B81" s="251">
        <v>0.69791666666666663</v>
      </c>
      <c r="C81" s="276">
        <v>289</v>
      </c>
      <c r="D81" s="195" t="s">
        <v>1293</v>
      </c>
      <c r="E81" s="146">
        <v>12</v>
      </c>
      <c r="F81" s="7" t="s">
        <v>728</v>
      </c>
      <c r="I81" s="195" t="s">
        <v>1199</v>
      </c>
      <c r="J81" s="277">
        <v>1</v>
      </c>
      <c r="K81" s="146">
        <v>5</v>
      </c>
      <c r="L81" s="146">
        <v>442</v>
      </c>
      <c r="M81" s="146" t="s">
        <v>1220</v>
      </c>
      <c r="N81" s="146">
        <v>20</v>
      </c>
      <c r="O81" s="195" t="s">
        <v>1136</v>
      </c>
      <c r="T81" s="146">
        <v>5</v>
      </c>
      <c r="W81" s="195">
        <v>621</v>
      </c>
      <c r="X81" s="146">
        <v>1600</v>
      </c>
      <c r="Y81" s="146">
        <v>2436</v>
      </c>
      <c r="Z81" s="344" t="s">
        <v>1296</v>
      </c>
    </row>
    <row r="82" spans="1:33" x14ac:dyDescent="0.2">
      <c r="A82" s="196">
        <v>45750</v>
      </c>
      <c r="B82" s="251">
        <v>0.70138888888888884</v>
      </c>
      <c r="C82" s="276">
        <v>289</v>
      </c>
      <c r="D82" s="195" t="s">
        <v>1293</v>
      </c>
      <c r="E82" s="146">
        <v>12</v>
      </c>
      <c r="F82" s="7" t="s">
        <v>728</v>
      </c>
      <c r="I82" s="195" t="s">
        <v>1199</v>
      </c>
      <c r="J82" s="277">
        <v>1</v>
      </c>
      <c r="K82" s="146">
        <v>5</v>
      </c>
      <c r="L82" s="146">
        <v>442</v>
      </c>
      <c r="M82" s="146" t="s">
        <v>1220</v>
      </c>
      <c r="N82" s="146">
        <v>20</v>
      </c>
      <c r="O82" s="195" t="s">
        <v>1136</v>
      </c>
      <c r="T82" s="146">
        <v>5</v>
      </c>
      <c r="W82" s="195">
        <v>1948</v>
      </c>
      <c r="X82" s="146">
        <v>2800</v>
      </c>
      <c r="Y82" s="146">
        <v>3531</v>
      </c>
      <c r="Z82" s="344" t="s">
        <v>1298</v>
      </c>
    </row>
    <row r="83" spans="1:33" x14ac:dyDescent="0.2">
      <c r="A83" s="196">
        <v>45750</v>
      </c>
      <c r="B83" s="251">
        <v>0.70486111111111116</v>
      </c>
      <c r="C83" s="276">
        <v>289</v>
      </c>
      <c r="D83" s="195" t="s">
        <v>1293</v>
      </c>
      <c r="E83" s="146">
        <v>12</v>
      </c>
      <c r="F83" s="7" t="s">
        <v>728</v>
      </c>
      <c r="I83" s="195" t="s">
        <v>1199</v>
      </c>
      <c r="J83" s="277">
        <v>1</v>
      </c>
      <c r="K83" s="146">
        <v>5</v>
      </c>
      <c r="L83" s="146">
        <v>442</v>
      </c>
      <c r="M83" s="146" t="s">
        <v>1220</v>
      </c>
      <c r="N83" s="146">
        <v>20</v>
      </c>
      <c r="O83" s="195" t="s">
        <v>1136</v>
      </c>
      <c r="T83" s="146">
        <v>5</v>
      </c>
      <c r="W83" s="195">
        <v>621</v>
      </c>
      <c r="X83" s="146">
        <v>1600</v>
      </c>
      <c r="Y83" s="146">
        <v>2436</v>
      </c>
      <c r="Z83" s="344" t="s">
        <v>1299</v>
      </c>
    </row>
    <row r="84" spans="1:33" x14ac:dyDescent="0.2">
      <c r="A84" s="196">
        <v>45750</v>
      </c>
      <c r="B84" s="251">
        <v>0.70833333333333337</v>
      </c>
      <c r="C84" s="276">
        <v>289</v>
      </c>
      <c r="D84" s="195" t="s">
        <v>1293</v>
      </c>
      <c r="E84" s="146">
        <v>12</v>
      </c>
      <c r="F84" s="7" t="s">
        <v>728</v>
      </c>
      <c r="I84" s="195" t="s">
        <v>1199</v>
      </c>
      <c r="J84" s="277">
        <v>1</v>
      </c>
      <c r="K84" s="146">
        <v>5</v>
      </c>
      <c r="L84" s="146">
        <v>442</v>
      </c>
      <c r="M84" s="146" t="s">
        <v>1220</v>
      </c>
      <c r="N84" s="146">
        <v>20</v>
      </c>
      <c r="O84" s="195" t="s">
        <v>1136</v>
      </c>
      <c r="T84" s="146">
        <v>5</v>
      </c>
      <c r="W84" s="195">
        <v>1948</v>
      </c>
      <c r="X84" s="146">
        <v>2800</v>
      </c>
      <c r="Y84" s="146">
        <v>3531</v>
      </c>
      <c r="Z84" s="344" t="s">
        <v>1297</v>
      </c>
    </row>
    <row r="85" spans="1:33" x14ac:dyDescent="0.2">
      <c r="A85" s="196">
        <v>45750</v>
      </c>
      <c r="B85" s="251">
        <v>0.71875</v>
      </c>
      <c r="C85" s="276">
        <v>286</v>
      </c>
      <c r="D85" s="195" t="s">
        <v>1293</v>
      </c>
      <c r="E85" s="146">
        <v>12</v>
      </c>
      <c r="F85" s="7" t="s">
        <v>719</v>
      </c>
      <c r="I85" s="195" t="s">
        <v>1199</v>
      </c>
      <c r="J85" s="277">
        <v>1</v>
      </c>
      <c r="K85" s="146">
        <v>5</v>
      </c>
      <c r="L85" s="146">
        <v>442</v>
      </c>
      <c r="M85" s="146" t="s">
        <v>1220</v>
      </c>
      <c r="N85" s="146">
        <v>20</v>
      </c>
      <c r="O85" s="195" t="s">
        <v>1136</v>
      </c>
      <c r="T85" s="146">
        <v>5</v>
      </c>
      <c r="W85" s="195">
        <v>621</v>
      </c>
      <c r="X85" s="146">
        <v>1600</v>
      </c>
      <c r="Y85" s="146">
        <v>2436</v>
      </c>
      <c r="Z85" s="345" t="s">
        <v>1268</v>
      </c>
      <c r="AB85" s="195">
        <v>32837</v>
      </c>
      <c r="AC85" s="146">
        <v>32917</v>
      </c>
      <c r="AD85" s="271">
        <f t="shared" si="0"/>
        <v>80</v>
      </c>
      <c r="AE85" s="146">
        <v>8413</v>
      </c>
      <c r="AF85" s="146">
        <v>8495</v>
      </c>
      <c r="AG85" s="271">
        <f t="shared" si="1"/>
        <v>82</v>
      </c>
    </row>
    <row r="86" spans="1:33" x14ac:dyDescent="0.2">
      <c r="A86" s="196">
        <v>45750</v>
      </c>
      <c r="B86" s="251">
        <v>0.72222222222222221</v>
      </c>
      <c r="C86" s="276">
        <v>286</v>
      </c>
      <c r="D86" s="195" t="s">
        <v>1293</v>
      </c>
      <c r="E86" s="146">
        <v>12</v>
      </c>
      <c r="F86" s="7" t="s">
        <v>719</v>
      </c>
      <c r="I86" s="195" t="s">
        <v>1199</v>
      </c>
      <c r="J86" s="277">
        <v>1</v>
      </c>
      <c r="K86" s="146">
        <v>5</v>
      </c>
      <c r="L86" s="146">
        <v>442</v>
      </c>
      <c r="M86" s="146" t="s">
        <v>1220</v>
      </c>
      <c r="N86" s="146">
        <v>20</v>
      </c>
      <c r="O86" s="195" t="s">
        <v>1136</v>
      </c>
      <c r="T86" s="146">
        <v>5</v>
      </c>
      <c r="W86" s="195">
        <v>1948</v>
      </c>
      <c r="X86" s="146">
        <v>2800</v>
      </c>
      <c r="Y86" s="146">
        <v>3531</v>
      </c>
      <c r="Z86" s="344" t="s">
        <v>1295</v>
      </c>
    </row>
    <row r="87" spans="1:33" x14ac:dyDescent="0.2">
      <c r="A87" s="196">
        <v>45750</v>
      </c>
      <c r="B87" s="251">
        <v>0.72569444444444442</v>
      </c>
      <c r="C87" s="276">
        <v>286</v>
      </c>
      <c r="D87" s="195" t="s">
        <v>1293</v>
      </c>
      <c r="E87" s="146">
        <v>12</v>
      </c>
      <c r="F87" s="7" t="s">
        <v>719</v>
      </c>
      <c r="I87" s="195" t="s">
        <v>1199</v>
      </c>
      <c r="J87" s="277">
        <v>1</v>
      </c>
      <c r="K87" s="146">
        <v>5</v>
      </c>
      <c r="L87" s="146">
        <v>442</v>
      </c>
      <c r="M87" s="146" t="s">
        <v>1220</v>
      </c>
      <c r="N87" s="146">
        <v>20</v>
      </c>
      <c r="O87" s="195" t="s">
        <v>1136</v>
      </c>
      <c r="T87" s="146">
        <v>5</v>
      </c>
      <c r="W87" s="195">
        <v>621</v>
      </c>
      <c r="X87" s="146">
        <v>1600</v>
      </c>
      <c r="Y87" s="146">
        <v>2436</v>
      </c>
      <c r="Z87" s="344" t="s">
        <v>1296</v>
      </c>
    </row>
    <row r="88" spans="1:33" x14ac:dyDescent="0.2">
      <c r="A88" s="196">
        <v>45750</v>
      </c>
      <c r="B88" s="251">
        <v>0.72916666666666663</v>
      </c>
      <c r="C88" s="276">
        <v>286</v>
      </c>
      <c r="D88" s="195" t="s">
        <v>1293</v>
      </c>
      <c r="E88" s="146">
        <v>12</v>
      </c>
      <c r="F88" s="7" t="s">
        <v>719</v>
      </c>
      <c r="I88" s="195" t="s">
        <v>1199</v>
      </c>
      <c r="J88" s="277">
        <v>1</v>
      </c>
      <c r="K88" s="146">
        <v>5</v>
      </c>
      <c r="L88" s="146">
        <v>442</v>
      </c>
      <c r="M88" s="146" t="s">
        <v>1220</v>
      </c>
      <c r="N88" s="146">
        <v>20</v>
      </c>
      <c r="O88" s="195" t="s">
        <v>1136</v>
      </c>
      <c r="T88" s="146">
        <v>5</v>
      </c>
      <c r="W88" s="195">
        <v>1948</v>
      </c>
      <c r="X88" s="146">
        <v>2800</v>
      </c>
      <c r="Y88" s="146">
        <v>3531</v>
      </c>
      <c r="Z88" s="344" t="s">
        <v>1298</v>
      </c>
    </row>
    <row r="89" spans="1:33" x14ac:dyDescent="0.2">
      <c r="A89" s="196">
        <v>45750</v>
      </c>
      <c r="B89" s="251">
        <v>0.73263888888888884</v>
      </c>
      <c r="C89" s="276">
        <v>286</v>
      </c>
      <c r="D89" s="195" t="s">
        <v>1293</v>
      </c>
      <c r="E89" s="146">
        <v>12</v>
      </c>
      <c r="F89" s="7" t="s">
        <v>719</v>
      </c>
      <c r="I89" s="195" t="s">
        <v>1199</v>
      </c>
      <c r="J89" s="277">
        <v>1</v>
      </c>
      <c r="K89" s="146">
        <v>5</v>
      </c>
      <c r="L89" s="146">
        <v>442</v>
      </c>
      <c r="M89" s="146" t="s">
        <v>1220</v>
      </c>
      <c r="N89" s="146">
        <v>20</v>
      </c>
      <c r="O89" s="195" t="s">
        <v>1136</v>
      </c>
      <c r="T89" s="146">
        <v>5</v>
      </c>
      <c r="W89" s="195">
        <v>621</v>
      </c>
      <c r="X89" s="146">
        <v>1600</v>
      </c>
      <c r="Y89" s="146">
        <v>2436</v>
      </c>
      <c r="Z89" s="344" t="s">
        <v>1299</v>
      </c>
    </row>
    <row r="90" spans="1:33" x14ac:dyDescent="0.2">
      <c r="A90" s="196">
        <v>45750</v>
      </c>
      <c r="B90" s="251">
        <v>0.73611111111111116</v>
      </c>
      <c r="C90" s="276">
        <v>286</v>
      </c>
      <c r="D90" s="195" t="s">
        <v>1293</v>
      </c>
      <c r="E90" s="146">
        <v>12</v>
      </c>
      <c r="F90" s="7" t="s">
        <v>719</v>
      </c>
      <c r="I90" s="195" t="s">
        <v>1199</v>
      </c>
      <c r="J90" s="277">
        <v>1</v>
      </c>
      <c r="K90" s="146">
        <v>5</v>
      </c>
      <c r="L90" s="146">
        <v>442</v>
      </c>
      <c r="M90" s="146" t="s">
        <v>1220</v>
      </c>
      <c r="N90" s="146">
        <v>20</v>
      </c>
      <c r="O90" s="195" t="s">
        <v>1136</v>
      </c>
      <c r="T90" s="146">
        <v>5</v>
      </c>
      <c r="W90" s="195">
        <v>1948</v>
      </c>
      <c r="X90" s="146">
        <v>2800</v>
      </c>
      <c r="Y90" s="146">
        <v>3531</v>
      </c>
      <c r="Z90" s="344" t="s">
        <v>1297</v>
      </c>
    </row>
    <row r="91" spans="1:33" s="147" customFormat="1" x14ac:dyDescent="0.2">
      <c r="A91" s="226" t="s">
        <v>1300</v>
      </c>
      <c r="B91" s="232">
        <v>0.59375</v>
      </c>
      <c r="C91" s="226">
        <v>278</v>
      </c>
      <c r="D91" s="226" t="s">
        <v>1301</v>
      </c>
      <c r="E91" s="147">
        <v>12</v>
      </c>
      <c r="F91" s="49" t="s">
        <v>695</v>
      </c>
      <c r="G91" s="226"/>
      <c r="I91" s="226" t="s">
        <v>1199</v>
      </c>
      <c r="J91" s="254">
        <v>1</v>
      </c>
      <c r="K91" s="147">
        <v>5</v>
      </c>
      <c r="L91" s="147">
        <v>442</v>
      </c>
      <c r="M91" s="147" t="s">
        <v>1220</v>
      </c>
      <c r="N91" s="147">
        <v>20</v>
      </c>
      <c r="O91" s="226" t="s">
        <v>1136</v>
      </c>
      <c r="T91" s="147">
        <v>5</v>
      </c>
      <c r="W91" s="226">
        <v>621</v>
      </c>
      <c r="X91" s="147">
        <v>1600</v>
      </c>
      <c r="Y91" s="147">
        <v>2436</v>
      </c>
      <c r="Z91" s="345" t="s">
        <v>1268</v>
      </c>
      <c r="AA91" s="255"/>
      <c r="AB91" s="226">
        <v>28530</v>
      </c>
      <c r="AC91" s="147">
        <v>29164</v>
      </c>
      <c r="AD91" s="271">
        <f t="shared" si="0"/>
        <v>634</v>
      </c>
      <c r="AE91" s="147">
        <v>2829</v>
      </c>
      <c r="AF91" s="147">
        <v>3394</v>
      </c>
      <c r="AG91" s="271">
        <f t="shared" si="1"/>
        <v>565</v>
      </c>
    </row>
    <row r="92" spans="1:33" x14ac:dyDescent="0.2">
      <c r="A92" s="195" t="s">
        <v>1300</v>
      </c>
      <c r="B92" s="251">
        <v>0.60416666666666663</v>
      </c>
      <c r="C92" s="195">
        <v>278</v>
      </c>
      <c r="D92" s="195" t="s">
        <v>1301</v>
      </c>
      <c r="E92" s="146">
        <v>12</v>
      </c>
      <c r="F92" s="7" t="s">
        <v>695</v>
      </c>
      <c r="I92" s="195" t="s">
        <v>1199</v>
      </c>
      <c r="J92" s="277">
        <v>1</v>
      </c>
      <c r="K92" s="146">
        <v>5</v>
      </c>
      <c r="L92" s="146">
        <v>442</v>
      </c>
      <c r="M92" s="146" t="s">
        <v>1220</v>
      </c>
      <c r="N92" s="146">
        <v>20</v>
      </c>
      <c r="O92" s="195" t="s">
        <v>1136</v>
      </c>
      <c r="T92" s="146">
        <v>5</v>
      </c>
      <c r="W92" s="195">
        <v>1948</v>
      </c>
      <c r="X92" s="146">
        <v>2800</v>
      </c>
      <c r="Y92" s="146">
        <v>3531</v>
      </c>
      <c r="Z92" s="344" t="s">
        <v>1295</v>
      </c>
    </row>
    <row r="93" spans="1:33" x14ac:dyDescent="0.2">
      <c r="A93" s="195" t="s">
        <v>1300</v>
      </c>
      <c r="B93" s="251">
        <v>0.61458333333333337</v>
      </c>
      <c r="C93" s="276">
        <v>285</v>
      </c>
      <c r="D93" s="195" t="s">
        <v>1301</v>
      </c>
      <c r="E93" s="146">
        <v>12</v>
      </c>
      <c r="F93" s="7" t="s">
        <v>717</v>
      </c>
      <c r="I93" s="195" t="s">
        <v>1199</v>
      </c>
      <c r="J93" s="277">
        <v>1</v>
      </c>
      <c r="K93" s="146">
        <v>5</v>
      </c>
      <c r="L93" s="146">
        <v>442</v>
      </c>
      <c r="M93" s="146" t="s">
        <v>1220</v>
      </c>
      <c r="N93" s="146">
        <v>20</v>
      </c>
      <c r="O93" s="195" t="s">
        <v>1136</v>
      </c>
      <c r="T93" s="146">
        <v>5</v>
      </c>
      <c r="W93" s="195">
        <v>621</v>
      </c>
      <c r="X93" s="146">
        <v>1600</v>
      </c>
      <c r="Y93" s="146">
        <v>2436</v>
      </c>
      <c r="Z93" s="344" t="s">
        <v>1268</v>
      </c>
      <c r="AB93" s="195">
        <v>6256</v>
      </c>
      <c r="AC93" s="146">
        <v>6563</v>
      </c>
      <c r="AD93" s="271">
        <f t="shared" si="0"/>
        <v>307</v>
      </c>
      <c r="AE93" s="146">
        <v>5355</v>
      </c>
      <c r="AF93" s="146">
        <v>5729</v>
      </c>
      <c r="AG93" s="271">
        <f t="shared" si="1"/>
        <v>374</v>
      </c>
    </row>
    <row r="94" spans="1:33" x14ac:dyDescent="0.2">
      <c r="A94" s="195" t="s">
        <v>1300</v>
      </c>
      <c r="B94" s="251">
        <v>0.625</v>
      </c>
      <c r="C94" s="276">
        <v>285</v>
      </c>
      <c r="D94" s="195" t="s">
        <v>1301</v>
      </c>
      <c r="E94" s="146">
        <v>12</v>
      </c>
      <c r="F94" s="7" t="s">
        <v>717</v>
      </c>
      <c r="I94" s="195" t="s">
        <v>1199</v>
      </c>
      <c r="J94" s="277">
        <v>1</v>
      </c>
      <c r="K94" s="146">
        <v>5</v>
      </c>
      <c r="L94" s="146">
        <v>442</v>
      </c>
      <c r="M94" s="146" t="s">
        <v>1220</v>
      </c>
      <c r="N94" s="146">
        <v>20</v>
      </c>
      <c r="O94" s="195" t="s">
        <v>1136</v>
      </c>
      <c r="T94" s="146">
        <v>5</v>
      </c>
      <c r="W94" s="195">
        <v>1948</v>
      </c>
      <c r="X94" s="146">
        <v>2800</v>
      </c>
      <c r="Y94" s="146">
        <v>3531</v>
      </c>
      <c r="Z94" s="344" t="s">
        <v>1295</v>
      </c>
    </row>
    <row r="95" spans="1:33" s="147" customFormat="1" x14ac:dyDescent="0.2">
      <c r="A95" s="226" t="s">
        <v>1302</v>
      </c>
      <c r="B95" s="232">
        <v>0.60416666666666663</v>
      </c>
      <c r="C95" s="226">
        <v>281</v>
      </c>
      <c r="D95" s="226" t="s">
        <v>1301</v>
      </c>
      <c r="E95" s="147">
        <v>12</v>
      </c>
      <c r="F95" s="49" t="s">
        <v>705</v>
      </c>
      <c r="G95" s="226"/>
      <c r="I95" s="226" t="s">
        <v>1199</v>
      </c>
      <c r="J95" s="254">
        <v>1</v>
      </c>
      <c r="K95" s="147">
        <v>5</v>
      </c>
      <c r="L95" s="147">
        <v>442</v>
      </c>
      <c r="M95" s="147" t="s">
        <v>1220</v>
      </c>
      <c r="N95" s="147">
        <v>20</v>
      </c>
      <c r="O95" s="226" t="s">
        <v>1136</v>
      </c>
      <c r="T95" s="147">
        <v>5</v>
      </c>
      <c r="W95" s="226">
        <v>621</v>
      </c>
      <c r="X95" s="147">
        <v>1600</v>
      </c>
      <c r="Y95" s="147">
        <v>2436</v>
      </c>
      <c r="Z95" s="345" t="s">
        <v>1268</v>
      </c>
      <c r="AA95" s="255"/>
      <c r="AB95" s="226">
        <v>30299</v>
      </c>
      <c r="AC95" s="147">
        <v>30935</v>
      </c>
      <c r="AD95" s="271">
        <f t="shared" si="0"/>
        <v>636</v>
      </c>
      <c r="AE95" s="147">
        <v>4080</v>
      </c>
      <c r="AF95" s="147">
        <v>3543</v>
      </c>
      <c r="AG95" s="271">
        <f t="shared" si="1"/>
        <v>-537</v>
      </c>
    </row>
    <row r="96" spans="1:33" x14ac:dyDescent="0.2">
      <c r="A96" s="195" t="s">
        <v>1302</v>
      </c>
      <c r="B96" s="251">
        <v>0.61458333333333337</v>
      </c>
      <c r="C96" s="195">
        <v>281</v>
      </c>
      <c r="D96" s="195" t="s">
        <v>1301</v>
      </c>
      <c r="E96" s="146">
        <v>12</v>
      </c>
      <c r="F96" s="7" t="s">
        <v>705</v>
      </c>
      <c r="I96" s="195" t="s">
        <v>1199</v>
      </c>
      <c r="J96" s="277">
        <v>1</v>
      </c>
      <c r="K96" s="146">
        <v>5</v>
      </c>
      <c r="L96" s="146">
        <v>442</v>
      </c>
      <c r="M96" s="146" t="s">
        <v>1220</v>
      </c>
      <c r="N96" s="146">
        <v>20</v>
      </c>
      <c r="O96" s="195" t="s">
        <v>1136</v>
      </c>
      <c r="T96" s="146">
        <v>5</v>
      </c>
      <c r="W96" s="195">
        <v>1948</v>
      </c>
      <c r="X96" s="146">
        <v>2800</v>
      </c>
      <c r="Y96" s="146">
        <v>3531</v>
      </c>
      <c r="Z96" s="344" t="s">
        <v>1295</v>
      </c>
      <c r="AG96" s="271">
        <f t="shared" si="1"/>
        <v>0</v>
      </c>
    </row>
    <row r="97" spans="1:33" x14ac:dyDescent="0.2">
      <c r="A97" s="195" t="s">
        <v>1302</v>
      </c>
      <c r="B97" s="251">
        <v>0.625</v>
      </c>
      <c r="C97" s="195">
        <v>270</v>
      </c>
      <c r="D97" s="195" t="s">
        <v>1303</v>
      </c>
      <c r="E97" s="146">
        <v>12</v>
      </c>
      <c r="F97" s="7" t="s">
        <v>675</v>
      </c>
      <c r="I97" s="195" t="s">
        <v>1199</v>
      </c>
      <c r="J97" s="277">
        <v>1</v>
      </c>
      <c r="K97" s="146">
        <v>5</v>
      </c>
      <c r="L97" s="146">
        <v>442</v>
      </c>
      <c r="M97" s="146" t="s">
        <v>1220</v>
      </c>
      <c r="N97" s="146">
        <v>20</v>
      </c>
      <c r="O97" s="195" t="s">
        <v>1136</v>
      </c>
      <c r="T97" s="146">
        <v>5</v>
      </c>
      <c r="W97" s="195">
        <v>621</v>
      </c>
      <c r="X97" s="146">
        <v>1600</v>
      </c>
      <c r="Y97" s="146">
        <v>2436</v>
      </c>
      <c r="Z97" s="344" t="s">
        <v>1268</v>
      </c>
      <c r="AB97" s="195">
        <v>12530</v>
      </c>
      <c r="AC97" s="146">
        <v>13567</v>
      </c>
      <c r="AD97" s="271">
        <f t="shared" si="0"/>
        <v>1037</v>
      </c>
      <c r="AE97" s="146">
        <v>10620</v>
      </c>
      <c r="AF97" s="146">
        <v>9955</v>
      </c>
      <c r="AG97" s="271">
        <f t="shared" si="1"/>
        <v>-665</v>
      </c>
    </row>
    <row r="98" spans="1:33" x14ac:dyDescent="0.2">
      <c r="A98" s="195" t="s">
        <v>1302</v>
      </c>
      <c r="B98" s="251">
        <v>0.63888888888888884</v>
      </c>
      <c r="C98" s="195">
        <v>270</v>
      </c>
      <c r="D98" s="195" t="s">
        <v>1303</v>
      </c>
      <c r="E98" s="146">
        <v>12</v>
      </c>
      <c r="F98" s="7" t="s">
        <v>675</v>
      </c>
      <c r="I98" s="195" t="s">
        <v>1199</v>
      </c>
      <c r="J98" s="277">
        <v>1</v>
      </c>
      <c r="K98" s="146">
        <v>5</v>
      </c>
      <c r="L98" s="146">
        <v>442</v>
      </c>
      <c r="M98" s="146" t="s">
        <v>1220</v>
      </c>
      <c r="N98" s="146">
        <v>20</v>
      </c>
      <c r="O98" s="195" t="s">
        <v>1136</v>
      </c>
      <c r="T98" s="146">
        <v>5</v>
      </c>
      <c r="W98" s="195">
        <v>1948</v>
      </c>
      <c r="X98" s="146">
        <v>2800</v>
      </c>
      <c r="Y98" s="146">
        <v>3531</v>
      </c>
      <c r="Z98" s="344" t="s">
        <v>1295</v>
      </c>
    </row>
    <row r="99" spans="1:33" x14ac:dyDescent="0.2">
      <c r="A99" s="195" t="s">
        <v>1302</v>
      </c>
      <c r="B99" s="251">
        <v>0.65277777777777779</v>
      </c>
      <c r="C99" s="195">
        <v>275</v>
      </c>
      <c r="D99" s="195" t="s">
        <v>1303</v>
      </c>
      <c r="E99" s="146">
        <v>12</v>
      </c>
      <c r="F99" s="7" t="s">
        <v>688</v>
      </c>
      <c r="I99" s="195" t="s">
        <v>1199</v>
      </c>
      <c r="J99" s="277">
        <v>1</v>
      </c>
      <c r="K99" s="146">
        <v>5</v>
      </c>
      <c r="L99" s="146">
        <v>442</v>
      </c>
      <c r="M99" s="146" t="s">
        <v>1220</v>
      </c>
      <c r="N99" s="146">
        <v>20</v>
      </c>
      <c r="O99" s="195" t="s">
        <v>1136</v>
      </c>
      <c r="T99" s="146">
        <v>5</v>
      </c>
      <c r="W99" s="195">
        <v>621</v>
      </c>
      <c r="X99" s="146">
        <v>1600</v>
      </c>
      <c r="Y99" s="146">
        <v>2436</v>
      </c>
      <c r="Z99" s="344" t="s">
        <v>1268</v>
      </c>
      <c r="AB99" s="195">
        <v>27269</v>
      </c>
      <c r="AC99" s="146">
        <v>26556</v>
      </c>
      <c r="AD99" s="271">
        <f t="shared" si="0"/>
        <v>-713</v>
      </c>
      <c r="AE99" s="146">
        <v>4847</v>
      </c>
      <c r="AF99" s="146">
        <v>4847</v>
      </c>
      <c r="AG99" s="271">
        <f t="shared" si="1"/>
        <v>0</v>
      </c>
    </row>
    <row r="100" spans="1:33" x14ac:dyDescent="0.2">
      <c r="A100" s="195" t="s">
        <v>1302</v>
      </c>
      <c r="B100" s="251">
        <v>0.66666666666666663</v>
      </c>
      <c r="C100" s="195">
        <v>275</v>
      </c>
      <c r="D100" s="195" t="s">
        <v>1303</v>
      </c>
      <c r="E100" s="146">
        <v>12</v>
      </c>
      <c r="F100" s="7" t="s">
        <v>688</v>
      </c>
      <c r="I100" s="195" t="s">
        <v>1199</v>
      </c>
      <c r="J100" s="277">
        <v>1</v>
      </c>
      <c r="K100" s="146">
        <v>5</v>
      </c>
      <c r="L100" s="146">
        <v>442</v>
      </c>
      <c r="M100" s="146" t="s">
        <v>1220</v>
      </c>
      <c r="N100" s="146">
        <v>20</v>
      </c>
      <c r="O100" s="195" t="s">
        <v>1136</v>
      </c>
      <c r="T100" s="146">
        <v>5</v>
      </c>
      <c r="W100" s="195">
        <v>1948</v>
      </c>
      <c r="X100" s="146">
        <v>2800</v>
      </c>
      <c r="Y100" s="146">
        <v>3531</v>
      </c>
      <c r="Z100" s="344" t="s">
        <v>1295</v>
      </c>
    </row>
    <row r="101" spans="1:33" x14ac:dyDescent="0.2">
      <c r="A101" s="195" t="s">
        <v>1302</v>
      </c>
      <c r="B101" s="251">
        <v>0.70138888888888884</v>
      </c>
      <c r="C101" s="195">
        <v>302</v>
      </c>
      <c r="D101" s="195" t="s">
        <v>1303</v>
      </c>
      <c r="E101" s="146">
        <v>12</v>
      </c>
      <c r="F101" s="7" t="s">
        <v>759</v>
      </c>
      <c r="I101" s="195" t="s">
        <v>1199</v>
      </c>
      <c r="J101" s="277">
        <v>1</v>
      </c>
      <c r="K101" s="146">
        <v>5</v>
      </c>
      <c r="L101" s="146">
        <v>442</v>
      </c>
      <c r="M101" s="146" t="s">
        <v>1220</v>
      </c>
      <c r="N101" s="146">
        <v>20</v>
      </c>
      <c r="O101" s="195" t="s">
        <v>1136</v>
      </c>
      <c r="T101" s="146">
        <v>5</v>
      </c>
      <c r="W101" s="195">
        <v>621</v>
      </c>
      <c r="X101" s="146">
        <v>1600</v>
      </c>
      <c r="Y101" s="146">
        <v>2436</v>
      </c>
      <c r="Z101" s="344" t="s">
        <v>1268</v>
      </c>
      <c r="AB101" s="195">
        <v>43952</v>
      </c>
      <c r="AC101" s="146">
        <v>45116</v>
      </c>
      <c r="AD101" s="271">
        <f t="shared" si="0"/>
        <v>1164</v>
      </c>
      <c r="AE101" s="146">
        <v>5902</v>
      </c>
      <c r="AF101" s="146">
        <v>5837</v>
      </c>
      <c r="AG101" s="271">
        <f t="shared" si="1"/>
        <v>-65</v>
      </c>
    </row>
    <row r="102" spans="1:33" x14ac:dyDescent="0.2">
      <c r="A102" s="195" t="s">
        <v>1302</v>
      </c>
      <c r="B102" s="251">
        <v>0.71527777777777779</v>
      </c>
      <c r="C102" s="195">
        <v>302</v>
      </c>
      <c r="D102" s="195" t="s">
        <v>1303</v>
      </c>
      <c r="E102" s="146">
        <v>12</v>
      </c>
      <c r="F102" s="7" t="s">
        <v>759</v>
      </c>
      <c r="I102" s="195" t="s">
        <v>1199</v>
      </c>
      <c r="J102" s="277">
        <v>1</v>
      </c>
      <c r="K102" s="146">
        <v>5</v>
      </c>
      <c r="L102" s="146">
        <v>442</v>
      </c>
      <c r="M102" s="146" t="s">
        <v>1220</v>
      </c>
      <c r="N102" s="146">
        <v>20</v>
      </c>
      <c r="O102" s="195" t="s">
        <v>1136</v>
      </c>
      <c r="T102" s="146">
        <v>5</v>
      </c>
      <c r="W102" s="195">
        <v>1948</v>
      </c>
      <c r="X102" s="146">
        <v>2800</v>
      </c>
      <c r="Y102" s="146">
        <v>3531</v>
      </c>
      <c r="Z102" s="344" t="s">
        <v>1295</v>
      </c>
    </row>
    <row r="103" spans="1:33" s="147" customFormat="1" x14ac:dyDescent="0.2">
      <c r="A103" s="226" t="s">
        <v>1304</v>
      </c>
      <c r="B103" s="232">
        <v>0.60416666666666663</v>
      </c>
      <c r="C103" s="275">
        <v>277</v>
      </c>
      <c r="D103" s="226" t="s">
        <v>1303</v>
      </c>
      <c r="E103" s="147">
        <v>12</v>
      </c>
      <c r="F103" s="49" t="s">
        <v>693</v>
      </c>
      <c r="G103" s="226"/>
      <c r="I103" s="226" t="s">
        <v>1199</v>
      </c>
      <c r="J103" s="254">
        <v>1</v>
      </c>
      <c r="K103" s="147">
        <v>5</v>
      </c>
      <c r="L103" s="147">
        <v>442</v>
      </c>
      <c r="M103" s="147" t="s">
        <v>1220</v>
      </c>
      <c r="N103" s="147">
        <v>20</v>
      </c>
      <c r="O103" s="226" t="s">
        <v>1136</v>
      </c>
      <c r="T103" s="147">
        <v>5</v>
      </c>
      <c r="W103" s="226">
        <v>621</v>
      </c>
      <c r="X103" s="147">
        <v>1600</v>
      </c>
      <c r="Y103" s="147">
        <v>2436</v>
      </c>
      <c r="Z103" s="345" t="s">
        <v>1305</v>
      </c>
      <c r="AA103" s="255"/>
      <c r="AB103" s="226">
        <v>13046</v>
      </c>
      <c r="AC103" s="147">
        <v>13133</v>
      </c>
      <c r="AD103" s="272">
        <f t="shared" si="0"/>
        <v>87</v>
      </c>
      <c r="AE103" s="147">
        <v>4007</v>
      </c>
      <c r="AF103" s="147">
        <v>4070</v>
      </c>
      <c r="AG103" s="272">
        <f t="shared" si="1"/>
        <v>63</v>
      </c>
    </row>
    <row r="104" spans="1:33" x14ac:dyDescent="0.2">
      <c r="A104" s="195" t="s">
        <v>1304</v>
      </c>
      <c r="B104" s="251">
        <v>0.60416666666666663</v>
      </c>
      <c r="C104" s="276">
        <v>277</v>
      </c>
      <c r="D104" s="195" t="s">
        <v>1303</v>
      </c>
      <c r="E104" s="146">
        <v>12</v>
      </c>
      <c r="F104" s="7" t="s">
        <v>693</v>
      </c>
      <c r="I104" s="195" t="s">
        <v>1199</v>
      </c>
      <c r="J104" s="277">
        <v>1</v>
      </c>
      <c r="K104" s="146">
        <v>5</v>
      </c>
      <c r="L104" s="146">
        <v>442</v>
      </c>
      <c r="M104" s="146" t="s">
        <v>1220</v>
      </c>
      <c r="N104" s="146">
        <v>20</v>
      </c>
      <c r="O104" s="195" t="s">
        <v>1136</v>
      </c>
      <c r="T104" s="146">
        <v>5</v>
      </c>
      <c r="W104" s="195">
        <v>621</v>
      </c>
      <c r="X104" s="146">
        <v>1600</v>
      </c>
      <c r="Y104" s="146">
        <v>2436</v>
      </c>
      <c r="Z104" s="344" t="s">
        <v>1306</v>
      </c>
    </row>
    <row r="105" spans="1:33" x14ac:dyDescent="0.2">
      <c r="A105" s="195" t="s">
        <v>1304</v>
      </c>
      <c r="B105" s="251">
        <v>0.625</v>
      </c>
      <c r="C105" s="276">
        <v>277</v>
      </c>
      <c r="D105" s="195" t="s">
        <v>1303</v>
      </c>
      <c r="E105" s="146">
        <v>12</v>
      </c>
      <c r="F105" s="7" t="s">
        <v>693</v>
      </c>
      <c r="I105" s="195" t="s">
        <v>1199</v>
      </c>
      <c r="J105" s="277">
        <v>1</v>
      </c>
      <c r="K105" s="146">
        <v>5</v>
      </c>
      <c r="L105" s="146">
        <v>442</v>
      </c>
      <c r="M105" s="146" t="s">
        <v>1220</v>
      </c>
      <c r="N105" s="146">
        <v>20</v>
      </c>
      <c r="O105" s="195" t="s">
        <v>1136</v>
      </c>
      <c r="T105" s="146">
        <v>5</v>
      </c>
      <c r="W105" s="195">
        <v>1948</v>
      </c>
      <c r="X105" s="146">
        <v>2800</v>
      </c>
      <c r="Y105" s="146">
        <v>3531</v>
      </c>
      <c r="Z105" s="344" t="s">
        <v>1307</v>
      </c>
    </row>
    <row r="106" spans="1:33" x14ac:dyDescent="0.2">
      <c r="A106" s="195" t="s">
        <v>1304</v>
      </c>
      <c r="B106" s="251">
        <v>0.64583333333333337</v>
      </c>
      <c r="C106" s="195">
        <v>212</v>
      </c>
      <c r="D106" s="195" t="s">
        <v>1308</v>
      </c>
      <c r="E106" s="146">
        <v>60</v>
      </c>
      <c r="F106" s="146" t="s">
        <v>606</v>
      </c>
      <c r="I106" s="195" t="s">
        <v>1199</v>
      </c>
      <c r="J106" s="277">
        <v>1</v>
      </c>
      <c r="K106" s="146">
        <v>5</v>
      </c>
      <c r="L106" s="146">
        <v>442</v>
      </c>
      <c r="M106" s="146" t="s">
        <v>1220</v>
      </c>
      <c r="N106" s="146">
        <v>20</v>
      </c>
      <c r="O106" s="195" t="s">
        <v>1136</v>
      </c>
      <c r="T106" s="146">
        <v>5</v>
      </c>
      <c r="W106" s="195">
        <v>621</v>
      </c>
      <c r="X106" s="146">
        <v>1600</v>
      </c>
      <c r="Y106" s="146">
        <v>2436</v>
      </c>
      <c r="Z106" s="344" t="s">
        <v>1268</v>
      </c>
      <c r="AB106" s="195">
        <v>18039</v>
      </c>
      <c r="AC106" s="146">
        <v>17062</v>
      </c>
      <c r="AD106" s="271">
        <f t="shared" si="0"/>
        <v>-977</v>
      </c>
      <c r="AE106" s="146">
        <v>4032</v>
      </c>
      <c r="AF106" s="146">
        <v>4389</v>
      </c>
      <c r="AG106" s="271">
        <f t="shared" si="1"/>
        <v>357</v>
      </c>
    </row>
    <row r="107" spans="1:33" x14ac:dyDescent="0.2">
      <c r="A107" s="195" t="s">
        <v>1304</v>
      </c>
      <c r="B107" s="251">
        <v>0.66666666666666663</v>
      </c>
      <c r="C107" s="195">
        <v>212</v>
      </c>
      <c r="D107" s="195" t="s">
        <v>1308</v>
      </c>
      <c r="E107" s="146">
        <v>60</v>
      </c>
      <c r="F107" s="146" t="s">
        <v>606</v>
      </c>
      <c r="I107" s="195" t="s">
        <v>1199</v>
      </c>
      <c r="J107" s="277">
        <v>1</v>
      </c>
      <c r="K107" s="146">
        <v>5</v>
      </c>
      <c r="L107" s="146">
        <v>442</v>
      </c>
      <c r="M107" s="146" t="s">
        <v>1220</v>
      </c>
      <c r="N107" s="146">
        <v>20</v>
      </c>
      <c r="O107" s="195" t="s">
        <v>1136</v>
      </c>
      <c r="T107" s="146">
        <v>5</v>
      </c>
      <c r="W107" s="195">
        <v>1948</v>
      </c>
      <c r="X107" s="146">
        <v>2800</v>
      </c>
      <c r="Y107" s="146">
        <v>3531</v>
      </c>
      <c r="Z107" s="344" t="s">
        <v>1295</v>
      </c>
      <c r="AB107" s="195">
        <v>27598</v>
      </c>
      <c r="AC107" s="146">
        <v>26805</v>
      </c>
      <c r="AD107" s="271">
        <f>AC107-AB107</f>
        <v>-793</v>
      </c>
      <c r="AE107" s="146">
        <v>5687</v>
      </c>
      <c r="AF107" s="146">
        <v>5767</v>
      </c>
      <c r="AG107" s="271">
        <f>AF107-AE107</f>
        <v>80</v>
      </c>
    </row>
    <row r="108" spans="1:33" x14ac:dyDescent="0.2">
      <c r="A108" s="195" t="s">
        <v>1304</v>
      </c>
      <c r="B108" s="251">
        <v>0.67708333333333337</v>
      </c>
      <c r="C108" s="195">
        <v>242</v>
      </c>
      <c r="D108" s="195" t="s">
        <v>1309</v>
      </c>
      <c r="E108" s="146">
        <v>60</v>
      </c>
      <c r="F108" s="7" t="s">
        <v>625</v>
      </c>
      <c r="I108" s="195" t="s">
        <v>1199</v>
      </c>
      <c r="J108" s="277">
        <v>1</v>
      </c>
      <c r="K108" s="146">
        <v>5</v>
      </c>
      <c r="L108" s="146">
        <v>442</v>
      </c>
      <c r="M108" s="146" t="s">
        <v>1220</v>
      </c>
      <c r="N108" s="146">
        <v>20</v>
      </c>
      <c r="O108" s="195" t="s">
        <v>1136</v>
      </c>
      <c r="T108" s="146">
        <v>5</v>
      </c>
      <c r="W108" s="195">
        <v>621</v>
      </c>
      <c r="X108" s="146">
        <v>1600</v>
      </c>
      <c r="Y108" s="146">
        <v>2436</v>
      </c>
      <c r="Z108" s="344" t="s">
        <v>1268</v>
      </c>
      <c r="AB108" s="195">
        <v>30372</v>
      </c>
      <c r="AC108" s="146">
        <v>29629</v>
      </c>
      <c r="AD108" s="271">
        <f>AC108-AB108</f>
        <v>-743</v>
      </c>
      <c r="AE108" s="146">
        <v>2542</v>
      </c>
      <c r="AF108" s="146">
        <v>2725</v>
      </c>
      <c r="AG108" s="271">
        <f>AF108-AE108</f>
        <v>183</v>
      </c>
    </row>
    <row r="109" spans="1:33" x14ac:dyDescent="0.2">
      <c r="A109" s="195" t="s">
        <v>1304</v>
      </c>
      <c r="B109" s="251">
        <v>0.6875</v>
      </c>
      <c r="C109" s="195">
        <v>242</v>
      </c>
      <c r="D109" s="195" t="s">
        <v>1309</v>
      </c>
      <c r="E109" s="146">
        <v>60</v>
      </c>
      <c r="F109" s="7" t="s">
        <v>625</v>
      </c>
      <c r="I109" s="195" t="s">
        <v>1199</v>
      </c>
      <c r="J109" s="277">
        <v>1</v>
      </c>
      <c r="K109" s="146">
        <v>5</v>
      </c>
      <c r="L109" s="146">
        <v>442</v>
      </c>
      <c r="M109" s="146" t="s">
        <v>1220</v>
      </c>
      <c r="N109" s="146">
        <v>20</v>
      </c>
      <c r="O109" s="195" t="s">
        <v>1136</v>
      </c>
      <c r="T109" s="146">
        <v>5</v>
      </c>
      <c r="W109" s="195">
        <v>1948</v>
      </c>
      <c r="X109" s="146">
        <v>2800</v>
      </c>
      <c r="Y109" s="146">
        <v>3531</v>
      </c>
      <c r="Z109" s="344" t="s">
        <v>1295</v>
      </c>
      <c r="AB109" s="195">
        <v>30071</v>
      </c>
      <c r="AC109" s="146">
        <v>29873</v>
      </c>
      <c r="AD109" s="271">
        <f>AC109-AB109</f>
        <v>-198</v>
      </c>
      <c r="AE109" s="146">
        <v>2783</v>
      </c>
      <c r="AF109" s="146">
        <v>2804</v>
      </c>
      <c r="AG109" s="271">
        <f>AF109-AE109</f>
        <v>21</v>
      </c>
    </row>
    <row r="110" spans="1:33" s="147" customFormat="1" x14ac:dyDescent="0.2">
      <c r="A110" s="226" t="s">
        <v>1161</v>
      </c>
      <c r="B110" s="232">
        <v>0.5625</v>
      </c>
      <c r="C110" s="226">
        <v>279</v>
      </c>
      <c r="D110" s="226" t="s">
        <v>1293</v>
      </c>
      <c r="E110" s="147">
        <v>12</v>
      </c>
      <c r="F110" s="49" t="s">
        <v>698</v>
      </c>
      <c r="G110" s="226"/>
      <c r="I110" s="226" t="s">
        <v>1199</v>
      </c>
      <c r="J110" s="254">
        <v>1</v>
      </c>
      <c r="K110" s="147">
        <v>5</v>
      </c>
      <c r="L110" s="147">
        <v>442</v>
      </c>
      <c r="M110" s="147" t="s">
        <v>1220</v>
      </c>
      <c r="N110" s="147">
        <v>20</v>
      </c>
      <c r="O110" s="226" t="s">
        <v>1136</v>
      </c>
      <c r="T110" s="147">
        <v>5</v>
      </c>
      <c r="W110" s="226">
        <v>621</v>
      </c>
      <c r="X110" s="147">
        <v>1600</v>
      </c>
      <c r="Y110" s="147">
        <v>2436</v>
      </c>
      <c r="Z110" s="345" t="s">
        <v>1268</v>
      </c>
      <c r="AA110" s="255"/>
      <c r="AB110" s="226"/>
      <c r="AD110" s="272"/>
      <c r="AG110" s="272"/>
    </row>
    <row r="111" spans="1:33" x14ac:dyDescent="0.2">
      <c r="A111" s="146" t="s">
        <v>1161</v>
      </c>
      <c r="B111" s="251">
        <v>0.5625</v>
      </c>
      <c r="C111" s="195">
        <v>279</v>
      </c>
      <c r="D111" s="195" t="s">
        <v>1293</v>
      </c>
      <c r="E111" s="146">
        <v>12</v>
      </c>
      <c r="F111" s="7" t="s">
        <v>698</v>
      </c>
      <c r="I111" s="195" t="s">
        <v>1199</v>
      </c>
      <c r="J111" s="277">
        <v>1</v>
      </c>
      <c r="K111" s="146">
        <v>5</v>
      </c>
      <c r="L111" s="146">
        <v>442</v>
      </c>
      <c r="M111" s="146" t="s">
        <v>1220</v>
      </c>
      <c r="N111" s="146">
        <v>20</v>
      </c>
      <c r="O111" s="195" t="s">
        <v>1136</v>
      </c>
      <c r="T111" s="146">
        <v>5</v>
      </c>
      <c r="W111" s="195">
        <v>1948</v>
      </c>
      <c r="X111" s="146">
        <v>2800</v>
      </c>
      <c r="Y111" s="146">
        <v>3531</v>
      </c>
      <c r="Z111" s="344" t="s">
        <v>1295</v>
      </c>
    </row>
    <row r="112" spans="1:33" x14ac:dyDescent="0.2">
      <c r="A112" s="195" t="s">
        <v>1161</v>
      </c>
      <c r="B112" s="251">
        <v>0.59375</v>
      </c>
      <c r="C112" s="195">
        <v>280</v>
      </c>
      <c r="D112" s="195" t="s">
        <v>1293</v>
      </c>
      <c r="E112" s="146">
        <v>12</v>
      </c>
      <c r="F112" s="7" t="s">
        <v>702</v>
      </c>
      <c r="I112" s="195" t="s">
        <v>1199</v>
      </c>
      <c r="J112" s="277">
        <v>1</v>
      </c>
      <c r="K112" s="146">
        <v>5</v>
      </c>
      <c r="L112" s="146">
        <v>442</v>
      </c>
      <c r="M112" s="146" t="s">
        <v>1220</v>
      </c>
      <c r="N112" s="146">
        <v>20</v>
      </c>
      <c r="O112" s="195" t="s">
        <v>1136</v>
      </c>
      <c r="T112" s="146">
        <v>5</v>
      </c>
      <c r="W112" s="195">
        <v>621</v>
      </c>
      <c r="X112" s="146">
        <v>1600</v>
      </c>
      <c r="Y112" s="146">
        <v>2436</v>
      </c>
      <c r="Z112" s="344" t="s">
        <v>1268</v>
      </c>
    </row>
    <row r="113" spans="1:33" x14ac:dyDescent="0.2">
      <c r="A113" s="195" t="s">
        <v>1161</v>
      </c>
      <c r="B113" s="251">
        <v>0.59375</v>
      </c>
      <c r="C113" s="195">
        <v>280</v>
      </c>
      <c r="D113" s="195" t="s">
        <v>1293</v>
      </c>
      <c r="E113" s="146">
        <v>12</v>
      </c>
      <c r="F113" s="7" t="s">
        <v>702</v>
      </c>
      <c r="I113" s="195" t="s">
        <v>1199</v>
      </c>
      <c r="J113" s="277">
        <v>1</v>
      </c>
      <c r="K113" s="146">
        <v>5</v>
      </c>
      <c r="L113" s="146">
        <v>442</v>
      </c>
      <c r="M113" s="146" t="s">
        <v>1220</v>
      </c>
      <c r="N113" s="146">
        <v>20</v>
      </c>
      <c r="O113" s="195" t="s">
        <v>1136</v>
      </c>
      <c r="T113" s="146">
        <v>5</v>
      </c>
      <c r="W113" s="195">
        <v>1948</v>
      </c>
      <c r="X113" s="146">
        <v>2800</v>
      </c>
      <c r="Y113" s="146">
        <v>3531</v>
      </c>
      <c r="Z113" s="344" t="s">
        <v>1295</v>
      </c>
    </row>
    <row r="114" spans="1:33" x14ac:dyDescent="0.2">
      <c r="A114" s="195" t="s">
        <v>1161</v>
      </c>
      <c r="B114" s="251">
        <v>0.64583333333333337</v>
      </c>
      <c r="C114" s="195">
        <v>285</v>
      </c>
      <c r="D114" s="195" t="s">
        <v>1301</v>
      </c>
      <c r="E114" s="146">
        <v>12</v>
      </c>
      <c r="F114" s="7" t="s">
        <v>717</v>
      </c>
      <c r="I114" s="195" t="s">
        <v>1199</v>
      </c>
      <c r="J114" s="277">
        <v>1</v>
      </c>
      <c r="K114" s="146">
        <v>5</v>
      </c>
      <c r="L114" s="146">
        <v>442</v>
      </c>
      <c r="M114" s="146" t="s">
        <v>1220</v>
      </c>
      <c r="N114" s="146">
        <v>20</v>
      </c>
      <c r="O114" s="195" t="s">
        <v>1136</v>
      </c>
      <c r="T114" s="146">
        <v>5</v>
      </c>
      <c r="W114" s="195">
        <v>621</v>
      </c>
      <c r="X114" s="146">
        <v>1600</v>
      </c>
      <c r="Y114" s="146">
        <v>2436</v>
      </c>
      <c r="Z114" s="344" t="s">
        <v>1268</v>
      </c>
    </row>
    <row r="115" spans="1:33" x14ac:dyDescent="0.2">
      <c r="A115" s="195" t="s">
        <v>1161</v>
      </c>
      <c r="B115" s="251">
        <v>0.64583333333333337</v>
      </c>
      <c r="C115" s="195">
        <v>285</v>
      </c>
      <c r="D115" s="195" t="s">
        <v>1301</v>
      </c>
      <c r="E115" s="146">
        <v>12</v>
      </c>
      <c r="F115" s="7" t="s">
        <v>717</v>
      </c>
      <c r="I115" s="195" t="s">
        <v>1199</v>
      </c>
      <c r="J115" s="277">
        <v>1</v>
      </c>
      <c r="K115" s="146">
        <v>5</v>
      </c>
      <c r="L115" s="146">
        <v>442</v>
      </c>
      <c r="M115" s="146" t="s">
        <v>1220</v>
      </c>
      <c r="N115" s="146">
        <v>20</v>
      </c>
      <c r="O115" s="195" t="s">
        <v>1136</v>
      </c>
      <c r="T115" s="146">
        <v>5</v>
      </c>
      <c r="W115" s="195">
        <v>1948</v>
      </c>
      <c r="X115" s="146">
        <v>2800</v>
      </c>
      <c r="Y115" s="146">
        <v>3531</v>
      </c>
      <c r="Z115" s="344" t="s">
        <v>1295</v>
      </c>
    </row>
    <row r="116" spans="1:33" x14ac:dyDescent="0.2">
      <c r="A116" s="195" t="s">
        <v>1161</v>
      </c>
      <c r="B116" s="251">
        <v>0.66666666666666663</v>
      </c>
      <c r="C116" s="195">
        <v>286</v>
      </c>
      <c r="D116" s="195" t="s">
        <v>1293</v>
      </c>
      <c r="E116" s="146">
        <v>12</v>
      </c>
      <c r="F116" s="7" t="s">
        <v>719</v>
      </c>
      <c r="I116" s="195" t="s">
        <v>1199</v>
      </c>
      <c r="J116" s="277">
        <v>1</v>
      </c>
      <c r="K116" s="146">
        <v>5</v>
      </c>
      <c r="L116" s="146">
        <v>442</v>
      </c>
      <c r="M116" s="146" t="s">
        <v>1220</v>
      </c>
      <c r="N116" s="146">
        <v>20</v>
      </c>
      <c r="O116" s="195" t="s">
        <v>1136</v>
      </c>
      <c r="T116" s="146">
        <v>5</v>
      </c>
      <c r="W116" s="195">
        <v>621</v>
      </c>
      <c r="X116" s="146">
        <v>1600</v>
      </c>
      <c r="Y116" s="146">
        <v>2436</v>
      </c>
      <c r="Z116" s="344" t="s">
        <v>1268</v>
      </c>
    </row>
    <row r="117" spans="1:33" x14ac:dyDescent="0.2">
      <c r="A117" s="195" t="s">
        <v>1161</v>
      </c>
      <c r="B117" s="251">
        <v>0.66666666666666663</v>
      </c>
      <c r="C117" s="195">
        <v>286</v>
      </c>
      <c r="D117" s="195" t="s">
        <v>1293</v>
      </c>
      <c r="E117" s="146">
        <v>12</v>
      </c>
      <c r="F117" s="7" t="s">
        <v>719</v>
      </c>
      <c r="I117" s="195" t="s">
        <v>1199</v>
      </c>
      <c r="J117" s="277">
        <v>1</v>
      </c>
      <c r="K117" s="146">
        <v>5</v>
      </c>
      <c r="L117" s="146">
        <v>442</v>
      </c>
      <c r="M117" s="146" t="s">
        <v>1220</v>
      </c>
      <c r="N117" s="146">
        <v>20</v>
      </c>
      <c r="O117" s="195" t="s">
        <v>1136</v>
      </c>
      <c r="T117" s="146">
        <v>5</v>
      </c>
      <c r="W117" s="195">
        <v>1948</v>
      </c>
      <c r="X117" s="146">
        <v>2800</v>
      </c>
      <c r="Y117" s="146">
        <v>3531</v>
      </c>
      <c r="Z117" s="344" t="s">
        <v>1295</v>
      </c>
    </row>
    <row r="118" spans="1:33" x14ac:dyDescent="0.2">
      <c r="A118" s="195" t="s">
        <v>1161</v>
      </c>
      <c r="B118" s="251">
        <v>0.625</v>
      </c>
      <c r="C118" s="195">
        <v>289</v>
      </c>
      <c r="D118" s="195" t="s">
        <v>1293</v>
      </c>
      <c r="E118" s="146">
        <v>12</v>
      </c>
      <c r="F118" s="7" t="s">
        <v>728</v>
      </c>
      <c r="I118" s="195" t="s">
        <v>1199</v>
      </c>
      <c r="J118" s="277">
        <v>1</v>
      </c>
      <c r="K118" s="146">
        <v>5</v>
      </c>
      <c r="L118" s="146">
        <v>442</v>
      </c>
      <c r="M118" s="146" t="s">
        <v>1220</v>
      </c>
      <c r="N118" s="146">
        <v>20</v>
      </c>
      <c r="O118" s="195" t="s">
        <v>1136</v>
      </c>
      <c r="T118" s="146">
        <v>5</v>
      </c>
      <c r="W118" s="195">
        <v>621</v>
      </c>
      <c r="X118" s="146">
        <v>1600</v>
      </c>
      <c r="Y118" s="146">
        <v>2436</v>
      </c>
      <c r="Z118" s="344" t="s">
        <v>1268</v>
      </c>
    </row>
    <row r="119" spans="1:33" x14ac:dyDescent="0.2">
      <c r="A119" s="195" t="s">
        <v>1161</v>
      </c>
      <c r="B119" s="251">
        <v>0.625</v>
      </c>
      <c r="C119" s="195">
        <v>289</v>
      </c>
      <c r="D119" s="195" t="s">
        <v>1293</v>
      </c>
      <c r="E119" s="146">
        <v>12</v>
      </c>
      <c r="F119" s="7" t="s">
        <v>728</v>
      </c>
      <c r="I119" s="195" t="s">
        <v>1199</v>
      </c>
      <c r="J119" s="277">
        <v>1</v>
      </c>
      <c r="K119" s="146">
        <v>5</v>
      </c>
      <c r="L119" s="146">
        <v>442</v>
      </c>
      <c r="M119" s="146" t="s">
        <v>1220</v>
      </c>
      <c r="N119" s="146">
        <v>20</v>
      </c>
      <c r="O119" s="195" t="s">
        <v>1136</v>
      </c>
      <c r="T119" s="146">
        <v>5</v>
      </c>
      <c r="W119" s="195">
        <v>1948</v>
      </c>
      <c r="X119" s="146">
        <v>2800</v>
      </c>
      <c r="Y119" s="146">
        <v>3531</v>
      </c>
      <c r="Z119" s="344" t="s">
        <v>1295</v>
      </c>
    </row>
    <row r="120" spans="1:33" x14ac:dyDescent="0.2">
      <c r="A120" s="195" t="s">
        <v>1161</v>
      </c>
      <c r="B120" s="251">
        <v>0.6875</v>
      </c>
      <c r="C120" s="195">
        <v>282</v>
      </c>
      <c r="D120" s="195" t="s">
        <v>1301</v>
      </c>
      <c r="E120" s="146">
        <v>12</v>
      </c>
      <c r="F120" s="7" t="s">
        <v>708</v>
      </c>
      <c r="I120" s="195" t="s">
        <v>1199</v>
      </c>
      <c r="J120" s="277">
        <v>1</v>
      </c>
      <c r="K120" s="146">
        <v>5</v>
      </c>
      <c r="L120" s="146">
        <v>442</v>
      </c>
      <c r="M120" s="146" t="s">
        <v>1220</v>
      </c>
      <c r="N120" s="146">
        <v>20</v>
      </c>
      <c r="O120" s="195" t="s">
        <v>1136</v>
      </c>
      <c r="T120" s="146">
        <v>5</v>
      </c>
      <c r="W120" s="195">
        <v>621</v>
      </c>
      <c r="X120" s="146">
        <v>1600</v>
      </c>
      <c r="Y120" s="146">
        <v>2436</v>
      </c>
      <c r="Z120" s="344" t="s">
        <v>1268</v>
      </c>
    </row>
    <row r="121" spans="1:33" x14ac:dyDescent="0.2">
      <c r="A121" s="195" t="s">
        <v>1161</v>
      </c>
      <c r="B121" s="251">
        <v>0.6875</v>
      </c>
      <c r="C121" s="195">
        <v>282</v>
      </c>
      <c r="D121" s="195" t="s">
        <v>1301</v>
      </c>
      <c r="E121" s="146">
        <v>12</v>
      </c>
      <c r="F121" s="7" t="s">
        <v>708</v>
      </c>
      <c r="I121" s="195" t="s">
        <v>1199</v>
      </c>
      <c r="J121" s="277">
        <v>1</v>
      </c>
      <c r="K121" s="146">
        <v>5</v>
      </c>
      <c r="L121" s="146">
        <v>442</v>
      </c>
      <c r="M121" s="146" t="s">
        <v>1220</v>
      </c>
      <c r="N121" s="146">
        <v>20</v>
      </c>
      <c r="O121" s="195" t="s">
        <v>1136</v>
      </c>
      <c r="T121" s="146">
        <v>5</v>
      </c>
      <c r="W121" s="195">
        <v>1948</v>
      </c>
      <c r="X121" s="146">
        <v>2800</v>
      </c>
      <c r="Y121" s="146">
        <v>3531</v>
      </c>
      <c r="Z121" s="344" t="s">
        <v>1295</v>
      </c>
    </row>
    <row r="122" spans="1:33" x14ac:dyDescent="0.2">
      <c r="A122" s="195" t="s">
        <v>1161</v>
      </c>
      <c r="B122" s="251">
        <v>0.72916666666666663</v>
      </c>
      <c r="C122" s="195">
        <v>277</v>
      </c>
      <c r="D122" s="195" t="s">
        <v>1303</v>
      </c>
      <c r="E122" s="146">
        <v>12</v>
      </c>
      <c r="F122" s="7" t="s">
        <v>693</v>
      </c>
      <c r="I122" s="195" t="s">
        <v>1199</v>
      </c>
      <c r="J122" s="277">
        <v>1</v>
      </c>
      <c r="K122" s="146">
        <v>5</v>
      </c>
      <c r="L122" s="146">
        <v>442</v>
      </c>
      <c r="M122" s="146" t="s">
        <v>1220</v>
      </c>
      <c r="N122" s="146">
        <v>20</v>
      </c>
      <c r="O122" s="195" t="s">
        <v>1136</v>
      </c>
      <c r="T122" s="146">
        <v>5</v>
      </c>
      <c r="W122" s="195">
        <v>621</v>
      </c>
      <c r="X122" s="146">
        <v>1600</v>
      </c>
      <c r="Y122" s="146">
        <v>2436</v>
      </c>
      <c r="Z122" s="344" t="s">
        <v>1268</v>
      </c>
    </row>
    <row r="123" spans="1:33" x14ac:dyDescent="0.2">
      <c r="A123" s="195" t="s">
        <v>1161</v>
      </c>
      <c r="B123" s="251">
        <v>0.72916666666666663</v>
      </c>
      <c r="C123" s="195">
        <v>277</v>
      </c>
      <c r="D123" s="195" t="s">
        <v>1303</v>
      </c>
      <c r="E123" s="146">
        <v>12</v>
      </c>
      <c r="F123" s="7" t="s">
        <v>693</v>
      </c>
      <c r="I123" s="195" t="s">
        <v>1199</v>
      </c>
      <c r="J123" s="277">
        <v>1</v>
      </c>
      <c r="K123" s="146">
        <v>5</v>
      </c>
      <c r="L123" s="146">
        <v>442</v>
      </c>
      <c r="M123" s="146" t="s">
        <v>1220</v>
      </c>
      <c r="N123" s="146">
        <v>20</v>
      </c>
      <c r="O123" s="195" t="s">
        <v>1136</v>
      </c>
      <c r="T123" s="146">
        <v>5</v>
      </c>
      <c r="W123" s="195">
        <v>1948</v>
      </c>
      <c r="X123" s="146">
        <v>2800</v>
      </c>
      <c r="Y123" s="146">
        <v>3531</v>
      </c>
      <c r="Z123" s="344" t="s">
        <v>1295</v>
      </c>
    </row>
    <row r="124" spans="1:33" s="147" customFormat="1" x14ac:dyDescent="0.2">
      <c r="A124" s="226" t="s">
        <v>1163</v>
      </c>
      <c r="B124" s="232">
        <v>0.58333333333333337</v>
      </c>
      <c r="C124" s="275">
        <v>277</v>
      </c>
      <c r="D124" s="226" t="s">
        <v>1303</v>
      </c>
      <c r="E124" s="147">
        <v>12</v>
      </c>
      <c r="F124" s="147" t="s">
        <v>693</v>
      </c>
      <c r="G124" s="226"/>
      <c r="I124" s="226" t="s">
        <v>1199</v>
      </c>
      <c r="J124" s="254">
        <v>1</v>
      </c>
      <c r="K124" s="147">
        <v>5</v>
      </c>
      <c r="L124" s="147">
        <v>442</v>
      </c>
      <c r="M124" s="147" t="s">
        <v>1220</v>
      </c>
      <c r="N124" s="147">
        <v>20</v>
      </c>
      <c r="O124" s="226" t="s">
        <v>1136</v>
      </c>
      <c r="T124" s="147">
        <v>5</v>
      </c>
      <c r="W124" s="226">
        <v>621</v>
      </c>
      <c r="X124" s="147">
        <v>1600</v>
      </c>
      <c r="Y124" s="147">
        <v>2436</v>
      </c>
      <c r="Z124" s="345" t="s">
        <v>1268</v>
      </c>
      <c r="AA124" s="255"/>
      <c r="AB124" s="226"/>
      <c r="AD124" s="272"/>
      <c r="AG124" s="272"/>
    </row>
    <row r="125" spans="1:33" x14ac:dyDescent="0.2">
      <c r="A125" s="195" t="s">
        <v>1163</v>
      </c>
      <c r="B125" s="251">
        <v>0.58333333333333337</v>
      </c>
      <c r="C125" s="276">
        <v>277</v>
      </c>
      <c r="D125" s="195" t="s">
        <v>1303</v>
      </c>
      <c r="E125" s="146">
        <v>12</v>
      </c>
      <c r="F125" s="146" t="s">
        <v>693</v>
      </c>
      <c r="I125" s="195" t="s">
        <v>1199</v>
      </c>
      <c r="J125" s="277">
        <v>1</v>
      </c>
      <c r="K125" s="146">
        <v>5</v>
      </c>
      <c r="L125" s="146">
        <v>442</v>
      </c>
      <c r="M125" s="146" t="s">
        <v>1220</v>
      </c>
      <c r="N125" s="146">
        <v>20</v>
      </c>
      <c r="O125" s="195" t="s">
        <v>1136</v>
      </c>
      <c r="T125" s="146">
        <v>5</v>
      </c>
      <c r="W125" s="195">
        <v>1948</v>
      </c>
      <c r="X125" s="146">
        <v>2800</v>
      </c>
      <c r="Y125" s="146">
        <v>3531</v>
      </c>
      <c r="Z125" s="344" t="s">
        <v>1295</v>
      </c>
    </row>
    <row r="126" spans="1:33" x14ac:dyDescent="0.2">
      <c r="A126" s="195" t="s">
        <v>1163</v>
      </c>
      <c r="B126" s="251">
        <v>0.61458333333333337</v>
      </c>
      <c r="C126" s="195">
        <v>271</v>
      </c>
      <c r="D126" s="195" t="s">
        <v>1310</v>
      </c>
      <c r="E126" s="146">
        <v>12</v>
      </c>
      <c r="F126" s="7" t="s">
        <v>678</v>
      </c>
      <c r="I126" s="195" t="s">
        <v>1199</v>
      </c>
      <c r="J126" s="277">
        <v>1</v>
      </c>
      <c r="K126" s="146">
        <v>5</v>
      </c>
      <c r="L126" s="146">
        <v>442</v>
      </c>
      <c r="M126" s="146" t="s">
        <v>1220</v>
      </c>
      <c r="N126" s="146">
        <v>20</v>
      </c>
      <c r="O126" s="195" t="s">
        <v>1136</v>
      </c>
      <c r="T126" s="146">
        <v>5</v>
      </c>
      <c r="W126" s="195">
        <v>621</v>
      </c>
      <c r="X126" s="146">
        <v>1600</v>
      </c>
      <c r="Y126" s="146">
        <v>2436</v>
      </c>
      <c r="Z126" s="344" t="s">
        <v>1268</v>
      </c>
    </row>
    <row r="127" spans="1:33" x14ac:dyDescent="0.2">
      <c r="A127" s="195" t="s">
        <v>1163</v>
      </c>
      <c r="B127" s="251">
        <v>0.61458333333333337</v>
      </c>
      <c r="C127" s="195">
        <v>271</v>
      </c>
      <c r="D127" s="195" t="s">
        <v>1310</v>
      </c>
      <c r="E127" s="146">
        <v>12</v>
      </c>
      <c r="F127" s="7" t="s">
        <v>678</v>
      </c>
      <c r="I127" s="195" t="s">
        <v>1199</v>
      </c>
      <c r="J127" s="277">
        <v>1</v>
      </c>
      <c r="K127" s="146">
        <v>5</v>
      </c>
      <c r="L127" s="146">
        <v>442</v>
      </c>
      <c r="M127" s="146" t="s">
        <v>1220</v>
      </c>
      <c r="N127" s="146">
        <v>20</v>
      </c>
      <c r="O127" s="195" t="s">
        <v>1136</v>
      </c>
      <c r="T127" s="146">
        <v>5</v>
      </c>
      <c r="W127" s="195">
        <v>1948</v>
      </c>
      <c r="X127" s="146">
        <v>2800</v>
      </c>
      <c r="Y127" s="146">
        <v>3531</v>
      </c>
      <c r="Z127" s="344" t="s">
        <v>1295</v>
      </c>
    </row>
    <row r="128" spans="1:33" x14ac:dyDescent="0.2">
      <c r="A128" s="195" t="s">
        <v>1163</v>
      </c>
      <c r="B128" s="251">
        <v>0.64583333333333337</v>
      </c>
      <c r="C128" s="195">
        <v>269</v>
      </c>
      <c r="D128" s="195" t="s">
        <v>1310</v>
      </c>
      <c r="E128" s="146">
        <v>12</v>
      </c>
      <c r="F128" s="7" t="s">
        <v>672</v>
      </c>
      <c r="I128" s="195" t="s">
        <v>1199</v>
      </c>
      <c r="J128" s="277">
        <v>1</v>
      </c>
      <c r="K128" s="146">
        <v>5</v>
      </c>
      <c r="L128" s="146">
        <v>442</v>
      </c>
      <c r="M128" s="146" t="s">
        <v>1220</v>
      </c>
      <c r="N128" s="146">
        <v>20</v>
      </c>
      <c r="O128" s="195" t="s">
        <v>1136</v>
      </c>
      <c r="T128" s="146">
        <v>5</v>
      </c>
      <c r="W128" s="195">
        <v>621</v>
      </c>
      <c r="X128" s="146">
        <v>1600</v>
      </c>
      <c r="Y128" s="146">
        <v>2436</v>
      </c>
      <c r="Z128" s="344" t="s">
        <v>1268</v>
      </c>
    </row>
    <row r="129" spans="1:33" x14ac:dyDescent="0.2">
      <c r="A129" s="195" t="s">
        <v>1163</v>
      </c>
      <c r="B129" s="251">
        <v>0.64583333333333337</v>
      </c>
      <c r="C129" s="195">
        <v>269</v>
      </c>
      <c r="D129" s="195" t="s">
        <v>1310</v>
      </c>
      <c r="E129" s="146">
        <v>12</v>
      </c>
      <c r="F129" s="7" t="s">
        <v>672</v>
      </c>
      <c r="I129" s="195" t="s">
        <v>1199</v>
      </c>
      <c r="J129" s="277">
        <v>1</v>
      </c>
      <c r="K129" s="146">
        <v>5</v>
      </c>
      <c r="L129" s="146">
        <v>442</v>
      </c>
      <c r="M129" s="146" t="s">
        <v>1220</v>
      </c>
      <c r="N129" s="146">
        <v>20</v>
      </c>
      <c r="O129" s="195" t="s">
        <v>1136</v>
      </c>
      <c r="T129" s="146">
        <v>5</v>
      </c>
      <c r="W129" s="195">
        <v>1948</v>
      </c>
      <c r="X129" s="146">
        <v>2800</v>
      </c>
      <c r="Y129" s="146">
        <v>3531</v>
      </c>
      <c r="Z129" s="344" t="s">
        <v>1295</v>
      </c>
    </row>
    <row r="130" spans="1:33" x14ac:dyDescent="0.2">
      <c r="A130" s="195" t="s">
        <v>1163</v>
      </c>
      <c r="B130" s="251">
        <v>0.66666666666666663</v>
      </c>
      <c r="C130" s="195">
        <v>273</v>
      </c>
      <c r="D130" s="195" t="s">
        <v>1310</v>
      </c>
      <c r="E130" s="146">
        <v>12</v>
      </c>
      <c r="F130" s="7" t="s">
        <v>683</v>
      </c>
      <c r="I130" s="195" t="s">
        <v>1199</v>
      </c>
      <c r="J130" s="277">
        <v>1</v>
      </c>
      <c r="K130" s="146">
        <v>5</v>
      </c>
      <c r="L130" s="146">
        <v>442</v>
      </c>
      <c r="M130" s="146" t="s">
        <v>1220</v>
      </c>
      <c r="N130" s="146">
        <v>20</v>
      </c>
      <c r="O130" s="195" t="s">
        <v>1136</v>
      </c>
      <c r="T130" s="146">
        <v>5</v>
      </c>
      <c r="W130" s="195">
        <v>621</v>
      </c>
      <c r="X130" s="146">
        <v>1600</v>
      </c>
      <c r="Y130" s="146">
        <v>2436</v>
      </c>
      <c r="Z130" s="344" t="s">
        <v>1268</v>
      </c>
    </row>
    <row r="131" spans="1:33" s="151" customFormat="1" x14ac:dyDescent="0.2">
      <c r="A131" s="227" t="s">
        <v>1163</v>
      </c>
      <c r="B131" s="236">
        <v>0.66666666666666663</v>
      </c>
      <c r="C131" s="227">
        <v>273</v>
      </c>
      <c r="D131" s="227" t="s">
        <v>1310</v>
      </c>
      <c r="E131" s="151">
        <v>12</v>
      </c>
      <c r="F131" s="51" t="s">
        <v>683</v>
      </c>
      <c r="G131" s="227"/>
      <c r="I131" s="227" t="s">
        <v>1199</v>
      </c>
      <c r="J131" s="268">
        <v>1</v>
      </c>
      <c r="K131" s="151">
        <v>5</v>
      </c>
      <c r="L131" s="151">
        <v>442</v>
      </c>
      <c r="M131" s="151" t="s">
        <v>1220</v>
      </c>
      <c r="N131" s="151">
        <v>20</v>
      </c>
      <c r="O131" s="227" t="s">
        <v>1136</v>
      </c>
      <c r="T131" s="151">
        <v>5</v>
      </c>
      <c r="W131" s="227">
        <v>1948</v>
      </c>
      <c r="X131" s="151">
        <v>2800</v>
      </c>
      <c r="Y131" s="151">
        <v>3531</v>
      </c>
      <c r="Z131" s="346" t="s">
        <v>1295</v>
      </c>
      <c r="AA131" s="257"/>
      <c r="AB131" s="227"/>
      <c r="AD131" s="273"/>
      <c r="AG131" s="273"/>
    </row>
    <row r="132" spans="1:33" x14ac:dyDescent="0.2">
      <c r="A132" s="195" t="s">
        <v>1164</v>
      </c>
      <c r="B132" s="251">
        <v>0.58333333333333337</v>
      </c>
      <c r="C132" s="195">
        <v>359</v>
      </c>
      <c r="D132" s="195" t="s">
        <v>1040</v>
      </c>
      <c r="E132" s="146">
        <v>60</v>
      </c>
      <c r="F132" s="7" t="s">
        <v>857</v>
      </c>
      <c r="I132" s="195" t="s">
        <v>1199</v>
      </c>
      <c r="J132" s="277">
        <v>1</v>
      </c>
      <c r="K132" s="146">
        <v>5</v>
      </c>
      <c r="L132" s="146">
        <v>442</v>
      </c>
      <c r="M132" s="146" t="s">
        <v>1220</v>
      </c>
      <c r="N132" s="146">
        <v>20</v>
      </c>
      <c r="O132" s="195" t="s">
        <v>1136</v>
      </c>
      <c r="T132" s="146">
        <v>5</v>
      </c>
      <c r="W132" s="195">
        <v>621</v>
      </c>
      <c r="X132" s="146">
        <v>1600</v>
      </c>
      <c r="Y132" s="146">
        <v>2436</v>
      </c>
      <c r="Z132" s="344" t="s">
        <v>1268</v>
      </c>
    </row>
    <row r="133" spans="1:33" x14ac:dyDescent="0.2">
      <c r="A133" s="195" t="s">
        <v>1164</v>
      </c>
      <c r="B133" s="251">
        <v>0.58333333333333337</v>
      </c>
      <c r="C133" s="195">
        <v>359</v>
      </c>
      <c r="D133" s="195" t="s">
        <v>1040</v>
      </c>
      <c r="E133" s="146">
        <v>60</v>
      </c>
      <c r="F133" s="7" t="s">
        <v>857</v>
      </c>
      <c r="I133" s="195" t="s">
        <v>1199</v>
      </c>
      <c r="J133" s="277">
        <v>1</v>
      </c>
      <c r="K133" s="146">
        <v>5</v>
      </c>
      <c r="L133" s="146">
        <v>442</v>
      </c>
      <c r="M133" s="146" t="s">
        <v>1220</v>
      </c>
      <c r="N133" s="146">
        <v>20</v>
      </c>
      <c r="O133" s="195" t="s">
        <v>1136</v>
      </c>
      <c r="T133" s="146">
        <v>5</v>
      </c>
      <c r="W133" s="195">
        <v>1948</v>
      </c>
      <c r="X133" s="146">
        <v>2800</v>
      </c>
      <c r="Y133" s="146">
        <v>3531</v>
      </c>
      <c r="Z133" s="344" t="s">
        <v>1295</v>
      </c>
    </row>
    <row r="134" spans="1:33" x14ac:dyDescent="0.2">
      <c r="A134" s="195" t="s">
        <v>1164</v>
      </c>
      <c r="B134" s="251">
        <v>0.625</v>
      </c>
      <c r="C134" s="195">
        <v>230</v>
      </c>
      <c r="D134" s="195" t="s">
        <v>1040</v>
      </c>
      <c r="E134" s="146">
        <v>60</v>
      </c>
      <c r="F134" s="7" t="s">
        <v>616</v>
      </c>
      <c r="I134" s="195" t="s">
        <v>1199</v>
      </c>
      <c r="J134" s="277">
        <v>1</v>
      </c>
      <c r="K134" s="146">
        <v>5</v>
      </c>
      <c r="L134" s="146">
        <v>442</v>
      </c>
      <c r="M134" s="146" t="s">
        <v>1220</v>
      </c>
      <c r="N134" s="146">
        <v>20</v>
      </c>
      <c r="O134" s="195" t="s">
        <v>1136</v>
      </c>
      <c r="T134" s="146">
        <v>5</v>
      </c>
      <c r="W134" s="195">
        <v>621</v>
      </c>
      <c r="X134" s="146">
        <v>1600</v>
      </c>
      <c r="Y134" s="146">
        <v>2436</v>
      </c>
      <c r="Z134" s="344" t="s">
        <v>1268</v>
      </c>
    </row>
    <row r="135" spans="1:33" x14ac:dyDescent="0.2">
      <c r="A135" s="195" t="s">
        <v>1164</v>
      </c>
      <c r="B135" s="251">
        <v>0.625</v>
      </c>
      <c r="C135" s="195">
        <v>230</v>
      </c>
      <c r="D135" s="195" t="s">
        <v>1040</v>
      </c>
      <c r="E135" s="146">
        <v>60</v>
      </c>
      <c r="F135" s="7" t="s">
        <v>616</v>
      </c>
      <c r="I135" s="195" t="s">
        <v>1199</v>
      </c>
      <c r="J135" s="277">
        <v>1</v>
      </c>
      <c r="K135" s="146">
        <v>5</v>
      </c>
      <c r="L135" s="146">
        <v>442</v>
      </c>
      <c r="M135" s="146" t="s">
        <v>1220</v>
      </c>
      <c r="N135" s="146">
        <v>20</v>
      </c>
      <c r="O135" s="195" t="s">
        <v>1136</v>
      </c>
      <c r="T135" s="146">
        <v>5</v>
      </c>
      <c r="W135" s="195">
        <v>1948</v>
      </c>
      <c r="X135" s="146">
        <v>2800</v>
      </c>
      <c r="Y135" s="146">
        <v>3531</v>
      </c>
      <c r="Z135" s="344" t="s">
        <v>1295</v>
      </c>
    </row>
    <row r="136" spans="1:33" x14ac:dyDescent="0.2">
      <c r="A136" s="195" t="s">
        <v>1164</v>
      </c>
      <c r="B136" s="251">
        <v>0.66666666666666663</v>
      </c>
      <c r="C136" s="195">
        <v>238</v>
      </c>
      <c r="D136" s="195" t="s">
        <v>1040</v>
      </c>
      <c r="E136" s="146">
        <v>60</v>
      </c>
      <c r="F136" s="7" t="s">
        <v>621</v>
      </c>
      <c r="I136" s="195" t="s">
        <v>1199</v>
      </c>
      <c r="J136" s="277">
        <v>1</v>
      </c>
      <c r="K136" s="146">
        <v>5</v>
      </c>
      <c r="L136" s="146">
        <v>442</v>
      </c>
      <c r="M136" s="146" t="s">
        <v>1220</v>
      </c>
      <c r="N136" s="146">
        <v>20</v>
      </c>
      <c r="O136" s="195" t="s">
        <v>1136</v>
      </c>
      <c r="T136" s="146">
        <v>5</v>
      </c>
      <c r="W136" s="195">
        <v>621</v>
      </c>
      <c r="X136" s="146">
        <v>1600</v>
      </c>
      <c r="Y136" s="146">
        <v>2436</v>
      </c>
      <c r="Z136" s="344" t="s">
        <v>1268</v>
      </c>
    </row>
    <row r="137" spans="1:33" x14ac:dyDescent="0.2">
      <c r="A137" s="195" t="s">
        <v>1164</v>
      </c>
      <c r="B137" s="251">
        <v>0.66666666666666663</v>
      </c>
      <c r="C137" s="195">
        <v>238</v>
      </c>
      <c r="D137" s="195" t="s">
        <v>1040</v>
      </c>
      <c r="E137" s="146">
        <v>60</v>
      </c>
      <c r="F137" s="7" t="s">
        <v>621</v>
      </c>
      <c r="I137" s="195" t="s">
        <v>1199</v>
      </c>
      <c r="J137" s="277">
        <v>1</v>
      </c>
      <c r="K137" s="146">
        <v>5</v>
      </c>
      <c r="L137" s="146">
        <v>442</v>
      </c>
      <c r="M137" s="146" t="s">
        <v>1220</v>
      </c>
      <c r="N137" s="146">
        <v>20</v>
      </c>
      <c r="O137" s="195" t="s">
        <v>1136</v>
      </c>
      <c r="T137" s="146">
        <v>5</v>
      </c>
      <c r="W137" s="195">
        <v>1948</v>
      </c>
      <c r="X137" s="146">
        <v>2800</v>
      </c>
      <c r="Y137" s="146">
        <v>3531</v>
      </c>
      <c r="Z137" s="344" t="s">
        <v>1295</v>
      </c>
    </row>
    <row r="138" spans="1:33" x14ac:dyDescent="0.2">
      <c r="A138" s="195" t="s">
        <v>1164</v>
      </c>
      <c r="B138" s="251">
        <v>0.70833333333333337</v>
      </c>
      <c r="C138" s="195">
        <v>357</v>
      </c>
      <c r="D138" s="195" t="s">
        <v>1040</v>
      </c>
      <c r="E138" s="146">
        <v>60</v>
      </c>
      <c r="F138" s="7" t="s">
        <v>855</v>
      </c>
      <c r="I138" s="195" t="s">
        <v>1199</v>
      </c>
      <c r="J138" s="277">
        <v>1</v>
      </c>
      <c r="K138" s="146">
        <v>5</v>
      </c>
      <c r="L138" s="146">
        <v>442</v>
      </c>
      <c r="M138" s="146" t="s">
        <v>1220</v>
      </c>
      <c r="N138" s="146">
        <v>20</v>
      </c>
      <c r="O138" s="195" t="s">
        <v>1136</v>
      </c>
      <c r="T138" s="146">
        <v>5</v>
      </c>
      <c r="W138" s="195">
        <v>621</v>
      </c>
      <c r="X138" s="146">
        <v>1600</v>
      </c>
      <c r="Y138" s="146">
        <v>2436</v>
      </c>
      <c r="Z138" s="344" t="s">
        <v>1268</v>
      </c>
    </row>
    <row r="139" spans="1:33" x14ac:dyDescent="0.2">
      <c r="A139" s="195" t="s">
        <v>1164</v>
      </c>
      <c r="B139" s="251">
        <v>0.70833333333333337</v>
      </c>
      <c r="C139" s="195">
        <v>357</v>
      </c>
      <c r="D139" s="195" t="s">
        <v>1040</v>
      </c>
      <c r="E139" s="146">
        <v>60</v>
      </c>
      <c r="F139" s="7" t="s">
        <v>855</v>
      </c>
      <c r="I139" s="195" t="s">
        <v>1199</v>
      </c>
      <c r="J139" s="277">
        <v>1</v>
      </c>
      <c r="K139" s="146">
        <v>5</v>
      </c>
      <c r="L139" s="146">
        <v>442</v>
      </c>
      <c r="M139" s="146" t="s">
        <v>1220</v>
      </c>
      <c r="N139" s="146">
        <v>20</v>
      </c>
      <c r="O139" s="195" t="s">
        <v>1136</v>
      </c>
      <c r="T139" s="146">
        <v>5</v>
      </c>
      <c r="W139" s="195">
        <v>1948</v>
      </c>
      <c r="X139" s="146">
        <v>2800</v>
      </c>
      <c r="Y139" s="146">
        <v>3531</v>
      </c>
      <c r="Z139" s="344" t="s">
        <v>1295</v>
      </c>
    </row>
    <row r="140" spans="1:33" x14ac:dyDescent="0.2">
      <c r="A140" s="195" t="s">
        <v>1164</v>
      </c>
      <c r="B140" s="251">
        <v>0.75</v>
      </c>
      <c r="C140" s="195">
        <v>157</v>
      </c>
      <c r="D140" s="195" t="s">
        <v>1032</v>
      </c>
      <c r="E140" s="146">
        <v>60</v>
      </c>
      <c r="F140" s="7" t="s">
        <v>250</v>
      </c>
      <c r="I140" s="195" t="s">
        <v>1199</v>
      </c>
      <c r="J140" s="277">
        <v>1</v>
      </c>
      <c r="K140" s="146">
        <v>5</v>
      </c>
      <c r="L140" s="146">
        <v>442</v>
      </c>
      <c r="M140" s="146" t="s">
        <v>1220</v>
      </c>
      <c r="N140" s="146">
        <v>20</v>
      </c>
      <c r="O140" s="195" t="s">
        <v>1136</v>
      </c>
      <c r="T140" s="146">
        <v>5</v>
      </c>
      <c r="W140" s="195">
        <v>621</v>
      </c>
      <c r="X140" s="146">
        <v>1600</v>
      </c>
      <c r="Y140" s="146">
        <v>2436</v>
      </c>
      <c r="Z140" s="344" t="s">
        <v>1268</v>
      </c>
    </row>
    <row r="141" spans="1:33" x14ac:dyDescent="0.2">
      <c r="A141" s="195" t="s">
        <v>1164</v>
      </c>
      <c r="B141" s="251">
        <v>0.75</v>
      </c>
      <c r="C141" s="195">
        <v>157</v>
      </c>
      <c r="D141" s="195" t="s">
        <v>1032</v>
      </c>
      <c r="E141" s="146">
        <v>60</v>
      </c>
      <c r="F141" s="7" t="s">
        <v>250</v>
      </c>
      <c r="I141" s="195" t="s">
        <v>1199</v>
      </c>
      <c r="J141" s="277">
        <v>1</v>
      </c>
      <c r="K141" s="146">
        <v>5</v>
      </c>
      <c r="L141" s="146">
        <v>442</v>
      </c>
      <c r="M141" s="146" t="s">
        <v>1220</v>
      </c>
      <c r="N141" s="146">
        <v>20</v>
      </c>
      <c r="O141" s="195" t="s">
        <v>1136</v>
      </c>
      <c r="T141" s="146">
        <v>5</v>
      </c>
      <c r="W141" s="195">
        <v>1948</v>
      </c>
      <c r="X141" s="146">
        <v>2800</v>
      </c>
      <c r="Y141" s="146">
        <v>3531</v>
      </c>
      <c r="Z141" s="344" t="s">
        <v>1295</v>
      </c>
    </row>
    <row r="142" spans="1:33" s="147" customFormat="1" x14ac:dyDescent="0.2">
      <c r="A142" s="253">
        <v>45722</v>
      </c>
      <c r="B142" s="232">
        <v>0.58333333333333337</v>
      </c>
      <c r="C142" s="226">
        <v>157</v>
      </c>
      <c r="D142" s="226" t="s">
        <v>1032</v>
      </c>
      <c r="E142" s="147">
        <v>60</v>
      </c>
      <c r="F142" s="49" t="s">
        <v>250</v>
      </c>
      <c r="G142" s="226"/>
      <c r="I142" s="226" t="s">
        <v>1199</v>
      </c>
      <c r="J142" s="254">
        <v>1</v>
      </c>
      <c r="K142" s="147">
        <v>5</v>
      </c>
      <c r="L142" s="147">
        <v>442</v>
      </c>
      <c r="M142" s="147" t="s">
        <v>1220</v>
      </c>
      <c r="N142" s="147">
        <v>20</v>
      </c>
      <c r="O142" s="226" t="s">
        <v>1136</v>
      </c>
      <c r="T142" s="147">
        <v>5</v>
      </c>
      <c r="W142" s="226">
        <v>621</v>
      </c>
      <c r="X142" s="147">
        <v>1600</v>
      </c>
      <c r="Y142" s="147">
        <v>2436</v>
      </c>
      <c r="Z142" s="345" t="s">
        <v>1268</v>
      </c>
      <c r="AA142" s="255"/>
      <c r="AB142" s="226"/>
      <c r="AD142" s="272"/>
      <c r="AG142" s="272"/>
    </row>
    <row r="143" spans="1:33" x14ac:dyDescent="0.2">
      <c r="A143" s="196">
        <v>45722</v>
      </c>
      <c r="B143" s="251">
        <v>0.60416666666666663</v>
      </c>
      <c r="C143" s="195">
        <v>356</v>
      </c>
      <c r="D143" s="195" t="s">
        <v>1032</v>
      </c>
      <c r="E143" s="146">
        <v>60</v>
      </c>
      <c r="F143" s="7" t="s">
        <v>854</v>
      </c>
      <c r="I143" s="195" t="s">
        <v>1199</v>
      </c>
      <c r="J143" s="277">
        <v>1</v>
      </c>
      <c r="K143" s="146">
        <v>5</v>
      </c>
      <c r="L143" s="146">
        <v>442</v>
      </c>
      <c r="M143" s="146" t="s">
        <v>1220</v>
      </c>
      <c r="N143" s="146">
        <v>20</v>
      </c>
      <c r="O143" s="195" t="s">
        <v>1136</v>
      </c>
      <c r="T143" s="146">
        <v>5</v>
      </c>
      <c r="W143" s="195">
        <v>1948</v>
      </c>
      <c r="X143" s="146">
        <v>2800</v>
      </c>
      <c r="Y143" s="146">
        <v>3531</v>
      </c>
      <c r="Z143" s="344" t="s">
        <v>1295</v>
      </c>
    </row>
    <row r="144" spans="1:33" x14ac:dyDescent="0.2">
      <c r="A144" s="196">
        <v>45722</v>
      </c>
      <c r="B144" s="251">
        <v>0.625</v>
      </c>
      <c r="C144" s="195">
        <v>356</v>
      </c>
      <c r="D144" s="195" t="s">
        <v>1032</v>
      </c>
      <c r="E144" s="146">
        <v>60</v>
      </c>
      <c r="F144" s="7" t="s">
        <v>854</v>
      </c>
      <c r="I144" s="195" t="s">
        <v>1199</v>
      </c>
      <c r="J144" s="277">
        <v>1</v>
      </c>
      <c r="K144" s="146">
        <v>5</v>
      </c>
      <c r="L144" s="146">
        <v>442</v>
      </c>
      <c r="M144" s="146" t="s">
        <v>1220</v>
      </c>
      <c r="N144" s="146">
        <v>20</v>
      </c>
      <c r="O144" s="195" t="s">
        <v>1136</v>
      </c>
      <c r="T144" s="146">
        <v>5</v>
      </c>
      <c r="W144" s="195">
        <v>621</v>
      </c>
      <c r="X144" s="146">
        <v>1600</v>
      </c>
      <c r="Y144" s="146">
        <v>2436</v>
      </c>
      <c r="Z144" s="344" t="s">
        <v>1268</v>
      </c>
    </row>
    <row r="145" spans="1:33" x14ac:dyDescent="0.2">
      <c r="A145" s="196">
        <v>45722</v>
      </c>
      <c r="B145" s="251">
        <v>0.64583333333333337</v>
      </c>
      <c r="C145" s="195">
        <v>1</v>
      </c>
      <c r="D145" s="195" t="s">
        <v>1311</v>
      </c>
      <c r="E145" s="146">
        <v>60</v>
      </c>
      <c r="F145" s="144" t="s">
        <v>20</v>
      </c>
      <c r="J145" s="277">
        <v>1</v>
      </c>
      <c r="K145" s="146">
        <v>5</v>
      </c>
      <c r="L145" s="146">
        <v>442</v>
      </c>
      <c r="M145" s="146" t="s">
        <v>1220</v>
      </c>
      <c r="N145" s="146">
        <v>20</v>
      </c>
      <c r="O145" s="195" t="s">
        <v>1136</v>
      </c>
      <c r="T145" s="146">
        <v>5</v>
      </c>
      <c r="W145" s="195">
        <v>621</v>
      </c>
      <c r="X145" s="146">
        <v>1600</v>
      </c>
      <c r="Y145" s="146">
        <v>2436</v>
      </c>
      <c r="Z145" s="344" t="s">
        <v>1268</v>
      </c>
    </row>
    <row r="146" spans="1:33" x14ac:dyDescent="0.2">
      <c r="A146" s="196">
        <v>45722</v>
      </c>
      <c r="B146" s="251">
        <v>0.65277777777777779</v>
      </c>
      <c r="C146" s="195">
        <v>1</v>
      </c>
      <c r="D146" s="195" t="s">
        <v>1311</v>
      </c>
      <c r="E146" s="146">
        <v>60</v>
      </c>
      <c r="F146" s="144" t="s">
        <v>20</v>
      </c>
      <c r="J146" s="277">
        <v>1</v>
      </c>
      <c r="K146" s="146">
        <v>5</v>
      </c>
      <c r="L146" s="146">
        <v>442</v>
      </c>
      <c r="M146" s="146" t="s">
        <v>1220</v>
      </c>
      <c r="N146" s="146">
        <v>20</v>
      </c>
      <c r="O146" s="195" t="s">
        <v>1136</v>
      </c>
      <c r="T146" s="146">
        <v>5</v>
      </c>
      <c r="W146" s="195">
        <v>1948</v>
      </c>
      <c r="X146" s="146">
        <v>2800</v>
      </c>
      <c r="Y146" s="146">
        <v>3531</v>
      </c>
      <c r="Z146" s="344" t="s">
        <v>1295</v>
      </c>
    </row>
    <row r="147" spans="1:33" x14ac:dyDescent="0.2">
      <c r="A147" s="196">
        <v>45722</v>
      </c>
      <c r="B147" s="251">
        <v>0.6875</v>
      </c>
      <c r="C147" s="195">
        <v>6</v>
      </c>
      <c r="D147" s="195" t="s">
        <v>1311</v>
      </c>
      <c r="E147" s="146">
        <v>60</v>
      </c>
      <c r="F147" s="146" t="s">
        <v>30</v>
      </c>
      <c r="I147" s="195" t="s">
        <v>1199</v>
      </c>
      <c r="J147" s="277">
        <v>1</v>
      </c>
      <c r="K147" s="146">
        <v>5</v>
      </c>
      <c r="L147" s="146">
        <v>442</v>
      </c>
      <c r="M147" s="146" t="s">
        <v>1220</v>
      </c>
      <c r="N147" s="146">
        <v>20</v>
      </c>
      <c r="O147" s="195" t="s">
        <v>1136</v>
      </c>
      <c r="T147" s="146">
        <v>5</v>
      </c>
      <c r="W147" s="195">
        <v>1948</v>
      </c>
      <c r="X147" s="146">
        <v>2800</v>
      </c>
      <c r="Y147" s="146">
        <v>3531</v>
      </c>
      <c r="Z147" s="344" t="s">
        <v>1295</v>
      </c>
    </row>
    <row r="148" spans="1:33" x14ac:dyDescent="0.2">
      <c r="A148" s="196">
        <v>45722</v>
      </c>
      <c r="B148" s="251">
        <v>0.70833333333333337</v>
      </c>
      <c r="C148" s="227">
        <v>6</v>
      </c>
      <c r="D148" s="227" t="s">
        <v>1311</v>
      </c>
      <c r="E148" s="151">
        <v>60</v>
      </c>
      <c r="F148" s="151" t="s">
        <v>30</v>
      </c>
      <c r="I148" s="195" t="s">
        <v>1199</v>
      </c>
      <c r="J148" s="277">
        <v>1</v>
      </c>
      <c r="K148" s="146">
        <v>5</v>
      </c>
      <c r="L148" s="146">
        <v>442</v>
      </c>
      <c r="M148" s="146" t="s">
        <v>1220</v>
      </c>
      <c r="N148" s="146">
        <v>20</v>
      </c>
      <c r="O148" s="195" t="s">
        <v>1136</v>
      </c>
      <c r="T148" s="146">
        <v>5</v>
      </c>
      <c r="W148" s="195">
        <v>621</v>
      </c>
      <c r="X148" s="146">
        <v>1600</v>
      </c>
      <c r="Y148" s="146">
        <v>2436</v>
      </c>
      <c r="Z148" s="344" t="s">
        <v>1268</v>
      </c>
    </row>
    <row r="149" spans="1:33" s="147" customFormat="1" x14ac:dyDescent="0.2">
      <c r="A149" s="253">
        <v>45753</v>
      </c>
      <c r="B149" s="232">
        <v>0.53125</v>
      </c>
      <c r="C149" s="195">
        <v>17</v>
      </c>
      <c r="D149" s="195" t="s">
        <v>1311</v>
      </c>
      <c r="E149" s="146">
        <v>60</v>
      </c>
      <c r="F149" s="146" t="s">
        <v>53</v>
      </c>
      <c r="G149" s="226"/>
      <c r="I149" s="226" t="s">
        <v>1199</v>
      </c>
      <c r="J149" s="254">
        <v>1</v>
      </c>
      <c r="K149" s="147">
        <v>5</v>
      </c>
      <c r="L149" s="147">
        <v>442</v>
      </c>
      <c r="M149" s="147" t="s">
        <v>1220</v>
      </c>
      <c r="N149" s="147">
        <v>20</v>
      </c>
      <c r="O149" s="226" t="s">
        <v>1136</v>
      </c>
      <c r="T149" s="147">
        <v>5</v>
      </c>
      <c r="W149" s="226">
        <v>621</v>
      </c>
      <c r="X149" s="147">
        <v>1600</v>
      </c>
      <c r="Y149" s="147">
        <v>2436</v>
      </c>
      <c r="Z149" s="345" t="s">
        <v>1268</v>
      </c>
      <c r="AA149" s="255"/>
      <c r="AB149" s="226"/>
      <c r="AD149" s="272"/>
      <c r="AG149" s="272"/>
    </row>
    <row r="150" spans="1:33" x14ac:dyDescent="0.2">
      <c r="A150" s="196">
        <v>45753</v>
      </c>
      <c r="B150" s="251">
        <v>0.54166666666666663</v>
      </c>
      <c r="C150" s="195">
        <v>17</v>
      </c>
      <c r="D150" s="195" t="s">
        <v>1311</v>
      </c>
      <c r="E150" s="146">
        <v>60</v>
      </c>
      <c r="F150" s="146" t="s">
        <v>53</v>
      </c>
      <c r="I150" s="195" t="s">
        <v>1199</v>
      </c>
      <c r="J150" s="277">
        <v>1</v>
      </c>
      <c r="K150" s="146">
        <v>5</v>
      </c>
      <c r="L150" s="146">
        <v>442</v>
      </c>
      <c r="M150" s="146" t="s">
        <v>1220</v>
      </c>
      <c r="N150" s="146">
        <v>20</v>
      </c>
      <c r="O150" s="195" t="s">
        <v>1136</v>
      </c>
      <c r="T150" s="146">
        <v>5</v>
      </c>
      <c r="W150" s="195">
        <v>1948</v>
      </c>
      <c r="X150" s="146">
        <v>2800</v>
      </c>
      <c r="Y150" s="146">
        <v>3531</v>
      </c>
      <c r="Z150" s="344" t="s">
        <v>1295</v>
      </c>
    </row>
    <row r="151" spans="1:33" x14ac:dyDescent="0.2">
      <c r="A151" s="196">
        <v>45753</v>
      </c>
      <c r="B151" s="251">
        <v>0.5625</v>
      </c>
      <c r="C151" s="195">
        <v>29</v>
      </c>
      <c r="D151" s="195" t="s">
        <v>1311</v>
      </c>
      <c r="E151" s="146">
        <v>60</v>
      </c>
      <c r="F151" s="146" t="s">
        <v>72</v>
      </c>
      <c r="I151" s="195" t="s">
        <v>1199</v>
      </c>
      <c r="J151" s="277">
        <v>1</v>
      </c>
      <c r="K151" s="146">
        <v>5</v>
      </c>
      <c r="L151" s="146">
        <v>442</v>
      </c>
      <c r="M151" s="146" t="s">
        <v>1220</v>
      </c>
      <c r="N151" s="146">
        <v>20</v>
      </c>
      <c r="O151" s="195" t="s">
        <v>1136</v>
      </c>
      <c r="T151" s="146">
        <v>5</v>
      </c>
      <c r="W151" s="195">
        <v>621</v>
      </c>
      <c r="X151" s="146">
        <v>1600</v>
      </c>
      <c r="Y151" s="146">
        <v>2436</v>
      </c>
      <c r="Z151" s="344" t="s">
        <v>1268</v>
      </c>
    </row>
    <row r="152" spans="1:33" x14ac:dyDescent="0.2">
      <c r="A152" s="196">
        <v>45753</v>
      </c>
      <c r="B152" s="251">
        <v>0.59722222222222221</v>
      </c>
      <c r="C152" s="195">
        <v>29</v>
      </c>
      <c r="D152" s="195" t="s">
        <v>1311</v>
      </c>
      <c r="E152" s="146">
        <v>60</v>
      </c>
      <c r="F152" s="146" t="s">
        <v>72</v>
      </c>
      <c r="I152" s="195" t="s">
        <v>1199</v>
      </c>
      <c r="J152" s="277">
        <v>1</v>
      </c>
      <c r="K152" s="146">
        <v>5</v>
      </c>
      <c r="L152" s="146">
        <v>442</v>
      </c>
      <c r="M152" s="146" t="s">
        <v>1220</v>
      </c>
      <c r="N152" s="146">
        <v>20</v>
      </c>
      <c r="O152" s="195" t="s">
        <v>1136</v>
      </c>
      <c r="T152" s="146">
        <v>5</v>
      </c>
      <c r="W152" s="195">
        <v>1948</v>
      </c>
      <c r="X152" s="146">
        <v>2800</v>
      </c>
      <c r="Y152" s="146">
        <v>3531</v>
      </c>
      <c r="Z152" s="344" t="s">
        <v>1295</v>
      </c>
    </row>
    <row r="153" spans="1:33" x14ac:dyDescent="0.2">
      <c r="A153" s="196">
        <v>45753</v>
      </c>
      <c r="B153" s="251">
        <v>0.60416666666666663</v>
      </c>
      <c r="C153" s="195">
        <v>32</v>
      </c>
      <c r="D153" s="195" t="s">
        <v>1311</v>
      </c>
      <c r="E153" s="146">
        <v>60</v>
      </c>
      <c r="F153" s="146" t="s">
        <v>72</v>
      </c>
      <c r="I153" s="195" t="s">
        <v>1199</v>
      </c>
      <c r="J153" s="277">
        <v>1</v>
      </c>
      <c r="K153" s="146">
        <v>5</v>
      </c>
      <c r="L153" s="146">
        <v>442</v>
      </c>
      <c r="M153" s="146" t="s">
        <v>1220</v>
      </c>
      <c r="N153" s="146">
        <v>20</v>
      </c>
      <c r="O153" s="195" t="s">
        <v>1136</v>
      </c>
      <c r="T153" s="146">
        <v>5</v>
      </c>
      <c r="W153" s="195">
        <v>621</v>
      </c>
      <c r="X153" s="146">
        <v>1600</v>
      </c>
      <c r="Y153" s="146">
        <v>2436</v>
      </c>
      <c r="Z153" s="344" t="s">
        <v>1268</v>
      </c>
    </row>
    <row r="154" spans="1:33" x14ac:dyDescent="0.2">
      <c r="A154" s="196">
        <v>45753</v>
      </c>
      <c r="B154" s="251">
        <v>0.625</v>
      </c>
      <c r="C154" s="195">
        <v>32</v>
      </c>
      <c r="D154" s="195" t="s">
        <v>1311</v>
      </c>
      <c r="E154" s="146">
        <v>60</v>
      </c>
      <c r="F154" s="146" t="s">
        <v>72</v>
      </c>
      <c r="I154" s="195" t="s">
        <v>1199</v>
      </c>
      <c r="J154" s="277">
        <v>1</v>
      </c>
      <c r="K154" s="146">
        <v>5</v>
      </c>
      <c r="L154" s="146">
        <v>442</v>
      </c>
      <c r="M154" s="146" t="s">
        <v>1220</v>
      </c>
      <c r="N154" s="146">
        <v>20</v>
      </c>
      <c r="O154" s="195" t="s">
        <v>1136</v>
      </c>
      <c r="T154" s="146">
        <v>5</v>
      </c>
      <c r="W154" s="195">
        <v>1948</v>
      </c>
      <c r="X154" s="146">
        <v>2800</v>
      </c>
      <c r="Y154" s="146">
        <v>3531</v>
      </c>
      <c r="Z154" s="344" t="s">
        <v>1295</v>
      </c>
    </row>
    <row r="155" spans="1:33" x14ac:dyDescent="0.2">
      <c r="A155" s="196">
        <v>45753</v>
      </c>
      <c r="B155" s="251">
        <v>0.63541666666666663</v>
      </c>
      <c r="C155" s="195">
        <v>355</v>
      </c>
      <c r="D155" s="195" t="s">
        <v>1032</v>
      </c>
      <c r="E155" s="146">
        <v>60</v>
      </c>
      <c r="F155" s="146" t="s">
        <v>853</v>
      </c>
      <c r="I155" s="195" t="s">
        <v>1199</v>
      </c>
      <c r="J155" s="277">
        <v>1</v>
      </c>
      <c r="K155" s="146">
        <v>5</v>
      </c>
      <c r="L155" s="146">
        <v>442</v>
      </c>
      <c r="M155" s="146" t="s">
        <v>1220</v>
      </c>
      <c r="N155" s="146">
        <v>20</v>
      </c>
      <c r="O155" s="195" t="s">
        <v>1136</v>
      </c>
      <c r="T155" s="146">
        <v>5</v>
      </c>
      <c r="W155" s="195">
        <v>621</v>
      </c>
      <c r="X155" s="146">
        <v>1600</v>
      </c>
      <c r="Y155" s="146">
        <v>2436</v>
      </c>
      <c r="Z155" s="344" t="s">
        <v>1268</v>
      </c>
    </row>
    <row r="156" spans="1:33" x14ac:dyDescent="0.2">
      <c r="A156" s="196">
        <v>45753</v>
      </c>
      <c r="B156" s="251">
        <v>0.66666666666666663</v>
      </c>
      <c r="C156" s="195">
        <v>355</v>
      </c>
      <c r="D156" s="195" t="s">
        <v>1032</v>
      </c>
      <c r="E156" s="146">
        <v>60</v>
      </c>
      <c r="F156" s="146" t="s">
        <v>853</v>
      </c>
      <c r="I156" s="195" t="s">
        <v>1199</v>
      </c>
      <c r="J156" s="277">
        <v>1</v>
      </c>
      <c r="K156" s="146">
        <v>5</v>
      </c>
      <c r="L156" s="146">
        <v>442</v>
      </c>
      <c r="M156" s="146" t="s">
        <v>1220</v>
      </c>
      <c r="N156" s="146">
        <v>20</v>
      </c>
      <c r="O156" s="195" t="s">
        <v>1136</v>
      </c>
      <c r="T156" s="146">
        <v>5</v>
      </c>
      <c r="W156" s="195">
        <v>1948</v>
      </c>
      <c r="X156" s="146">
        <v>2800</v>
      </c>
      <c r="Y156" s="146">
        <v>3531</v>
      </c>
      <c r="Z156" s="344" t="s">
        <v>1295</v>
      </c>
    </row>
    <row r="157" spans="1:33" s="285" customFormat="1" x14ac:dyDescent="0.2">
      <c r="A157" s="284" t="s">
        <v>1312</v>
      </c>
      <c r="B157" s="288">
        <v>0.54166666666666663</v>
      </c>
      <c r="C157" s="295">
        <v>320</v>
      </c>
      <c r="D157" s="295" t="s">
        <v>188</v>
      </c>
      <c r="E157" s="285">
        <v>14</v>
      </c>
      <c r="F157" s="285" t="s">
        <v>800</v>
      </c>
      <c r="G157" s="295"/>
      <c r="I157" s="295" t="s">
        <v>1199</v>
      </c>
      <c r="J157" s="311">
        <v>1</v>
      </c>
      <c r="K157" s="285">
        <v>5</v>
      </c>
      <c r="L157" s="285">
        <v>442</v>
      </c>
      <c r="M157" s="285" t="s">
        <v>1220</v>
      </c>
      <c r="N157" s="285">
        <v>20</v>
      </c>
      <c r="O157" s="295" t="s">
        <v>1136</v>
      </c>
      <c r="T157" s="285">
        <v>5</v>
      </c>
      <c r="W157" s="295">
        <v>621</v>
      </c>
      <c r="X157" s="285">
        <v>1600</v>
      </c>
      <c r="Y157" s="285">
        <v>2436</v>
      </c>
      <c r="Z157" s="347" t="s">
        <v>1268</v>
      </c>
      <c r="AA157" s="296"/>
      <c r="AB157" s="295"/>
      <c r="AD157" s="297"/>
      <c r="AG157" s="297"/>
    </row>
    <row r="158" spans="1:33" x14ac:dyDescent="0.2">
      <c r="A158" s="168" t="s">
        <v>1312</v>
      </c>
      <c r="B158" s="251">
        <v>0.5625</v>
      </c>
      <c r="C158" s="195">
        <v>320</v>
      </c>
      <c r="D158" s="195" t="s">
        <v>188</v>
      </c>
      <c r="E158" s="146">
        <v>14</v>
      </c>
      <c r="F158" s="146" t="s">
        <v>800</v>
      </c>
      <c r="I158" s="195" t="s">
        <v>1199</v>
      </c>
      <c r="J158" s="277">
        <v>1</v>
      </c>
      <c r="K158" s="146">
        <v>5</v>
      </c>
      <c r="L158" s="146">
        <v>442</v>
      </c>
      <c r="M158" s="146" t="s">
        <v>1220</v>
      </c>
      <c r="N158" s="146">
        <v>20</v>
      </c>
      <c r="O158" s="195" t="s">
        <v>1136</v>
      </c>
      <c r="T158" s="146">
        <v>5</v>
      </c>
      <c r="W158" s="195">
        <v>1948</v>
      </c>
      <c r="X158" s="146">
        <v>2800</v>
      </c>
      <c r="Y158" s="146">
        <v>3531</v>
      </c>
      <c r="Z158" s="344" t="s">
        <v>1295</v>
      </c>
    </row>
    <row r="159" spans="1:33" x14ac:dyDescent="0.2">
      <c r="A159" s="168" t="s">
        <v>1312</v>
      </c>
      <c r="B159" s="251">
        <v>0.56944444444444442</v>
      </c>
      <c r="C159" s="195">
        <v>321</v>
      </c>
      <c r="D159" s="195" t="s">
        <v>188</v>
      </c>
      <c r="E159" s="146">
        <v>14</v>
      </c>
      <c r="F159" s="146" t="s">
        <v>802</v>
      </c>
      <c r="I159" s="195" t="s">
        <v>1199</v>
      </c>
      <c r="J159" s="277">
        <v>1</v>
      </c>
      <c r="K159" s="146">
        <v>5</v>
      </c>
      <c r="L159" s="146">
        <v>442</v>
      </c>
      <c r="M159" s="146" t="s">
        <v>1220</v>
      </c>
      <c r="N159" s="146">
        <v>20</v>
      </c>
      <c r="O159" s="195" t="s">
        <v>1136</v>
      </c>
      <c r="T159" s="146">
        <v>5</v>
      </c>
      <c r="W159" s="195">
        <v>621</v>
      </c>
      <c r="X159" s="146">
        <v>1600</v>
      </c>
      <c r="Y159" s="146">
        <v>2436</v>
      </c>
      <c r="Z159" s="344" t="s">
        <v>1268</v>
      </c>
    </row>
    <row r="160" spans="1:33" x14ac:dyDescent="0.2">
      <c r="A160" s="168" t="s">
        <v>1312</v>
      </c>
      <c r="B160" s="251">
        <v>0.59375</v>
      </c>
      <c r="C160" s="195">
        <v>321</v>
      </c>
      <c r="D160" s="195" t="s">
        <v>188</v>
      </c>
      <c r="E160" s="146">
        <v>14</v>
      </c>
      <c r="F160" s="146" t="s">
        <v>802</v>
      </c>
      <c r="I160" s="195" t="s">
        <v>1199</v>
      </c>
      <c r="J160" s="277">
        <v>1</v>
      </c>
      <c r="K160" s="146">
        <v>5</v>
      </c>
      <c r="L160" s="146">
        <v>442</v>
      </c>
      <c r="M160" s="146" t="s">
        <v>1220</v>
      </c>
      <c r="N160" s="146">
        <v>20</v>
      </c>
      <c r="O160" s="195" t="s">
        <v>1136</v>
      </c>
      <c r="T160" s="146">
        <v>5</v>
      </c>
      <c r="W160" s="195">
        <v>1948</v>
      </c>
      <c r="X160" s="146">
        <v>2800</v>
      </c>
      <c r="Y160" s="146">
        <v>3531</v>
      </c>
      <c r="Z160" s="344" t="s">
        <v>1295</v>
      </c>
    </row>
    <row r="161" spans="1:33" x14ac:dyDescent="0.2">
      <c r="A161" s="168" t="s">
        <v>1312</v>
      </c>
      <c r="B161" s="251">
        <v>0.60416666666666663</v>
      </c>
      <c r="C161" s="195">
        <v>322</v>
      </c>
      <c r="D161" s="195" t="s">
        <v>188</v>
      </c>
      <c r="E161" s="146">
        <v>14</v>
      </c>
      <c r="F161" s="146" t="s">
        <v>804</v>
      </c>
      <c r="I161" s="195" t="s">
        <v>1199</v>
      </c>
      <c r="J161" s="277">
        <v>1</v>
      </c>
      <c r="K161" s="146">
        <v>5</v>
      </c>
      <c r="L161" s="146">
        <v>442</v>
      </c>
      <c r="M161" s="146" t="s">
        <v>1220</v>
      </c>
      <c r="N161" s="146">
        <v>20</v>
      </c>
      <c r="O161" s="195" t="s">
        <v>1136</v>
      </c>
      <c r="T161" s="146">
        <v>5</v>
      </c>
      <c r="W161" s="195">
        <v>621</v>
      </c>
      <c r="X161" s="146">
        <v>1600</v>
      </c>
      <c r="Y161" s="146">
        <v>2436</v>
      </c>
      <c r="Z161" s="344" t="s">
        <v>1268</v>
      </c>
    </row>
    <row r="162" spans="1:33" x14ac:dyDescent="0.2">
      <c r="A162" s="168" t="s">
        <v>1312</v>
      </c>
      <c r="B162" s="251">
        <v>0.61458333333333337</v>
      </c>
      <c r="C162" s="195">
        <v>322</v>
      </c>
      <c r="D162" s="195" t="s">
        <v>188</v>
      </c>
      <c r="E162" s="146">
        <v>14</v>
      </c>
      <c r="F162" s="146" t="s">
        <v>804</v>
      </c>
      <c r="I162" s="195" t="s">
        <v>1199</v>
      </c>
      <c r="J162" s="277">
        <v>1</v>
      </c>
      <c r="K162" s="146">
        <v>5</v>
      </c>
      <c r="L162" s="146">
        <v>442</v>
      </c>
      <c r="M162" s="146" t="s">
        <v>1220</v>
      </c>
      <c r="N162" s="146">
        <v>20</v>
      </c>
      <c r="O162" s="195" t="s">
        <v>1136</v>
      </c>
      <c r="T162" s="146">
        <v>5</v>
      </c>
      <c r="W162" s="195">
        <v>1948</v>
      </c>
      <c r="X162" s="146">
        <v>2800</v>
      </c>
      <c r="Y162" s="146">
        <v>3531</v>
      </c>
      <c r="Z162" s="344" t="s">
        <v>1295</v>
      </c>
    </row>
    <row r="163" spans="1:33" x14ac:dyDescent="0.2">
      <c r="A163" s="168" t="s">
        <v>1312</v>
      </c>
      <c r="B163" s="251">
        <v>0.61805555555555558</v>
      </c>
      <c r="C163" s="195">
        <v>323</v>
      </c>
      <c r="D163" s="195" t="s">
        <v>188</v>
      </c>
      <c r="E163" s="146">
        <v>14</v>
      </c>
      <c r="F163" s="146" t="s">
        <v>806</v>
      </c>
      <c r="I163" s="195" t="s">
        <v>1199</v>
      </c>
      <c r="J163" s="277">
        <v>1</v>
      </c>
      <c r="K163" s="146">
        <v>5</v>
      </c>
      <c r="L163" s="146">
        <v>442</v>
      </c>
      <c r="M163" s="146" t="s">
        <v>1220</v>
      </c>
      <c r="N163" s="146">
        <v>20</v>
      </c>
      <c r="O163" s="195" t="s">
        <v>1136</v>
      </c>
      <c r="T163" s="146">
        <v>5</v>
      </c>
      <c r="W163" s="195">
        <v>621</v>
      </c>
      <c r="X163" s="146">
        <v>1600</v>
      </c>
      <c r="Y163" s="146">
        <v>2436</v>
      </c>
      <c r="Z163" s="344" t="s">
        <v>1268</v>
      </c>
    </row>
    <row r="164" spans="1:33" x14ac:dyDescent="0.2">
      <c r="A164" s="168" t="s">
        <v>1312</v>
      </c>
      <c r="B164" s="251">
        <v>0.63194444444444442</v>
      </c>
      <c r="C164" s="195">
        <v>323</v>
      </c>
      <c r="D164" s="195" t="s">
        <v>188</v>
      </c>
      <c r="E164" s="146">
        <v>14</v>
      </c>
      <c r="F164" s="146" t="s">
        <v>806</v>
      </c>
      <c r="I164" s="195" t="s">
        <v>1199</v>
      </c>
      <c r="J164" s="277">
        <v>1</v>
      </c>
      <c r="K164" s="146">
        <v>5</v>
      </c>
      <c r="L164" s="146">
        <v>442</v>
      </c>
      <c r="M164" s="146" t="s">
        <v>1220</v>
      </c>
      <c r="N164" s="146">
        <v>20</v>
      </c>
      <c r="O164" s="195" t="s">
        <v>1136</v>
      </c>
      <c r="T164" s="146">
        <v>5</v>
      </c>
      <c r="W164" s="195">
        <v>1948</v>
      </c>
      <c r="X164" s="146">
        <v>2800</v>
      </c>
      <c r="Y164" s="146">
        <v>3531</v>
      </c>
      <c r="Z164" s="344" t="s">
        <v>1295</v>
      </c>
    </row>
    <row r="165" spans="1:33" x14ac:dyDescent="0.2">
      <c r="A165" s="168" t="s">
        <v>1312</v>
      </c>
      <c r="B165" s="251">
        <v>0.64583333333333337</v>
      </c>
      <c r="C165" s="195">
        <v>306</v>
      </c>
      <c r="D165" s="195" t="s">
        <v>173</v>
      </c>
      <c r="E165" s="146">
        <v>14</v>
      </c>
      <c r="F165" s="146" t="s">
        <v>768</v>
      </c>
      <c r="I165" s="195" t="s">
        <v>1199</v>
      </c>
      <c r="J165" s="277">
        <v>1</v>
      </c>
      <c r="K165" s="146">
        <v>5</v>
      </c>
      <c r="L165" s="146">
        <v>442</v>
      </c>
      <c r="M165" s="146" t="s">
        <v>1220</v>
      </c>
      <c r="N165" s="146">
        <v>20</v>
      </c>
      <c r="O165" s="195" t="s">
        <v>1136</v>
      </c>
      <c r="T165" s="146">
        <v>5</v>
      </c>
      <c r="W165" s="195">
        <v>621</v>
      </c>
      <c r="X165" s="146">
        <v>1600</v>
      </c>
      <c r="Y165" s="146">
        <v>2436</v>
      </c>
      <c r="Z165" s="344" t="s">
        <v>1268</v>
      </c>
    </row>
    <row r="166" spans="1:33" s="291" customFormat="1" x14ac:dyDescent="0.2">
      <c r="A166" s="290" t="s">
        <v>1312</v>
      </c>
      <c r="B166" s="293">
        <v>0.66666666666666663</v>
      </c>
      <c r="C166" s="299">
        <v>306</v>
      </c>
      <c r="D166" s="299" t="s">
        <v>173</v>
      </c>
      <c r="E166" s="291">
        <v>14</v>
      </c>
      <c r="F166" s="291" t="s">
        <v>768</v>
      </c>
      <c r="G166" s="299"/>
      <c r="I166" s="299" t="s">
        <v>1199</v>
      </c>
      <c r="J166" s="312">
        <v>1</v>
      </c>
      <c r="K166" s="291">
        <v>5</v>
      </c>
      <c r="L166" s="291">
        <v>442</v>
      </c>
      <c r="M166" s="291" t="s">
        <v>1220</v>
      </c>
      <c r="N166" s="291">
        <v>20</v>
      </c>
      <c r="O166" s="299" t="s">
        <v>1136</v>
      </c>
      <c r="T166" s="291">
        <v>5</v>
      </c>
      <c r="W166" s="299">
        <v>1948</v>
      </c>
      <c r="X166" s="291">
        <v>2800</v>
      </c>
      <c r="Y166" s="291">
        <v>3531</v>
      </c>
      <c r="Z166" s="348" t="s">
        <v>1295</v>
      </c>
      <c r="AA166" s="300"/>
      <c r="AB166" s="299"/>
      <c r="AD166" s="301"/>
      <c r="AG166" s="301"/>
    </row>
    <row r="167" spans="1:33" x14ac:dyDescent="0.2">
      <c r="A167" s="230">
        <v>45695</v>
      </c>
      <c r="B167" s="251">
        <v>0.4236111111111111</v>
      </c>
      <c r="C167" s="195">
        <v>342</v>
      </c>
      <c r="D167" s="195" t="s">
        <v>197</v>
      </c>
      <c r="E167" s="146">
        <v>14</v>
      </c>
      <c r="F167" s="146" t="s">
        <v>846</v>
      </c>
      <c r="I167" s="195" t="s">
        <v>1199</v>
      </c>
      <c r="J167" s="277">
        <v>1</v>
      </c>
      <c r="K167" s="146">
        <v>5</v>
      </c>
      <c r="L167" s="146">
        <v>442</v>
      </c>
      <c r="M167" s="146" t="s">
        <v>1220</v>
      </c>
      <c r="N167" s="146">
        <v>20</v>
      </c>
      <c r="O167" s="195" t="s">
        <v>1136</v>
      </c>
      <c r="T167" s="146">
        <v>5</v>
      </c>
      <c r="W167" s="195">
        <v>621</v>
      </c>
      <c r="X167" s="146">
        <v>1600</v>
      </c>
      <c r="Y167" s="146">
        <v>2436</v>
      </c>
      <c r="Z167" s="344" t="s">
        <v>1268</v>
      </c>
    </row>
    <row r="168" spans="1:33" x14ac:dyDescent="0.2">
      <c r="A168" s="230">
        <v>45695</v>
      </c>
      <c r="B168" s="251">
        <v>0.4375</v>
      </c>
      <c r="C168" s="195">
        <v>342</v>
      </c>
      <c r="D168" s="195" t="s">
        <v>197</v>
      </c>
      <c r="E168" s="146">
        <v>14</v>
      </c>
      <c r="F168" s="146" t="s">
        <v>846</v>
      </c>
      <c r="I168" s="195" t="s">
        <v>1199</v>
      </c>
      <c r="J168" s="277">
        <v>1</v>
      </c>
      <c r="K168" s="146">
        <v>5</v>
      </c>
      <c r="L168" s="146">
        <v>442</v>
      </c>
      <c r="M168" s="146" t="s">
        <v>1220</v>
      </c>
      <c r="N168" s="146">
        <v>20</v>
      </c>
      <c r="O168" s="195" t="s">
        <v>1136</v>
      </c>
      <c r="T168" s="146">
        <v>5</v>
      </c>
      <c r="W168" s="195">
        <v>1948</v>
      </c>
      <c r="X168" s="146">
        <v>2800</v>
      </c>
      <c r="Y168" s="146">
        <v>3531</v>
      </c>
      <c r="Z168" s="344" t="s">
        <v>1295</v>
      </c>
    </row>
    <row r="169" spans="1:33" x14ac:dyDescent="0.2">
      <c r="A169" s="230">
        <v>45695</v>
      </c>
      <c r="B169" s="251">
        <v>0.44791666666666669</v>
      </c>
      <c r="C169" s="195">
        <v>305</v>
      </c>
      <c r="D169" s="195" t="s">
        <v>197</v>
      </c>
      <c r="E169" s="146">
        <v>14</v>
      </c>
      <c r="F169" s="146" t="s">
        <v>766</v>
      </c>
      <c r="I169" s="195" t="s">
        <v>1199</v>
      </c>
      <c r="J169" s="277">
        <v>1</v>
      </c>
      <c r="K169" s="146">
        <v>5</v>
      </c>
      <c r="L169" s="146">
        <v>442</v>
      </c>
      <c r="M169" s="146" t="s">
        <v>1220</v>
      </c>
      <c r="N169" s="146">
        <v>20</v>
      </c>
      <c r="O169" s="195" t="s">
        <v>1136</v>
      </c>
      <c r="T169" s="146">
        <v>5</v>
      </c>
      <c r="W169" s="195">
        <v>621</v>
      </c>
      <c r="X169" s="146">
        <v>1600</v>
      </c>
      <c r="Y169" s="146">
        <v>2436</v>
      </c>
      <c r="Z169" s="344" t="s">
        <v>1268</v>
      </c>
    </row>
    <row r="170" spans="1:33" x14ac:dyDescent="0.2">
      <c r="A170" s="230">
        <v>45695</v>
      </c>
      <c r="B170" s="251">
        <v>0.4513888888888889</v>
      </c>
      <c r="C170" s="195">
        <v>305</v>
      </c>
      <c r="D170" s="195" t="s">
        <v>197</v>
      </c>
      <c r="E170" s="146">
        <v>14</v>
      </c>
      <c r="F170" s="146" t="s">
        <v>766</v>
      </c>
      <c r="I170" s="195" t="s">
        <v>1199</v>
      </c>
      <c r="J170" s="277">
        <v>1</v>
      </c>
      <c r="K170" s="146">
        <v>5</v>
      </c>
      <c r="L170" s="146">
        <v>442</v>
      </c>
      <c r="M170" s="146" t="s">
        <v>1220</v>
      </c>
      <c r="N170" s="146">
        <v>20</v>
      </c>
      <c r="O170" s="195" t="s">
        <v>1136</v>
      </c>
      <c r="T170" s="146">
        <v>5</v>
      </c>
      <c r="W170" s="195">
        <v>1948</v>
      </c>
      <c r="X170" s="146">
        <v>2800</v>
      </c>
      <c r="Y170" s="146">
        <v>3531</v>
      </c>
      <c r="Z170" s="344" t="s">
        <v>1295</v>
      </c>
    </row>
    <row r="171" spans="1:33" x14ac:dyDescent="0.2">
      <c r="A171" s="230">
        <v>45695</v>
      </c>
      <c r="B171" s="251">
        <v>0.47916666666666669</v>
      </c>
      <c r="C171" s="195">
        <v>305</v>
      </c>
      <c r="D171" s="195" t="s">
        <v>197</v>
      </c>
      <c r="E171" s="146">
        <v>14</v>
      </c>
      <c r="F171" s="146" t="s">
        <v>766</v>
      </c>
      <c r="I171" s="195" t="s">
        <v>1199</v>
      </c>
      <c r="J171" s="277">
        <v>1</v>
      </c>
      <c r="K171" s="146">
        <v>5</v>
      </c>
      <c r="L171" s="146">
        <v>442</v>
      </c>
      <c r="M171" s="146" t="s">
        <v>1220</v>
      </c>
      <c r="N171" s="146">
        <v>20</v>
      </c>
      <c r="O171" s="195" t="s">
        <v>1136</v>
      </c>
      <c r="T171" s="146">
        <v>5</v>
      </c>
      <c r="W171" s="195">
        <v>621</v>
      </c>
      <c r="X171" s="146">
        <v>1600</v>
      </c>
      <c r="Y171" s="146">
        <v>2436</v>
      </c>
      <c r="Z171" s="344" t="s">
        <v>1268</v>
      </c>
    </row>
    <row r="172" spans="1:33" x14ac:dyDescent="0.2">
      <c r="A172" s="230">
        <v>45695</v>
      </c>
      <c r="B172" s="251">
        <v>0.49305555555555558</v>
      </c>
      <c r="C172" s="195">
        <v>308</v>
      </c>
      <c r="D172" s="195" t="s">
        <v>197</v>
      </c>
      <c r="E172" s="146">
        <v>14</v>
      </c>
      <c r="F172" s="146" t="s">
        <v>774</v>
      </c>
      <c r="I172" s="195" t="s">
        <v>1199</v>
      </c>
      <c r="J172" s="277">
        <v>1</v>
      </c>
      <c r="K172" s="146">
        <v>5</v>
      </c>
      <c r="L172" s="146">
        <v>442</v>
      </c>
      <c r="M172" s="146" t="s">
        <v>1220</v>
      </c>
      <c r="N172" s="146">
        <v>20</v>
      </c>
      <c r="O172" s="195" t="s">
        <v>1136</v>
      </c>
      <c r="T172" s="146">
        <v>5</v>
      </c>
      <c r="W172" s="195">
        <v>1948</v>
      </c>
      <c r="X172" s="146">
        <v>2800</v>
      </c>
      <c r="Y172" s="146">
        <v>3531</v>
      </c>
      <c r="Z172" s="344" t="s">
        <v>1295</v>
      </c>
    </row>
    <row r="173" spans="1:33" x14ac:dyDescent="0.2">
      <c r="A173" s="230">
        <v>45695</v>
      </c>
      <c r="B173" s="251">
        <v>0.50347222222222221</v>
      </c>
      <c r="C173" s="195">
        <v>308</v>
      </c>
      <c r="D173" s="195" t="s">
        <v>197</v>
      </c>
      <c r="E173" s="146">
        <v>14</v>
      </c>
      <c r="F173" s="146" t="s">
        <v>774</v>
      </c>
      <c r="I173" s="195" t="s">
        <v>1199</v>
      </c>
      <c r="J173" s="277">
        <v>1</v>
      </c>
      <c r="K173" s="146">
        <v>5</v>
      </c>
      <c r="L173" s="146">
        <v>442</v>
      </c>
      <c r="M173" s="146" t="s">
        <v>1220</v>
      </c>
      <c r="N173" s="146">
        <v>20</v>
      </c>
      <c r="O173" s="195" t="s">
        <v>1136</v>
      </c>
      <c r="T173" s="146">
        <v>5</v>
      </c>
      <c r="W173" s="195">
        <v>621</v>
      </c>
      <c r="X173" s="146">
        <v>1600</v>
      </c>
      <c r="Y173" s="146">
        <v>2436</v>
      </c>
      <c r="Z173" s="344" t="s">
        <v>1268</v>
      </c>
    </row>
    <row r="174" spans="1:33" x14ac:dyDescent="0.2">
      <c r="A174" s="230">
        <v>45695</v>
      </c>
      <c r="B174" s="251">
        <v>0.52083333333333337</v>
      </c>
      <c r="C174" s="195">
        <v>306</v>
      </c>
      <c r="D174" s="195" t="s">
        <v>173</v>
      </c>
      <c r="E174" s="146">
        <v>14</v>
      </c>
      <c r="F174" s="146" t="s">
        <v>768</v>
      </c>
      <c r="I174" s="195" t="s">
        <v>1199</v>
      </c>
      <c r="J174" s="277">
        <v>1</v>
      </c>
      <c r="K174" s="146">
        <v>5</v>
      </c>
      <c r="L174" s="146">
        <v>442</v>
      </c>
      <c r="M174" s="146" t="s">
        <v>1220</v>
      </c>
      <c r="N174" s="146">
        <v>20</v>
      </c>
      <c r="O174" s="195" t="s">
        <v>1136</v>
      </c>
      <c r="T174" s="146">
        <v>5</v>
      </c>
      <c r="W174" s="195">
        <v>1948</v>
      </c>
      <c r="X174" s="146">
        <v>2800</v>
      </c>
      <c r="Y174" s="146">
        <v>3531</v>
      </c>
      <c r="Z174" s="344" t="s">
        <v>1295</v>
      </c>
    </row>
    <row r="175" spans="1:33" x14ac:dyDescent="0.2">
      <c r="A175" s="230">
        <v>45695</v>
      </c>
      <c r="B175" s="251">
        <v>0.53125</v>
      </c>
      <c r="C175" s="195">
        <v>306</v>
      </c>
      <c r="D175" s="195" t="s">
        <v>173</v>
      </c>
      <c r="E175" s="146">
        <v>14</v>
      </c>
      <c r="F175" s="146" t="s">
        <v>768</v>
      </c>
      <c r="I175" s="195" t="s">
        <v>1199</v>
      </c>
      <c r="J175" s="277">
        <v>1</v>
      </c>
      <c r="K175" s="146">
        <v>5</v>
      </c>
      <c r="L175" s="146">
        <v>442</v>
      </c>
      <c r="M175" s="146" t="s">
        <v>1220</v>
      </c>
      <c r="N175" s="146">
        <v>20</v>
      </c>
      <c r="O175" s="195" t="s">
        <v>1136</v>
      </c>
    </row>
    <row r="176" spans="1:33" s="285" customFormat="1" x14ac:dyDescent="0.2">
      <c r="A176" s="287">
        <v>45723</v>
      </c>
      <c r="B176" s="288">
        <v>0.41666666666666669</v>
      </c>
      <c r="C176" s="295">
        <v>324</v>
      </c>
      <c r="D176" s="295" t="s">
        <v>173</v>
      </c>
      <c r="E176" s="285">
        <v>14</v>
      </c>
      <c r="F176" s="285" t="s">
        <v>808</v>
      </c>
      <c r="G176" s="295"/>
      <c r="I176" s="295" t="s">
        <v>1199</v>
      </c>
      <c r="J176" s="311">
        <v>1</v>
      </c>
      <c r="K176" s="285">
        <v>5</v>
      </c>
      <c r="L176" s="285">
        <v>442</v>
      </c>
      <c r="M176" s="285" t="s">
        <v>1220</v>
      </c>
      <c r="N176" s="285">
        <v>20</v>
      </c>
      <c r="O176" s="295" t="s">
        <v>1136</v>
      </c>
      <c r="T176" s="285">
        <v>5</v>
      </c>
      <c r="W176" s="295">
        <v>621</v>
      </c>
      <c r="X176" s="285">
        <v>1600</v>
      </c>
      <c r="Y176" s="285">
        <v>2436</v>
      </c>
      <c r="Z176" s="347" t="s">
        <v>1268</v>
      </c>
      <c r="AA176" s="296"/>
      <c r="AB176" s="295"/>
      <c r="AD176" s="297"/>
      <c r="AG176" s="297"/>
    </row>
    <row r="177" spans="1:33" x14ac:dyDescent="0.2">
      <c r="A177" s="230">
        <v>45723</v>
      </c>
      <c r="B177" s="251">
        <v>0.42708333333333331</v>
      </c>
      <c r="C177" s="195">
        <v>324</v>
      </c>
      <c r="D177" s="195" t="s">
        <v>173</v>
      </c>
      <c r="E177" s="146">
        <v>14</v>
      </c>
      <c r="F177" s="146" t="s">
        <v>808</v>
      </c>
      <c r="I177" s="195" t="s">
        <v>1199</v>
      </c>
      <c r="J177" s="277">
        <v>1</v>
      </c>
      <c r="K177" s="146">
        <v>5</v>
      </c>
      <c r="L177" s="146">
        <v>442</v>
      </c>
      <c r="M177" s="146" t="s">
        <v>1220</v>
      </c>
      <c r="N177" s="146">
        <v>20</v>
      </c>
      <c r="O177" s="195" t="s">
        <v>1136</v>
      </c>
      <c r="T177" s="146">
        <v>5</v>
      </c>
      <c r="W177" s="195">
        <v>1948</v>
      </c>
      <c r="X177" s="146">
        <v>2800</v>
      </c>
      <c r="Y177" s="146">
        <v>3531</v>
      </c>
      <c r="Z177" s="344" t="s">
        <v>1295</v>
      </c>
    </row>
    <row r="178" spans="1:33" x14ac:dyDescent="0.2">
      <c r="A178" s="230">
        <v>45723</v>
      </c>
      <c r="B178" s="251">
        <v>0.4375</v>
      </c>
      <c r="C178" s="195">
        <v>311</v>
      </c>
      <c r="D178" s="195" t="s">
        <v>173</v>
      </c>
      <c r="E178" s="146">
        <v>14</v>
      </c>
      <c r="F178" s="146" t="s">
        <v>780</v>
      </c>
      <c r="I178" s="195" t="s">
        <v>1199</v>
      </c>
      <c r="J178" s="277">
        <v>1</v>
      </c>
      <c r="K178" s="146">
        <v>5</v>
      </c>
      <c r="L178" s="146">
        <v>442</v>
      </c>
      <c r="M178" s="146" t="s">
        <v>1220</v>
      </c>
      <c r="N178" s="146">
        <v>20</v>
      </c>
      <c r="O178" s="195" t="s">
        <v>1136</v>
      </c>
      <c r="T178" s="146">
        <v>5</v>
      </c>
      <c r="W178" s="195">
        <v>621</v>
      </c>
      <c r="X178" s="146">
        <v>1600</v>
      </c>
      <c r="Y178" s="146">
        <v>2436</v>
      </c>
      <c r="Z178" s="344" t="s">
        <v>1268</v>
      </c>
    </row>
    <row r="179" spans="1:33" x14ac:dyDescent="0.2">
      <c r="A179" s="230">
        <v>45723</v>
      </c>
      <c r="B179" s="251">
        <v>0.44791666666666669</v>
      </c>
      <c r="C179" s="195">
        <v>311</v>
      </c>
      <c r="D179" s="195" t="s">
        <v>173</v>
      </c>
      <c r="E179" s="146">
        <v>14</v>
      </c>
      <c r="F179" s="146" t="s">
        <v>780</v>
      </c>
      <c r="I179" s="195" t="s">
        <v>1199</v>
      </c>
      <c r="J179" s="277">
        <v>1</v>
      </c>
      <c r="K179" s="146">
        <v>5</v>
      </c>
      <c r="L179" s="146">
        <v>442</v>
      </c>
      <c r="M179" s="146" t="s">
        <v>1220</v>
      </c>
      <c r="N179" s="146">
        <v>20</v>
      </c>
      <c r="O179" s="195" t="s">
        <v>1136</v>
      </c>
      <c r="T179" s="146">
        <v>5</v>
      </c>
      <c r="W179" s="195">
        <v>1948</v>
      </c>
      <c r="X179" s="146">
        <v>2800</v>
      </c>
      <c r="Y179" s="146">
        <v>3531</v>
      </c>
      <c r="Z179" s="344" t="s">
        <v>1295</v>
      </c>
    </row>
    <row r="180" spans="1:33" x14ac:dyDescent="0.2">
      <c r="A180" s="230">
        <v>45723</v>
      </c>
      <c r="B180" s="251">
        <v>0.46527777777777779</v>
      </c>
      <c r="C180" s="195">
        <v>326</v>
      </c>
      <c r="D180" s="195" t="s">
        <v>173</v>
      </c>
      <c r="E180" s="146">
        <v>14</v>
      </c>
      <c r="F180" s="146" t="s">
        <v>812</v>
      </c>
      <c r="I180" s="195" t="s">
        <v>1199</v>
      </c>
      <c r="J180" s="277">
        <v>1</v>
      </c>
      <c r="K180" s="146">
        <v>5</v>
      </c>
      <c r="L180" s="146">
        <v>442</v>
      </c>
      <c r="M180" s="146" t="s">
        <v>1220</v>
      </c>
      <c r="N180" s="146">
        <v>20</v>
      </c>
      <c r="O180" s="195" t="s">
        <v>1136</v>
      </c>
      <c r="T180" s="146">
        <v>5</v>
      </c>
      <c r="W180" s="195">
        <v>621</v>
      </c>
      <c r="X180" s="146">
        <v>1600</v>
      </c>
      <c r="Y180" s="146">
        <v>2436</v>
      </c>
      <c r="Z180" s="344" t="s">
        <v>1268</v>
      </c>
    </row>
    <row r="181" spans="1:33" x14ac:dyDescent="0.2">
      <c r="A181" s="230">
        <v>45723</v>
      </c>
      <c r="B181" s="251">
        <v>0.47916666666666669</v>
      </c>
      <c r="C181" s="195">
        <v>326</v>
      </c>
      <c r="D181" s="195" t="s">
        <v>173</v>
      </c>
      <c r="E181" s="146">
        <v>14</v>
      </c>
      <c r="F181" s="146" t="s">
        <v>812</v>
      </c>
      <c r="I181" s="195" t="s">
        <v>1199</v>
      </c>
      <c r="J181" s="277">
        <v>1</v>
      </c>
      <c r="K181" s="146">
        <v>5</v>
      </c>
      <c r="L181" s="146">
        <v>442</v>
      </c>
      <c r="M181" s="146" t="s">
        <v>1220</v>
      </c>
      <c r="N181" s="146">
        <v>20</v>
      </c>
      <c r="O181" s="195" t="s">
        <v>1136</v>
      </c>
      <c r="T181" s="146">
        <v>5</v>
      </c>
      <c r="W181" s="195">
        <v>1948</v>
      </c>
      <c r="X181" s="146">
        <v>2800</v>
      </c>
      <c r="Y181" s="146">
        <v>3531</v>
      </c>
      <c r="Z181" s="344" t="s">
        <v>1295</v>
      </c>
    </row>
    <row r="182" spans="1:33" x14ac:dyDescent="0.2">
      <c r="A182" s="230">
        <v>45723</v>
      </c>
      <c r="B182" s="251">
        <v>0.48958333333333331</v>
      </c>
      <c r="C182" s="195">
        <v>330</v>
      </c>
      <c r="D182" s="195" t="s">
        <v>489</v>
      </c>
      <c r="E182" s="146">
        <v>14</v>
      </c>
      <c r="F182" s="146" t="s">
        <v>820</v>
      </c>
      <c r="I182" s="195" t="s">
        <v>1199</v>
      </c>
      <c r="J182" s="277">
        <v>1</v>
      </c>
      <c r="K182" s="146">
        <v>5</v>
      </c>
      <c r="L182" s="146">
        <v>442</v>
      </c>
      <c r="M182" s="146" t="s">
        <v>1220</v>
      </c>
      <c r="N182" s="146">
        <v>20</v>
      </c>
      <c r="O182" s="195" t="s">
        <v>1136</v>
      </c>
      <c r="T182" s="146">
        <v>5</v>
      </c>
      <c r="W182" s="195">
        <v>621</v>
      </c>
      <c r="X182" s="146">
        <v>1600</v>
      </c>
      <c r="Y182" s="146">
        <v>2436</v>
      </c>
      <c r="Z182" s="344" t="s">
        <v>1268</v>
      </c>
    </row>
    <row r="183" spans="1:33" x14ac:dyDescent="0.2">
      <c r="A183" s="230">
        <v>45723</v>
      </c>
      <c r="B183" s="251">
        <v>0.5</v>
      </c>
      <c r="C183" s="195">
        <v>330</v>
      </c>
      <c r="D183" s="195" t="s">
        <v>489</v>
      </c>
      <c r="E183" s="146">
        <v>14</v>
      </c>
      <c r="F183" s="146" t="s">
        <v>820</v>
      </c>
      <c r="I183" s="195" t="s">
        <v>1199</v>
      </c>
      <c r="J183" s="277">
        <v>1</v>
      </c>
      <c r="K183" s="146">
        <v>5</v>
      </c>
      <c r="L183" s="146">
        <v>442</v>
      </c>
      <c r="M183" s="146" t="s">
        <v>1220</v>
      </c>
      <c r="N183" s="146">
        <v>20</v>
      </c>
      <c r="O183" s="195" t="s">
        <v>1136</v>
      </c>
      <c r="T183" s="146">
        <v>5</v>
      </c>
      <c r="W183" s="195">
        <v>1948</v>
      </c>
      <c r="X183" s="146">
        <v>2800</v>
      </c>
      <c r="Y183" s="146">
        <v>3531</v>
      </c>
      <c r="Z183" s="344" t="s">
        <v>1295</v>
      </c>
    </row>
    <row r="184" spans="1:33" x14ac:dyDescent="0.2">
      <c r="A184" s="230">
        <v>45723</v>
      </c>
      <c r="B184" s="251">
        <v>0.52083333333333337</v>
      </c>
      <c r="C184" s="195">
        <v>329</v>
      </c>
      <c r="D184" s="195" t="s">
        <v>489</v>
      </c>
      <c r="E184" s="146">
        <v>14</v>
      </c>
      <c r="F184" s="146" t="s">
        <v>818</v>
      </c>
      <c r="I184" s="195" t="s">
        <v>1199</v>
      </c>
      <c r="J184" s="277">
        <v>1</v>
      </c>
      <c r="K184" s="146">
        <v>5</v>
      </c>
      <c r="L184" s="146">
        <v>442</v>
      </c>
      <c r="M184" s="146" t="s">
        <v>1220</v>
      </c>
      <c r="N184" s="146">
        <v>20</v>
      </c>
      <c r="O184" s="195" t="s">
        <v>1136</v>
      </c>
      <c r="T184" s="146">
        <v>5</v>
      </c>
      <c r="W184" s="195">
        <v>621</v>
      </c>
      <c r="X184" s="146">
        <v>1600</v>
      </c>
      <c r="Y184" s="146">
        <v>2436</v>
      </c>
      <c r="Z184" s="344" t="s">
        <v>1268</v>
      </c>
    </row>
    <row r="185" spans="1:33" x14ac:dyDescent="0.2">
      <c r="A185" s="230">
        <v>45723</v>
      </c>
      <c r="B185" s="251">
        <v>0.53472222222222221</v>
      </c>
      <c r="C185" s="195">
        <v>329</v>
      </c>
      <c r="D185" s="195" t="s">
        <v>489</v>
      </c>
      <c r="E185" s="146">
        <v>14</v>
      </c>
      <c r="F185" s="146" t="s">
        <v>818</v>
      </c>
      <c r="I185" s="195" t="s">
        <v>1199</v>
      </c>
      <c r="J185" s="277">
        <v>1</v>
      </c>
      <c r="K185" s="146">
        <v>5</v>
      </c>
      <c r="L185" s="146">
        <v>442</v>
      </c>
      <c r="M185" s="146" t="s">
        <v>1220</v>
      </c>
      <c r="N185" s="146">
        <v>20</v>
      </c>
      <c r="O185" s="195" t="s">
        <v>1136</v>
      </c>
      <c r="T185" s="146">
        <v>5</v>
      </c>
      <c r="W185" s="195">
        <v>1948</v>
      </c>
      <c r="X185" s="146">
        <v>2800</v>
      </c>
      <c r="Y185" s="146">
        <v>3531</v>
      </c>
      <c r="Z185" s="344" t="s">
        <v>1295</v>
      </c>
    </row>
    <row r="186" spans="1:33" x14ac:dyDescent="0.2">
      <c r="A186" s="230">
        <v>45723</v>
      </c>
      <c r="B186" s="251">
        <v>0.54861111111111116</v>
      </c>
      <c r="C186" s="195">
        <v>333</v>
      </c>
      <c r="D186" s="195" t="s">
        <v>489</v>
      </c>
      <c r="E186" s="146">
        <v>14</v>
      </c>
      <c r="F186" s="146" t="s">
        <v>825</v>
      </c>
      <c r="I186" s="195" t="s">
        <v>1199</v>
      </c>
      <c r="J186" s="277">
        <v>1</v>
      </c>
      <c r="K186" s="146">
        <v>5</v>
      </c>
      <c r="L186" s="146">
        <v>442</v>
      </c>
      <c r="M186" s="146" t="s">
        <v>1220</v>
      </c>
      <c r="N186" s="146">
        <v>20</v>
      </c>
      <c r="O186" s="195" t="s">
        <v>1136</v>
      </c>
      <c r="T186" s="146">
        <v>5</v>
      </c>
      <c r="W186" s="195">
        <v>621</v>
      </c>
      <c r="X186" s="146">
        <v>1600</v>
      </c>
      <c r="Y186" s="146">
        <v>2436</v>
      </c>
      <c r="Z186" s="344" t="s">
        <v>1268</v>
      </c>
    </row>
    <row r="187" spans="1:33" s="291" customFormat="1" x14ac:dyDescent="0.2">
      <c r="A187" s="298">
        <v>45723</v>
      </c>
      <c r="B187" s="293">
        <v>0.55902777777777779</v>
      </c>
      <c r="C187" s="299">
        <v>333</v>
      </c>
      <c r="D187" s="299" t="s">
        <v>489</v>
      </c>
      <c r="E187" s="291">
        <v>14</v>
      </c>
      <c r="F187" s="291" t="s">
        <v>825</v>
      </c>
      <c r="G187" s="299"/>
      <c r="I187" s="299" t="s">
        <v>1199</v>
      </c>
      <c r="J187" s="312">
        <v>1</v>
      </c>
      <c r="K187" s="291">
        <v>5</v>
      </c>
      <c r="L187" s="291">
        <v>442</v>
      </c>
      <c r="M187" s="291" t="s">
        <v>1220</v>
      </c>
      <c r="N187" s="291">
        <v>20</v>
      </c>
      <c r="O187" s="299" t="s">
        <v>1136</v>
      </c>
      <c r="T187" s="291">
        <v>5</v>
      </c>
      <c r="W187" s="299">
        <v>1948</v>
      </c>
      <c r="X187" s="291">
        <v>2800</v>
      </c>
      <c r="Y187" s="291">
        <v>3531</v>
      </c>
      <c r="Z187" s="348" t="s">
        <v>1295</v>
      </c>
      <c r="AA187" s="300"/>
      <c r="AB187" s="299"/>
      <c r="AD187" s="301"/>
      <c r="AG187" s="301"/>
    </row>
    <row r="188" spans="1:33" x14ac:dyDescent="0.2">
      <c r="A188" s="230">
        <v>45785</v>
      </c>
      <c r="B188" s="251">
        <v>0.59375</v>
      </c>
      <c r="C188" s="195">
        <v>328</v>
      </c>
      <c r="D188" s="195" t="s">
        <v>188</v>
      </c>
      <c r="E188" s="146">
        <v>14</v>
      </c>
      <c r="F188" s="146" t="s">
        <v>816</v>
      </c>
      <c r="I188" s="195" t="s">
        <v>1199</v>
      </c>
      <c r="J188" s="277">
        <v>1</v>
      </c>
      <c r="K188" s="146">
        <v>5</v>
      </c>
      <c r="L188" s="146">
        <v>442</v>
      </c>
      <c r="M188" s="146" t="s">
        <v>1220</v>
      </c>
      <c r="N188" s="146">
        <v>20</v>
      </c>
      <c r="O188" s="195" t="s">
        <v>1136</v>
      </c>
      <c r="T188" s="146">
        <v>5</v>
      </c>
      <c r="W188" s="195">
        <v>621</v>
      </c>
      <c r="X188" s="146">
        <v>1600</v>
      </c>
      <c r="Y188" s="146">
        <v>2436</v>
      </c>
      <c r="Z188" s="344" t="s">
        <v>1268</v>
      </c>
    </row>
    <row r="189" spans="1:33" x14ac:dyDescent="0.2">
      <c r="A189" s="230">
        <v>45785</v>
      </c>
      <c r="B189" s="251">
        <v>0.60416666666666663</v>
      </c>
      <c r="C189" s="195">
        <v>328</v>
      </c>
      <c r="D189" s="195" t="s">
        <v>188</v>
      </c>
      <c r="E189" s="146">
        <v>14</v>
      </c>
      <c r="F189" s="146" t="s">
        <v>816</v>
      </c>
      <c r="I189" s="195" t="s">
        <v>1199</v>
      </c>
      <c r="J189" s="277">
        <v>1</v>
      </c>
      <c r="K189" s="146">
        <v>5</v>
      </c>
      <c r="L189" s="146">
        <v>442</v>
      </c>
      <c r="M189" s="146" t="s">
        <v>1220</v>
      </c>
      <c r="N189" s="146">
        <v>20</v>
      </c>
      <c r="O189" s="195" t="s">
        <v>1136</v>
      </c>
      <c r="T189" s="146">
        <v>5</v>
      </c>
      <c r="W189" s="195">
        <v>1948</v>
      </c>
      <c r="X189" s="146">
        <v>2800</v>
      </c>
      <c r="Y189" s="146">
        <v>3531</v>
      </c>
      <c r="Z189" s="344" t="s">
        <v>1295</v>
      </c>
    </row>
    <row r="190" spans="1:33" x14ac:dyDescent="0.2">
      <c r="A190" s="230">
        <v>45785</v>
      </c>
      <c r="B190" s="251">
        <v>0.61805555555555558</v>
      </c>
      <c r="C190" s="195">
        <v>327</v>
      </c>
      <c r="D190" s="195" t="s">
        <v>188</v>
      </c>
      <c r="E190" s="146">
        <v>14</v>
      </c>
      <c r="F190" s="146" t="s">
        <v>814</v>
      </c>
      <c r="I190" s="195" t="s">
        <v>1199</v>
      </c>
      <c r="J190" s="277">
        <v>1</v>
      </c>
      <c r="K190" s="146">
        <v>5</v>
      </c>
      <c r="L190" s="146">
        <v>442</v>
      </c>
      <c r="M190" s="146" t="s">
        <v>1220</v>
      </c>
      <c r="N190" s="146">
        <v>20</v>
      </c>
      <c r="O190" s="195" t="s">
        <v>1136</v>
      </c>
      <c r="T190" s="146">
        <v>5</v>
      </c>
      <c r="W190" s="195">
        <v>621</v>
      </c>
      <c r="X190" s="146">
        <v>1600</v>
      </c>
      <c r="Y190" s="146">
        <v>2436</v>
      </c>
      <c r="Z190" s="344" t="s">
        <v>1268</v>
      </c>
    </row>
    <row r="191" spans="1:33" x14ac:dyDescent="0.2">
      <c r="A191" s="230">
        <v>45785</v>
      </c>
      <c r="B191" s="251">
        <v>0.63194444444444442</v>
      </c>
      <c r="C191" s="195">
        <v>327</v>
      </c>
      <c r="D191" s="195" t="s">
        <v>188</v>
      </c>
      <c r="E191" s="146">
        <v>14</v>
      </c>
      <c r="F191" s="146" t="s">
        <v>814</v>
      </c>
      <c r="I191" s="195" t="s">
        <v>1199</v>
      </c>
      <c r="J191" s="277">
        <v>1</v>
      </c>
      <c r="K191" s="146">
        <v>5</v>
      </c>
      <c r="L191" s="146">
        <v>442</v>
      </c>
      <c r="M191" s="146" t="s">
        <v>1220</v>
      </c>
      <c r="N191" s="146">
        <v>20</v>
      </c>
      <c r="O191" s="195" t="s">
        <v>1136</v>
      </c>
      <c r="T191" s="146">
        <v>5</v>
      </c>
      <c r="W191" s="195">
        <v>1948</v>
      </c>
      <c r="X191" s="146">
        <v>2800</v>
      </c>
      <c r="Y191" s="146">
        <v>3531</v>
      </c>
      <c r="Z191" s="344" t="s">
        <v>1295</v>
      </c>
    </row>
    <row r="192" spans="1:33" x14ac:dyDescent="0.2">
      <c r="A192" s="230">
        <v>45785</v>
      </c>
      <c r="B192" s="251">
        <v>0.64236111111111116</v>
      </c>
      <c r="C192" s="195">
        <v>334</v>
      </c>
      <c r="D192" s="195" t="s">
        <v>489</v>
      </c>
      <c r="E192" s="146">
        <v>14</v>
      </c>
      <c r="F192" s="146" t="s">
        <v>827</v>
      </c>
      <c r="I192" s="195" t="s">
        <v>1199</v>
      </c>
      <c r="J192" s="277">
        <v>1</v>
      </c>
      <c r="K192" s="146">
        <v>5</v>
      </c>
      <c r="L192" s="146">
        <v>442</v>
      </c>
      <c r="M192" s="146" t="s">
        <v>1220</v>
      </c>
      <c r="N192" s="146">
        <v>20</v>
      </c>
      <c r="O192" s="195" t="s">
        <v>1136</v>
      </c>
      <c r="T192" s="146">
        <v>5</v>
      </c>
      <c r="W192" s="195">
        <v>621</v>
      </c>
      <c r="X192" s="146">
        <v>1600</v>
      </c>
      <c r="Y192" s="146">
        <v>2436</v>
      </c>
      <c r="Z192" s="344" t="s">
        <v>1268</v>
      </c>
    </row>
    <row r="193" spans="1:33" x14ac:dyDescent="0.2">
      <c r="A193" s="230">
        <v>45785</v>
      </c>
      <c r="B193" s="251">
        <v>0.65277777777777779</v>
      </c>
      <c r="C193" s="195">
        <v>334</v>
      </c>
      <c r="D193" s="195" t="s">
        <v>489</v>
      </c>
      <c r="E193" s="146">
        <v>14</v>
      </c>
      <c r="F193" s="146" t="s">
        <v>827</v>
      </c>
      <c r="I193" s="195" t="s">
        <v>1199</v>
      </c>
      <c r="J193" s="277">
        <v>1</v>
      </c>
      <c r="K193" s="146">
        <v>5</v>
      </c>
      <c r="L193" s="146">
        <v>442</v>
      </c>
      <c r="M193" s="146" t="s">
        <v>1220</v>
      </c>
      <c r="N193" s="146">
        <v>20</v>
      </c>
      <c r="O193" s="195" t="s">
        <v>1136</v>
      </c>
      <c r="T193" s="146">
        <v>5</v>
      </c>
      <c r="W193" s="195">
        <v>1948</v>
      </c>
      <c r="X193" s="146">
        <v>2800</v>
      </c>
      <c r="Y193" s="146">
        <v>3531</v>
      </c>
      <c r="Z193" s="344" t="s">
        <v>1295</v>
      </c>
    </row>
    <row r="194" spans="1:33" x14ac:dyDescent="0.2">
      <c r="A194" s="230">
        <v>45785</v>
      </c>
      <c r="B194" s="251">
        <v>0.66666666666666663</v>
      </c>
      <c r="C194" s="195">
        <v>336</v>
      </c>
      <c r="D194" s="195" t="s">
        <v>1142</v>
      </c>
      <c r="E194" s="146">
        <v>14</v>
      </c>
      <c r="F194" s="146" t="s">
        <v>831</v>
      </c>
      <c r="I194" s="195" t="s">
        <v>1199</v>
      </c>
      <c r="J194" s="277">
        <v>1</v>
      </c>
      <c r="K194" s="146">
        <v>5</v>
      </c>
      <c r="L194" s="146">
        <v>442</v>
      </c>
      <c r="M194" s="146" t="s">
        <v>1220</v>
      </c>
      <c r="N194" s="146">
        <v>20</v>
      </c>
      <c r="O194" s="195" t="s">
        <v>1136</v>
      </c>
      <c r="T194" s="146">
        <v>5</v>
      </c>
      <c r="W194" s="195">
        <v>621</v>
      </c>
      <c r="X194" s="146">
        <v>1600</v>
      </c>
      <c r="Y194" s="146">
        <v>2436</v>
      </c>
      <c r="Z194" s="344" t="s">
        <v>1268</v>
      </c>
    </row>
    <row r="195" spans="1:33" x14ac:dyDescent="0.2">
      <c r="A195" s="230">
        <v>45785</v>
      </c>
      <c r="B195" s="251">
        <v>0.68055555555555558</v>
      </c>
      <c r="C195" s="195">
        <v>336</v>
      </c>
      <c r="D195" s="195" t="s">
        <v>1142</v>
      </c>
      <c r="E195" s="146">
        <v>14</v>
      </c>
      <c r="F195" s="146" t="s">
        <v>831</v>
      </c>
      <c r="I195" s="195" t="s">
        <v>1199</v>
      </c>
      <c r="J195" s="277">
        <v>1</v>
      </c>
      <c r="K195" s="146">
        <v>5</v>
      </c>
      <c r="L195" s="146">
        <v>442</v>
      </c>
      <c r="M195" s="146" t="s">
        <v>1220</v>
      </c>
      <c r="N195" s="146">
        <v>20</v>
      </c>
      <c r="O195" s="195" t="s">
        <v>1136</v>
      </c>
      <c r="T195" s="146">
        <v>5</v>
      </c>
      <c r="W195" s="195">
        <v>1948</v>
      </c>
      <c r="X195" s="146">
        <v>2800</v>
      </c>
      <c r="Y195" s="146">
        <v>3531</v>
      </c>
      <c r="Z195" s="344" t="s">
        <v>1295</v>
      </c>
    </row>
    <row r="196" spans="1:33" x14ac:dyDescent="0.2">
      <c r="A196" s="230">
        <v>45785</v>
      </c>
      <c r="B196" s="251">
        <v>0.69444444444444442</v>
      </c>
      <c r="C196" s="195">
        <v>337</v>
      </c>
      <c r="D196" s="195" t="s">
        <v>1142</v>
      </c>
      <c r="E196" s="146">
        <v>14</v>
      </c>
      <c r="F196" s="146" t="s">
        <v>834</v>
      </c>
      <c r="I196" s="195" t="s">
        <v>1199</v>
      </c>
      <c r="J196" s="277">
        <v>1</v>
      </c>
      <c r="K196" s="146">
        <v>5</v>
      </c>
      <c r="L196" s="146">
        <v>442</v>
      </c>
      <c r="M196" s="146" t="s">
        <v>1220</v>
      </c>
      <c r="N196" s="146">
        <v>20</v>
      </c>
      <c r="O196" s="195" t="s">
        <v>1136</v>
      </c>
      <c r="T196" s="146">
        <v>5</v>
      </c>
      <c r="W196" s="195">
        <v>621</v>
      </c>
      <c r="X196" s="146">
        <v>1600</v>
      </c>
      <c r="Y196" s="146">
        <v>2436</v>
      </c>
      <c r="Z196" s="344" t="s">
        <v>1268</v>
      </c>
    </row>
    <row r="197" spans="1:33" s="291" customFormat="1" x14ac:dyDescent="0.2">
      <c r="A197" s="298">
        <v>45785</v>
      </c>
      <c r="B197" s="293">
        <v>0.70138888888888884</v>
      </c>
      <c r="C197" s="299">
        <v>337</v>
      </c>
      <c r="D197" s="299" t="s">
        <v>1142</v>
      </c>
      <c r="E197" s="291">
        <v>14</v>
      </c>
      <c r="F197" s="291" t="s">
        <v>834</v>
      </c>
      <c r="G197" s="299"/>
      <c r="I197" s="299" t="s">
        <v>1199</v>
      </c>
      <c r="J197" s="312">
        <v>1</v>
      </c>
      <c r="K197" s="291">
        <v>5</v>
      </c>
      <c r="L197" s="291">
        <v>442</v>
      </c>
      <c r="M197" s="291" t="s">
        <v>1220</v>
      </c>
      <c r="N197" s="291">
        <v>20</v>
      </c>
      <c r="O197" s="299" t="s">
        <v>1136</v>
      </c>
      <c r="T197" s="291">
        <v>5</v>
      </c>
      <c r="W197" s="299">
        <v>1948</v>
      </c>
      <c r="X197" s="291">
        <v>2800</v>
      </c>
      <c r="Y197" s="291">
        <v>3531</v>
      </c>
      <c r="Z197" s="348" t="s">
        <v>1295</v>
      </c>
      <c r="AA197" s="300"/>
      <c r="AB197" s="299"/>
      <c r="AD197" s="301"/>
      <c r="AG197" s="301"/>
    </row>
    <row r="198" spans="1:33" x14ac:dyDescent="0.2">
      <c r="A198" s="168" t="s">
        <v>1169</v>
      </c>
      <c r="C198" s="195">
        <v>323</v>
      </c>
      <c r="D198" s="195" t="s">
        <v>1313</v>
      </c>
      <c r="E198" s="146">
        <v>14</v>
      </c>
      <c r="F198" s="146" t="s">
        <v>806</v>
      </c>
      <c r="I198" s="195" t="s">
        <v>1199</v>
      </c>
      <c r="J198" s="277">
        <v>1</v>
      </c>
      <c r="K198" s="146">
        <v>5</v>
      </c>
      <c r="L198" s="146">
        <v>442</v>
      </c>
      <c r="M198" s="146" t="s">
        <v>1220</v>
      </c>
      <c r="N198" s="146">
        <v>20</v>
      </c>
      <c r="O198" s="195" t="s">
        <v>1136</v>
      </c>
      <c r="T198" s="146">
        <v>5</v>
      </c>
      <c r="W198" s="195">
        <v>621</v>
      </c>
      <c r="X198" s="146">
        <v>1600</v>
      </c>
      <c r="Y198" s="146">
        <v>2436</v>
      </c>
      <c r="Z198" s="344" t="s">
        <v>1268</v>
      </c>
    </row>
    <row r="199" spans="1:33" x14ac:dyDescent="0.2">
      <c r="A199" s="168" t="s">
        <v>1169</v>
      </c>
      <c r="C199" s="195">
        <v>323</v>
      </c>
      <c r="D199" s="195" t="s">
        <v>1313</v>
      </c>
      <c r="E199" s="146">
        <v>14</v>
      </c>
      <c r="F199" s="146" t="s">
        <v>806</v>
      </c>
      <c r="I199" s="195" t="s">
        <v>1199</v>
      </c>
      <c r="J199" s="277">
        <v>1</v>
      </c>
      <c r="K199" s="146">
        <v>5</v>
      </c>
      <c r="L199" s="146">
        <v>442</v>
      </c>
      <c r="M199" s="146" t="s">
        <v>1220</v>
      </c>
      <c r="N199" s="146">
        <v>20</v>
      </c>
      <c r="O199" s="195" t="s">
        <v>1136</v>
      </c>
      <c r="T199" s="146">
        <v>5</v>
      </c>
      <c r="W199" s="195">
        <v>1948</v>
      </c>
      <c r="X199" s="146">
        <v>2800</v>
      </c>
      <c r="Y199" s="146">
        <v>3531</v>
      </c>
      <c r="Z199" s="344" t="s">
        <v>1295</v>
      </c>
    </row>
    <row r="200" spans="1:33" x14ac:dyDescent="0.2">
      <c r="A200" s="168" t="s">
        <v>1169</v>
      </c>
      <c r="C200" s="195">
        <v>304</v>
      </c>
      <c r="D200" s="195" t="s">
        <v>1314</v>
      </c>
      <c r="E200" s="146">
        <v>14</v>
      </c>
      <c r="F200" s="146" t="s">
        <v>763</v>
      </c>
      <c r="I200" s="195" t="s">
        <v>1199</v>
      </c>
      <c r="J200" s="277">
        <v>1</v>
      </c>
      <c r="K200" s="146">
        <v>5</v>
      </c>
      <c r="L200" s="146">
        <v>442</v>
      </c>
      <c r="M200" s="146" t="s">
        <v>1220</v>
      </c>
      <c r="N200" s="146">
        <v>20</v>
      </c>
      <c r="O200" s="195" t="s">
        <v>1136</v>
      </c>
      <c r="T200" s="146">
        <v>5</v>
      </c>
      <c r="W200" s="195">
        <v>621</v>
      </c>
      <c r="X200" s="146">
        <v>1600</v>
      </c>
      <c r="Y200" s="146">
        <v>2436</v>
      </c>
      <c r="Z200" s="344" t="s">
        <v>1268</v>
      </c>
    </row>
    <row r="201" spans="1:33" x14ac:dyDescent="0.2">
      <c r="A201" s="168" t="s">
        <v>1169</v>
      </c>
      <c r="C201" s="195">
        <v>304</v>
      </c>
      <c r="D201" s="195" t="s">
        <v>1314</v>
      </c>
      <c r="E201" s="146">
        <v>14</v>
      </c>
      <c r="F201" s="146" t="s">
        <v>763</v>
      </c>
      <c r="I201" s="195" t="s">
        <v>1199</v>
      </c>
      <c r="J201" s="277">
        <v>1</v>
      </c>
      <c r="K201" s="146">
        <v>5</v>
      </c>
      <c r="L201" s="146">
        <v>442</v>
      </c>
      <c r="M201" s="146" t="s">
        <v>1220</v>
      </c>
      <c r="N201" s="146">
        <v>20</v>
      </c>
      <c r="O201" s="195" t="s">
        <v>1136</v>
      </c>
      <c r="T201" s="146">
        <v>5</v>
      </c>
      <c r="W201" s="195">
        <v>1948</v>
      </c>
      <c r="X201" s="146">
        <v>2800</v>
      </c>
      <c r="Y201" s="146">
        <v>3531</v>
      </c>
      <c r="Z201" s="344" t="s">
        <v>1295</v>
      </c>
    </row>
    <row r="202" spans="1:33" x14ac:dyDescent="0.2">
      <c r="A202" s="168" t="s">
        <v>1169</v>
      </c>
      <c r="C202" s="195">
        <v>317</v>
      </c>
      <c r="D202" s="195" t="s">
        <v>1315</v>
      </c>
      <c r="E202" s="146">
        <v>14</v>
      </c>
      <c r="F202" s="146" t="s">
        <v>793</v>
      </c>
      <c r="I202" s="195" t="s">
        <v>1199</v>
      </c>
      <c r="J202" s="277">
        <v>1</v>
      </c>
      <c r="K202" s="146">
        <v>5</v>
      </c>
      <c r="L202" s="146">
        <v>442</v>
      </c>
      <c r="M202" s="146" t="s">
        <v>1220</v>
      </c>
      <c r="N202" s="146">
        <v>20</v>
      </c>
      <c r="O202" s="195" t="s">
        <v>1136</v>
      </c>
      <c r="T202" s="146">
        <v>5</v>
      </c>
      <c r="W202" s="195">
        <v>621</v>
      </c>
      <c r="X202" s="146">
        <v>1600</v>
      </c>
      <c r="Y202" s="146">
        <v>2436</v>
      </c>
      <c r="Z202" s="344" t="s">
        <v>1268</v>
      </c>
    </row>
    <row r="203" spans="1:33" x14ac:dyDescent="0.2">
      <c r="A203" s="168" t="s">
        <v>1169</v>
      </c>
      <c r="C203" s="195">
        <v>317</v>
      </c>
      <c r="D203" s="195" t="s">
        <v>1315</v>
      </c>
      <c r="E203" s="146">
        <v>14</v>
      </c>
      <c r="F203" s="146" t="s">
        <v>793</v>
      </c>
      <c r="I203" s="195" t="s">
        <v>1199</v>
      </c>
      <c r="J203" s="277">
        <v>1</v>
      </c>
      <c r="K203" s="146">
        <v>5</v>
      </c>
      <c r="L203" s="146">
        <v>442</v>
      </c>
      <c r="M203" s="146" t="s">
        <v>1220</v>
      </c>
      <c r="N203" s="146">
        <v>20</v>
      </c>
      <c r="O203" s="195" t="s">
        <v>1136</v>
      </c>
      <c r="T203" s="146">
        <v>5</v>
      </c>
      <c r="W203" s="195">
        <v>1948</v>
      </c>
      <c r="X203" s="146">
        <v>2800</v>
      </c>
      <c r="Y203" s="146">
        <v>3531</v>
      </c>
      <c r="Z203" s="344" t="s">
        <v>1295</v>
      </c>
    </row>
    <row r="204" spans="1:33" s="285" customFormat="1" x14ac:dyDescent="0.2">
      <c r="A204" s="284" t="s">
        <v>1171</v>
      </c>
      <c r="B204" s="288">
        <v>0.58333333333333337</v>
      </c>
      <c r="C204" s="295">
        <v>339</v>
      </c>
      <c r="D204" s="295" t="s">
        <v>1143</v>
      </c>
      <c r="E204" s="285">
        <v>14</v>
      </c>
      <c r="F204" s="285" t="s">
        <v>838</v>
      </c>
      <c r="G204" s="295"/>
      <c r="I204" s="295" t="s">
        <v>1199</v>
      </c>
      <c r="J204" s="311">
        <v>1</v>
      </c>
      <c r="K204" s="285">
        <v>5</v>
      </c>
      <c r="L204" s="285">
        <v>442</v>
      </c>
      <c r="M204" s="285" t="s">
        <v>1220</v>
      </c>
      <c r="N204" s="285">
        <v>20</v>
      </c>
      <c r="O204" s="295" t="s">
        <v>1136</v>
      </c>
      <c r="T204" s="285">
        <v>5</v>
      </c>
      <c r="W204" s="295">
        <v>621</v>
      </c>
      <c r="X204" s="285">
        <v>1600</v>
      </c>
      <c r="Y204" s="285">
        <v>2436</v>
      </c>
      <c r="Z204" s="347" t="s">
        <v>1268</v>
      </c>
      <c r="AA204" s="296"/>
      <c r="AB204" s="295"/>
      <c r="AD204" s="297"/>
      <c r="AG204" s="297"/>
    </row>
    <row r="205" spans="1:33" x14ac:dyDescent="0.2">
      <c r="A205" s="168" t="s">
        <v>1171</v>
      </c>
      <c r="B205" s="251">
        <v>0.60416666666666663</v>
      </c>
      <c r="C205" s="195">
        <v>339</v>
      </c>
      <c r="D205" s="195" t="s">
        <v>1143</v>
      </c>
      <c r="E205" s="146">
        <v>14</v>
      </c>
      <c r="F205" s="146" t="s">
        <v>838</v>
      </c>
      <c r="I205" s="195" t="s">
        <v>1199</v>
      </c>
      <c r="J205" s="277">
        <v>1</v>
      </c>
      <c r="K205" s="146">
        <v>5</v>
      </c>
      <c r="L205" s="146">
        <v>442</v>
      </c>
      <c r="M205" s="146" t="s">
        <v>1220</v>
      </c>
      <c r="N205" s="146">
        <v>20</v>
      </c>
      <c r="O205" s="195" t="s">
        <v>1136</v>
      </c>
      <c r="T205" s="146">
        <v>5</v>
      </c>
      <c r="W205" s="195">
        <v>1948</v>
      </c>
      <c r="X205" s="146">
        <v>2800</v>
      </c>
      <c r="Y205" s="146">
        <v>3531</v>
      </c>
      <c r="Z205" s="344" t="s">
        <v>1295</v>
      </c>
    </row>
    <row r="206" spans="1:33" x14ac:dyDescent="0.2">
      <c r="A206" s="168" t="s">
        <v>1171</v>
      </c>
      <c r="B206" s="251">
        <v>0.625</v>
      </c>
      <c r="C206" s="195">
        <v>340</v>
      </c>
      <c r="D206" s="195" t="s">
        <v>1143</v>
      </c>
      <c r="E206" s="146">
        <v>14</v>
      </c>
      <c r="F206" s="146" t="s">
        <v>842</v>
      </c>
      <c r="I206" s="195" t="s">
        <v>1199</v>
      </c>
      <c r="J206" s="277">
        <v>1</v>
      </c>
      <c r="K206" s="146">
        <v>5</v>
      </c>
      <c r="L206" s="146">
        <v>442</v>
      </c>
      <c r="M206" s="146" t="s">
        <v>1220</v>
      </c>
      <c r="N206" s="146">
        <v>20</v>
      </c>
      <c r="O206" s="195" t="s">
        <v>1136</v>
      </c>
      <c r="T206" s="146">
        <v>5</v>
      </c>
      <c r="W206" s="195">
        <v>621</v>
      </c>
      <c r="X206" s="146">
        <v>1600</v>
      </c>
      <c r="Y206" s="146">
        <v>2436</v>
      </c>
      <c r="Z206" s="344" t="s">
        <v>1268</v>
      </c>
    </row>
    <row r="207" spans="1:33" x14ac:dyDescent="0.2">
      <c r="A207" s="168" t="s">
        <v>1171</v>
      </c>
      <c r="B207" s="251">
        <v>0.64583333333333337</v>
      </c>
      <c r="C207" s="195">
        <v>340</v>
      </c>
      <c r="D207" s="195" t="s">
        <v>1143</v>
      </c>
      <c r="E207" s="146">
        <v>14</v>
      </c>
      <c r="F207" s="146" t="s">
        <v>842</v>
      </c>
      <c r="I207" s="195" t="s">
        <v>1199</v>
      </c>
      <c r="J207" s="277">
        <v>1</v>
      </c>
      <c r="K207" s="146">
        <v>5</v>
      </c>
      <c r="L207" s="146">
        <v>442</v>
      </c>
      <c r="M207" s="146" t="s">
        <v>1220</v>
      </c>
      <c r="N207" s="146">
        <v>20</v>
      </c>
      <c r="O207" s="195" t="s">
        <v>1136</v>
      </c>
      <c r="T207" s="146">
        <v>5</v>
      </c>
      <c r="W207" s="195">
        <v>1948</v>
      </c>
      <c r="X207" s="146">
        <v>2800</v>
      </c>
      <c r="Y207" s="146">
        <v>3531</v>
      </c>
      <c r="Z207" s="344" t="s">
        <v>1295</v>
      </c>
    </row>
    <row r="208" spans="1:33" x14ac:dyDescent="0.2">
      <c r="A208" s="168" t="s">
        <v>1171</v>
      </c>
      <c r="B208" s="251">
        <v>0.65625</v>
      </c>
      <c r="C208" s="195">
        <v>319</v>
      </c>
      <c r="D208" s="195" t="s">
        <v>1143</v>
      </c>
      <c r="E208" s="146">
        <v>14</v>
      </c>
      <c r="F208" s="146" t="s">
        <v>798</v>
      </c>
      <c r="I208" s="195" t="s">
        <v>1199</v>
      </c>
      <c r="J208" s="277">
        <v>1</v>
      </c>
      <c r="K208" s="146">
        <v>5</v>
      </c>
      <c r="L208" s="146">
        <v>442</v>
      </c>
      <c r="M208" s="146" t="s">
        <v>1220</v>
      </c>
      <c r="N208" s="146">
        <v>20</v>
      </c>
      <c r="O208" s="195" t="s">
        <v>1136</v>
      </c>
      <c r="T208" s="146">
        <v>5</v>
      </c>
      <c r="W208" s="195">
        <v>621</v>
      </c>
      <c r="X208" s="146">
        <v>1600</v>
      </c>
      <c r="Y208" s="146">
        <v>2436</v>
      </c>
      <c r="Z208" s="344" t="s">
        <v>1268</v>
      </c>
    </row>
    <row r="209" spans="1:33" x14ac:dyDescent="0.2">
      <c r="A209" s="168" t="s">
        <v>1171</v>
      </c>
      <c r="B209" s="251">
        <v>0.66666666666666663</v>
      </c>
      <c r="C209" s="195">
        <v>319</v>
      </c>
      <c r="D209" s="195" t="s">
        <v>1143</v>
      </c>
      <c r="E209" s="146">
        <v>14</v>
      </c>
      <c r="F209" s="146" t="s">
        <v>798</v>
      </c>
      <c r="I209" s="195" t="s">
        <v>1199</v>
      </c>
      <c r="J209" s="277">
        <v>1</v>
      </c>
      <c r="K209" s="146">
        <v>5</v>
      </c>
      <c r="L209" s="146">
        <v>442</v>
      </c>
      <c r="M209" s="146" t="s">
        <v>1220</v>
      </c>
      <c r="N209" s="146">
        <v>20</v>
      </c>
      <c r="O209" s="195" t="s">
        <v>1136</v>
      </c>
      <c r="T209" s="146">
        <v>5</v>
      </c>
      <c r="W209" s="195">
        <v>1948</v>
      </c>
      <c r="X209" s="146">
        <v>2800</v>
      </c>
      <c r="Y209" s="146">
        <v>3531</v>
      </c>
      <c r="Z209" s="344" t="s">
        <v>1295</v>
      </c>
    </row>
    <row r="210" spans="1:33" x14ac:dyDescent="0.2">
      <c r="A210" s="168" t="s">
        <v>1171</v>
      </c>
      <c r="B210" s="251">
        <v>0.6875</v>
      </c>
      <c r="C210" s="195">
        <v>318</v>
      </c>
      <c r="D210" s="195" t="s">
        <v>1315</v>
      </c>
      <c r="E210" s="146">
        <v>14</v>
      </c>
      <c r="F210" s="146" t="s">
        <v>795</v>
      </c>
      <c r="I210" s="195" t="s">
        <v>1199</v>
      </c>
      <c r="J210" s="277">
        <v>1</v>
      </c>
      <c r="K210" s="146">
        <v>5</v>
      </c>
      <c r="L210" s="146">
        <v>442</v>
      </c>
      <c r="M210" s="146" t="s">
        <v>1220</v>
      </c>
      <c r="N210" s="146">
        <v>20</v>
      </c>
      <c r="O210" s="195" t="s">
        <v>1136</v>
      </c>
      <c r="T210" s="146">
        <v>5</v>
      </c>
      <c r="W210" s="195">
        <v>621</v>
      </c>
      <c r="X210" s="146">
        <v>1600</v>
      </c>
      <c r="Y210" s="146">
        <v>2436</v>
      </c>
      <c r="Z210" s="344" t="s">
        <v>1268</v>
      </c>
    </row>
    <row r="211" spans="1:33" s="291" customFormat="1" x14ac:dyDescent="0.2">
      <c r="A211" s="290" t="s">
        <v>1171</v>
      </c>
      <c r="B211" s="293">
        <v>0.69791666666666663</v>
      </c>
      <c r="C211" s="299">
        <v>318</v>
      </c>
      <c r="D211" s="299" t="s">
        <v>1315</v>
      </c>
      <c r="E211" s="291">
        <v>14</v>
      </c>
      <c r="F211" s="291" t="s">
        <v>795</v>
      </c>
      <c r="G211" s="299"/>
      <c r="I211" s="299" t="s">
        <v>1199</v>
      </c>
      <c r="J211" s="312">
        <v>1</v>
      </c>
      <c r="K211" s="291">
        <v>5</v>
      </c>
      <c r="L211" s="291">
        <v>442</v>
      </c>
      <c r="M211" s="291" t="s">
        <v>1220</v>
      </c>
      <c r="N211" s="291">
        <v>20</v>
      </c>
      <c r="O211" s="299" t="s">
        <v>1136</v>
      </c>
      <c r="T211" s="291">
        <v>5</v>
      </c>
      <c r="W211" s="299">
        <v>1948</v>
      </c>
      <c r="X211" s="291">
        <v>2800</v>
      </c>
      <c r="Y211" s="291">
        <v>3531</v>
      </c>
      <c r="Z211" s="348" t="s">
        <v>1295</v>
      </c>
      <c r="AA211" s="300" t="s">
        <v>1316</v>
      </c>
      <c r="AB211" s="299"/>
      <c r="AD211" s="301"/>
      <c r="AG211" s="301"/>
    </row>
    <row r="212" spans="1:33" x14ac:dyDescent="0.2">
      <c r="A212" s="195" t="s">
        <v>1317</v>
      </c>
      <c r="B212" s="251">
        <v>0.625</v>
      </c>
      <c r="C212" s="195">
        <v>314</v>
      </c>
      <c r="D212" s="195" t="s">
        <v>1315</v>
      </c>
      <c r="E212" s="146">
        <v>14</v>
      </c>
      <c r="F212" s="146" t="s">
        <v>786</v>
      </c>
      <c r="I212" s="295" t="s">
        <v>1199</v>
      </c>
      <c r="J212" s="311">
        <v>1</v>
      </c>
      <c r="K212" s="285">
        <v>5</v>
      </c>
      <c r="L212" s="285">
        <v>442</v>
      </c>
      <c r="M212" s="285" t="s">
        <v>1220</v>
      </c>
      <c r="N212" s="285">
        <v>20</v>
      </c>
      <c r="O212" s="295" t="s">
        <v>1136</v>
      </c>
      <c r="P212" s="285"/>
      <c r="Q212" s="285"/>
      <c r="R212" s="285"/>
      <c r="S212" s="285"/>
      <c r="T212" s="285">
        <v>5</v>
      </c>
      <c r="U212" s="285"/>
      <c r="V212" s="285"/>
      <c r="W212" s="295">
        <v>621</v>
      </c>
      <c r="X212" s="285">
        <v>1600</v>
      </c>
      <c r="Y212" s="285">
        <v>2436</v>
      </c>
      <c r="Z212" s="347" t="s">
        <v>1268</v>
      </c>
    </row>
    <row r="213" spans="1:33" x14ac:dyDescent="0.2">
      <c r="A213" s="195" t="s">
        <v>1317</v>
      </c>
      <c r="B213" s="251">
        <v>0.64583333333333337</v>
      </c>
      <c r="C213" s="195">
        <v>314</v>
      </c>
      <c r="D213" s="195" t="s">
        <v>1315</v>
      </c>
      <c r="E213" s="146">
        <v>14</v>
      </c>
      <c r="F213" s="146" t="s">
        <v>786</v>
      </c>
      <c r="I213" s="195" t="s">
        <v>1199</v>
      </c>
      <c r="J213" s="277">
        <v>1</v>
      </c>
      <c r="K213" s="146">
        <v>5</v>
      </c>
      <c r="L213" s="146">
        <v>442</v>
      </c>
      <c r="M213" s="146" t="s">
        <v>1220</v>
      </c>
      <c r="N213" s="146">
        <v>20</v>
      </c>
      <c r="O213" s="195" t="s">
        <v>1136</v>
      </c>
      <c r="T213" s="146">
        <v>5</v>
      </c>
      <c r="W213" s="195">
        <v>1948</v>
      </c>
      <c r="X213" s="146">
        <v>2800</v>
      </c>
      <c r="Y213" s="146">
        <v>3531</v>
      </c>
      <c r="Z213" s="344" t="s">
        <v>1295</v>
      </c>
    </row>
    <row r="214" spans="1:33" x14ac:dyDescent="0.2">
      <c r="A214" s="195" t="s">
        <v>1317</v>
      </c>
      <c r="B214" s="251">
        <v>0.65625</v>
      </c>
      <c r="C214" s="195">
        <v>315</v>
      </c>
      <c r="D214" s="195" t="s">
        <v>1315</v>
      </c>
      <c r="E214" s="146">
        <v>14</v>
      </c>
      <c r="F214" s="146" t="s">
        <v>789</v>
      </c>
      <c r="I214" s="195" t="s">
        <v>1199</v>
      </c>
      <c r="J214" s="277">
        <v>1</v>
      </c>
      <c r="K214" s="146">
        <v>5</v>
      </c>
      <c r="L214" s="146">
        <v>442</v>
      </c>
      <c r="M214" s="146" t="s">
        <v>1220</v>
      </c>
      <c r="N214" s="146">
        <v>20</v>
      </c>
      <c r="O214" s="195" t="s">
        <v>1136</v>
      </c>
      <c r="T214" s="146">
        <v>5</v>
      </c>
      <c r="W214" s="195">
        <v>621</v>
      </c>
      <c r="X214" s="146">
        <v>1600</v>
      </c>
      <c r="Y214" s="146">
        <v>2436</v>
      </c>
      <c r="Z214" s="344" t="s">
        <v>1268</v>
      </c>
    </row>
    <row r="215" spans="1:33" x14ac:dyDescent="0.2">
      <c r="A215" s="195" t="s">
        <v>1317</v>
      </c>
      <c r="B215" s="251">
        <v>0.66666666666666663</v>
      </c>
      <c r="C215" s="195">
        <v>315</v>
      </c>
      <c r="D215" s="195" t="s">
        <v>1315</v>
      </c>
      <c r="E215" s="146">
        <v>14</v>
      </c>
      <c r="F215" s="146" t="s">
        <v>789</v>
      </c>
      <c r="I215" s="195" t="s">
        <v>1199</v>
      </c>
      <c r="J215" s="277">
        <v>1</v>
      </c>
      <c r="K215" s="146">
        <v>5</v>
      </c>
      <c r="L215" s="146">
        <v>442</v>
      </c>
      <c r="M215" s="146" t="s">
        <v>1220</v>
      </c>
      <c r="N215" s="146">
        <v>20</v>
      </c>
      <c r="O215" s="195" t="s">
        <v>1136</v>
      </c>
      <c r="T215" s="146">
        <v>5</v>
      </c>
      <c r="W215" s="195">
        <v>1948</v>
      </c>
      <c r="X215" s="146">
        <v>2800</v>
      </c>
      <c r="Y215" s="146">
        <v>3531</v>
      </c>
      <c r="Z215" s="344" t="s">
        <v>1295</v>
      </c>
    </row>
    <row r="216" spans="1:33" x14ac:dyDescent="0.2">
      <c r="A216" s="195" t="s">
        <v>1317</v>
      </c>
      <c r="B216" s="251">
        <v>0.6875</v>
      </c>
      <c r="C216" s="195">
        <v>632</v>
      </c>
      <c r="D216" s="195" t="s">
        <v>1166</v>
      </c>
      <c r="E216" s="146">
        <v>14</v>
      </c>
      <c r="F216" s="7" t="s">
        <v>989</v>
      </c>
      <c r="I216" s="195" t="s">
        <v>1199</v>
      </c>
      <c r="J216" s="277">
        <v>1</v>
      </c>
      <c r="K216" s="146">
        <v>5</v>
      </c>
      <c r="L216" s="146">
        <v>442</v>
      </c>
      <c r="M216" s="146" t="s">
        <v>1220</v>
      </c>
      <c r="N216" s="146">
        <v>20</v>
      </c>
      <c r="O216" s="195" t="s">
        <v>1136</v>
      </c>
      <c r="T216" s="146">
        <v>5</v>
      </c>
      <c r="W216" s="195">
        <v>621</v>
      </c>
      <c r="X216" s="146">
        <v>1600</v>
      </c>
      <c r="Y216" s="146">
        <v>2436</v>
      </c>
      <c r="Z216" s="344" t="s">
        <v>1268</v>
      </c>
    </row>
    <row r="217" spans="1:33" x14ac:dyDescent="0.2">
      <c r="A217" s="195" t="s">
        <v>1317</v>
      </c>
      <c r="B217" s="251">
        <v>0.74305555555555558</v>
      </c>
      <c r="C217" s="195">
        <v>632</v>
      </c>
      <c r="D217" s="195" t="s">
        <v>1166</v>
      </c>
      <c r="E217" s="146">
        <v>14</v>
      </c>
      <c r="F217" s="7" t="s">
        <v>989</v>
      </c>
      <c r="I217" s="195" t="s">
        <v>1199</v>
      </c>
      <c r="J217" s="277">
        <v>1</v>
      </c>
      <c r="K217" s="146">
        <v>5</v>
      </c>
      <c r="L217" s="146">
        <v>442</v>
      </c>
      <c r="M217" s="146" t="s">
        <v>1220</v>
      </c>
      <c r="N217" s="146">
        <v>20</v>
      </c>
      <c r="O217" s="195" t="s">
        <v>1136</v>
      </c>
      <c r="T217" s="146">
        <v>5</v>
      </c>
      <c r="W217" s="195">
        <v>1948</v>
      </c>
      <c r="X217" s="146">
        <v>2800</v>
      </c>
      <c r="Y217" s="146">
        <v>3531</v>
      </c>
      <c r="Z217" s="344" t="s">
        <v>1295</v>
      </c>
    </row>
    <row r="218" spans="1:33" x14ac:dyDescent="0.2">
      <c r="A218" s="195" t="s">
        <v>1317</v>
      </c>
      <c r="B218" s="251">
        <v>0.71527777777777779</v>
      </c>
      <c r="C218" s="195">
        <v>629</v>
      </c>
      <c r="D218" s="195" t="s">
        <v>1166</v>
      </c>
      <c r="E218" s="146">
        <v>14</v>
      </c>
      <c r="F218" s="7" t="s">
        <v>988</v>
      </c>
      <c r="I218" s="195" t="s">
        <v>1199</v>
      </c>
      <c r="J218" s="277">
        <v>1</v>
      </c>
      <c r="K218" s="146">
        <v>5</v>
      </c>
      <c r="L218" s="146">
        <v>442</v>
      </c>
      <c r="M218" s="146" t="s">
        <v>1220</v>
      </c>
      <c r="N218" s="146">
        <v>20</v>
      </c>
      <c r="O218" s="195" t="s">
        <v>1136</v>
      </c>
      <c r="T218" s="146">
        <v>5</v>
      </c>
      <c r="W218" s="195">
        <v>621</v>
      </c>
      <c r="X218" s="146">
        <v>1600</v>
      </c>
      <c r="Y218" s="146">
        <v>2436</v>
      </c>
      <c r="Z218" s="344" t="s">
        <v>1268</v>
      </c>
    </row>
    <row r="219" spans="1:33" x14ac:dyDescent="0.2">
      <c r="A219" s="195" t="s">
        <v>1317</v>
      </c>
      <c r="B219" s="251">
        <v>0.72916666666666663</v>
      </c>
      <c r="C219" s="195">
        <v>629</v>
      </c>
      <c r="D219" s="195" t="s">
        <v>1166</v>
      </c>
      <c r="E219" s="146">
        <v>14</v>
      </c>
      <c r="F219" s="7" t="s">
        <v>988</v>
      </c>
      <c r="I219" s="195" t="s">
        <v>1199</v>
      </c>
      <c r="J219" s="277">
        <v>1</v>
      </c>
      <c r="K219" s="146">
        <v>5</v>
      </c>
      <c r="L219" s="146">
        <v>442</v>
      </c>
      <c r="M219" s="146" t="s">
        <v>1220</v>
      </c>
      <c r="N219" s="146">
        <v>20</v>
      </c>
      <c r="O219" s="195" t="s">
        <v>1136</v>
      </c>
      <c r="T219" s="146">
        <v>5</v>
      </c>
      <c r="W219" s="195">
        <v>1948</v>
      </c>
      <c r="X219" s="146">
        <v>2800</v>
      </c>
      <c r="Y219" s="146">
        <v>3531</v>
      </c>
      <c r="Z219" s="344" t="s">
        <v>1295</v>
      </c>
    </row>
    <row r="220" spans="1:33" s="147" customFormat="1" x14ac:dyDescent="0.2">
      <c r="A220" s="253">
        <v>45972</v>
      </c>
      <c r="B220" s="232">
        <v>0.625</v>
      </c>
      <c r="C220" s="226">
        <v>29</v>
      </c>
      <c r="D220" s="226" t="s">
        <v>1318</v>
      </c>
      <c r="E220" s="147">
        <v>14</v>
      </c>
      <c r="G220" s="226"/>
      <c r="H220" s="147" t="s">
        <v>1319</v>
      </c>
      <c r="I220" s="226" t="s">
        <v>1199</v>
      </c>
      <c r="J220" s="254">
        <v>1</v>
      </c>
      <c r="K220" s="147">
        <v>5</v>
      </c>
      <c r="L220" s="147">
        <v>442</v>
      </c>
      <c r="M220" s="147" t="s">
        <v>1220</v>
      </c>
      <c r="N220" s="147">
        <v>20</v>
      </c>
      <c r="O220" s="226" t="s">
        <v>1208</v>
      </c>
      <c r="Q220" s="147" t="s">
        <v>1320</v>
      </c>
      <c r="R220" s="147">
        <v>-800</v>
      </c>
      <c r="S220" s="147">
        <v>-8</v>
      </c>
      <c r="T220" s="147">
        <v>8</v>
      </c>
      <c r="U220" s="147">
        <v>100</v>
      </c>
      <c r="V220" s="147" t="s">
        <v>1321</v>
      </c>
      <c r="W220" s="226">
        <v>621</v>
      </c>
      <c r="X220" s="147">
        <v>1600</v>
      </c>
      <c r="Y220" s="147">
        <v>2436</v>
      </c>
      <c r="Z220" s="345" t="s">
        <v>1268</v>
      </c>
      <c r="AA220" s="255" t="s">
        <v>1322</v>
      </c>
      <c r="AB220" s="226"/>
      <c r="AD220" s="272"/>
      <c r="AG220" s="272"/>
    </row>
    <row r="221" spans="1:33" x14ac:dyDescent="0.2">
      <c r="H221" s="146" t="s">
        <v>1319</v>
      </c>
      <c r="I221" s="195" t="s">
        <v>1199</v>
      </c>
      <c r="J221" s="277">
        <v>1</v>
      </c>
      <c r="K221" s="146">
        <v>5</v>
      </c>
      <c r="L221" s="146">
        <v>442</v>
      </c>
      <c r="M221" s="146" t="s">
        <v>1220</v>
      </c>
      <c r="N221" s="146">
        <v>20</v>
      </c>
      <c r="O221" s="195" t="s">
        <v>1208</v>
      </c>
      <c r="Q221" s="146" t="s">
        <v>1323</v>
      </c>
      <c r="R221" s="146">
        <v>-800</v>
      </c>
      <c r="S221" s="146">
        <v>-8</v>
      </c>
      <c r="T221" s="146">
        <v>8</v>
      </c>
      <c r="U221" s="146">
        <v>100</v>
      </c>
      <c r="V221" s="146" t="s">
        <v>1321</v>
      </c>
      <c r="W221" s="195">
        <v>1948</v>
      </c>
      <c r="X221" s="146">
        <v>2800</v>
      </c>
      <c r="Y221" s="146">
        <v>3531</v>
      </c>
      <c r="Z221" s="344" t="s">
        <v>1295</v>
      </c>
      <c r="AA221" s="256" t="s">
        <v>1322</v>
      </c>
    </row>
    <row r="222" spans="1:33" x14ac:dyDescent="0.2">
      <c r="H222" s="146" t="s">
        <v>1319</v>
      </c>
      <c r="I222" s="195" t="s">
        <v>1199</v>
      </c>
      <c r="J222" s="277">
        <v>1</v>
      </c>
      <c r="K222" s="146">
        <v>5</v>
      </c>
      <c r="L222" s="146">
        <v>442</v>
      </c>
      <c r="M222" s="146" t="s">
        <v>1220</v>
      </c>
      <c r="N222" s="146">
        <v>20</v>
      </c>
      <c r="O222" s="195" t="s">
        <v>1208</v>
      </c>
      <c r="Q222" s="146" t="s">
        <v>1324</v>
      </c>
      <c r="R222" s="146">
        <v>-800</v>
      </c>
      <c r="S222" s="146">
        <v>-8</v>
      </c>
      <c r="T222" s="146">
        <v>8</v>
      </c>
      <c r="U222" s="146">
        <v>100</v>
      </c>
      <c r="V222" s="146" t="s">
        <v>1321</v>
      </c>
      <c r="W222" s="195">
        <v>621</v>
      </c>
      <c r="X222" s="146">
        <v>1600</v>
      </c>
      <c r="Y222" s="146">
        <v>2436</v>
      </c>
      <c r="Z222" s="344" t="s">
        <v>1268</v>
      </c>
      <c r="AA222" s="256" t="s">
        <v>1322</v>
      </c>
    </row>
    <row r="223" spans="1:33" s="151" customFormat="1" x14ac:dyDescent="0.2">
      <c r="A223" s="227"/>
      <c r="C223" s="227"/>
      <c r="D223" s="227"/>
      <c r="G223" s="227"/>
      <c r="H223" s="151" t="s">
        <v>1319</v>
      </c>
      <c r="I223" s="227" t="s">
        <v>1199</v>
      </c>
      <c r="J223" s="268">
        <v>1</v>
      </c>
      <c r="K223" s="151">
        <v>5</v>
      </c>
      <c r="L223" s="151">
        <v>442</v>
      </c>
      <c r="M223" s="151" t="s">
        <v>1220</v>
      </c>
      <c r="N223" s="151">
        <v>20</v>
      </c>
      <c r="O223" s="227" t="s">
        <v>1208</v>
      </c>
      <c r="Q223" s="151" t="s">
        <v>1325</v>
      </c>
      <c r="R223" s="151">
        <v>-800</v>
      </c>
      <c r="S223" s="151">
        <v>-8</v>
      </c>
      <c r="T223" s="151">
        <v>8</v>
      </c>
      <c r="U223" s="151">
        <v>100</v>
      </c>
      <c r="V223" s="151" t="s">
        <v>1321</v>
      </c>
      <c r="W223" s="227">
        <v>1948</v>
      </c>
      <c r="X223" s="151">
        <v>2800</v>
      </c>
      <c r="Y223" s="151">
        <v>3531</v>
      </c>
      <c r="Z223" s="346" t="s">
        <v>1295</v>
      </c>
      <c r="AA223" s="351" t="s">
        <v>1326</v>
      </c>
      <c r="AB223" s="227"/>
      <c r="AD223" s="273"/>
      <c r="AG223" s="273"/>
    </row>
    <row r="224" spans="1:33" x14ac:dyDescent="0.2">
      <c r="A224" s="195" t="s">
        <v>1327</v>
      </c>
      <c r="B224" s="251">
        <v>0.41666666666666669</v>
      </c>
      <c r="C224" s="195">
        <v>46</v>
      </c>
      <c r="D224" s="195" t="s">
        <v>1318</v>
      </c>
      <c r="E224" s="146">
        <v>60</v>
      </c>
      <c r="F224" s="146" t="s">
        <v>90</v>
      </c>
      <c r="G224" s="195" t="s">
        <v>1328</v>
      </c>
      <c r="H224" s="146">
        <v>-4311</v>
      </c>
      <c r="I224" s="195" t="s">
        <v>1329</v>
      </c>
      <c r="J224" s="277">
        <v>1</v>
      </c>
      <c r="K224" s="146">
        <v>1</v>
      </c>
      <c r="L224" s="146">
        <v>633</v>
      </c>
      <c r="M224" s="146" t="s">
        <v>1220</v>
      </c>
      <c r="N224" s="146">
        <v>20</v>
      </c>
      <c r="O224" s="195" t="s">
        <v>1136</v>
      </c>
      <c r="P224" s="146">
        <v>-21558.799999999999</v>
      </c>
      <c r="Q224" s="146">
        <v>-21558.799999999999</v>
      </c>
      <c r="R224" s="146">
        <v>-7899.5</v>
      </c>
      <c r="S224" s="146">
        <v>-7859</v>
      </c>
      <c r="T224" s="146">
        <v>5</v>
      </c>
      <c r="U224" s="146">
        <v>9</v>
      </c>
      <c r="V224" s="146" t="s">
        <v>1330</v>
      </c>
      <c r="W224" s="195">
        <v>88</v>
      </c>
      <c r="X224" s="146">
        <v>1100</v>
      </c>
      <c r="Y224" s="146">
        <v>1950</v>
      </c>
      <c r="Z224" s="344" t="s">
        <v>1268</v>
      </c>
    </row>
    <row r="225" spans="1:26" x14ac:dyDescent="0.2">
      <c r="A225" s="195" t="s">
        <v>1331</v>
      </c>
      <c r="C225" s="195">
        <v>46</v>
      </c>
      <c r="D225" s="195" t="s">
        <v>1318</v>
      </c>
      <c r="E225" s="146">
        <v>60</v>
      </c>
      <c r="F225" s="146" t="s">
        <v>90</v>
      </c>
      <c r="G225" s="195" t="s">
        <v>1328</v>
      </c>
      <c r="H225" s="146">
        <v>-4311</v>
      </c>
      <c r="I225" s="195" t="s">
        <v>1329</v>
      </c>
      <c r="J225" s="277">
        <v>1</v>
      </c>
      <c r="K225" s="146">
        <v>1</v>
      </c>
      <c r="L225" s="146">
        <v>633</v>
      </c>
      <c r="M225" s="146" t="s">
        <v>1220</v>
      </c>
      <c r="N225" s="146">
        <v>20</v>
      </c>
      <c r="O225" s="195" t="s">
        <v>1136</v>
      </c>
      <c r="P225" s="146">
        <v>-21568.799999999999</v>
      </c>
      <c r="Q225" s="146">
        <v>-21568.799999999999</v>
      </c>
      <c r="R225" s="146">
        <v>-7899.5</v>
      </c>
      <c r="S225" s="146">
        <v>-7859</v>
      </c>
      <c r="T225" s="146">
        <v>5</v>
      </c>
      <c r="U225" s="146">
        <v>9</v>
      </c>
      <c r="V225" s="146" t="s">
        <v>1332</v>
      </c>
      <c r="W225" s="195">
        <v>1910</v>
      </c>
      <c r="X225" s="146">
        <v>2700</v>
      </c>
      <c r="Y225" s="146">
        <v>3370</v>
      </c>
      <c r="Z225" s="344" t="s">
        <v>1295</v>
      </c>
    </row>
    <row r="226" spans="1:26" x14ac:dyDescent="0.2">
      <c r="A226" s="195" t="s">
        <v>1333</v>
      </c>
      <c r="C226" s="195">
        <v>46</v>
      </c>
      <c r="D226" s="195" t="s">
        <v>1318</v>
      </c>
      <c r="E226" s="146">
        <v>60</v>
      </c>
      <c r="F226" s="146" t="s">
        <v>90</v>
      </c>
      <c r="G226" s="195" t="s">
        <v>1328</v>
      </c>
      <c r="H226" s="146">
        <v>-4311</v>
      </c>
      <c r="I226" s="195" t="s">
        <v>1329</v>
      </c>
      <c r="J226" s="277">
        <v>1</v>
      </c>
      <c r="K226" s="146">
        <v>2</v>
      </c>
      <c r="L226" s="146">
        <v>633</v>
      </c>
      <c r="M226" s="146" t="s">
        <v>1220</v>
      </c>
      <c r="N226" s="146">
        <v>20</v>
      </c>
      <c r="O226" s="195" t="s">
        <v>1136</v>
      </c>
      <c r="P226" s="146">
        <v>-21578.799999999999</v>
      </c>
      <c r="Q226" s="146">
        <v>-21578.799999999999</v>
      </c>
      <c r="R226" s="146">
        <v>-7899.5</v>
      </c>
      <c r="S226" s="146">
        <v>-7859</v>
      </c>
      <c r="T226" s="146">
        <v>5</v>
      </c>
      <c r="U226" s="146">
        <v>9</v>
      </c>
      <c r="V226" s="146" t="s">
        <v>1334</v>
      </c>
      <c r="W226" s="195">
        <v>88</v>
      </c>
      <c r="X226" s="146">
        <v>1100</v>
      </c>
      <c r="Y226" s="146">
        <v>1950</v>
      </c>
      <c r="Z226" s="344" t="s">
        <v>1268</v>
      </c>
    </row>
    <row r="227" spans="1:26" x14ac:dyDescent="0.2">
      <c r="A227" s="195" t="s">
        <v>1335</v>
      </c>
      <c r="C227" s="195">
        <v>46</v>
      </c>
      <c r="D227" s="195" t="s">
        <v>1318</v>
      </c>
      <c r="E227" s="146">
        <v>60</v>
      </c>
      <c r="F227" s="146" t="s">
        <v>90</v>
      </c>
      <c r="G227" s="195" t="s">
        <v>1328</v>
      </c>
      <c r="H227" s="146">
        <v>-4311</v>
      </c>
      <c r="I227" s="195" t="s">
        <v>1329</v>
      </c>
      <c r="J227" s="277">
        <v>1</v>
      </c>
      <c r="K227" s="146">
        <v>2</v>
      </c>
      <c r="L227" s="146">
        <v>633</v>
      </c>
      <c r="M227" s="146" t="s">
        <v>1220</v>
      </c>
      <c r="N227" s="146">
        <v>20</v>
      </c>
      <c r="O227" s="195" t="s">
        <v>1136</v>
      </c>
      <c r="P227" s="146">
        <v>-21588.799999999999</v>
      </c>
      <c r="Q227" s="146">
        <v>-21588.799999999999</v>
      </c>
      <c r="R227" s="146">
        <v>-7899.5</v>
      </c>
      <c r="S227" s="146">
        <v>-7859</v>
      </c>
      <c r="T227" s="146">
        <v>5</v>
      </c>
      <c r="U227" s="146">
        <v>9</v>
      </c>
      <c r="V227" s="146" t="s">
        <v>1334</v>
      </c>
      <c r="W227" s="195">
        <v>1910</v>
      </c>
      <c r="X227" s="146">
        <v>2700</v>
      </c>
      <c r="Y227" s="146">
        <v>3370</v>
      </c>
      <c r="Z227" s="344" t="s">
        <v>1295</v>
      </c>
    </row>
    <row r="228" spans="1:26" x14ac:dyDescent="0.2">
      <c r="A228" s="195" t="s">
        <v>1336</v>
      </c>
      <c r="C228" s="195">
        <v>46</v>
      </c>
      <c r="D228" s="195" t="s">
        <v>1318</v>
      </c>
      <c r="E228" s="146">
        <v>60</v>
      </c>
      <c r="F228" s="146" t="s">
        <v>90</v>
      </c>
      <c r="G228" s="195" t="s">
        <v>1328</v>
      </c>
      <c r="H228" s="146">
        <v>-4311</v>
      </c>
      <c r="I228" s="195" t="s">
        <v>1329</v>
      </c>
      <c r="J228" s="277">
        <v>1</v>
      </c>
      <c r="K228" s="146">
        <v>5</v>
      </c>
      <c r="L228" s="146">
        <v>633</v>
      </c>
      <c r="M228" s="146" t="s">
        <v>1220</v>
      </c>
      <c r="N228" s="146">
        <v>20</v>
      </c>
      <c r="O228" s="195" t="s">
        <v>1136</v>
      </c>
      <c r="P228" s="146">
        <v>-21598.799999999999</v>
      </c>
      <c r="Q228" s="146">
        <v>-21598.799999999999</v>
      </c>
      <c r="R228" s="146">
        <v>-7899.5</v>
      </c>
      <c r="S228" s="146">
        <v>-7859</v>
      </c>
      <c r="T228" s="146">
        <v>5</v>
      </c>
      <c r="U228" s="146">
        <v>9</v>
      </c>
      <c r="V228" s="146" t="s">
        <v>1337</v>
      </c>
      <c r="W228" s="195">
        <v>88</v>
      </c>
      <c r="X228" s="146">
        <v>1100</v>
      </c>
      <c r="Y228" s="146">
        <v>1950</v>
      </c>
      <c r="Z228" s="344" t="s">
        <v>1268</v>
      </c>
    </row>
    <row r="229" spans="1:26" x14ac:dyDescent="0.2">
      <c r="A229" s="195" t="s">
        <v>1338</v>
      </c>
      <c r="C229" s="195">
        <v>46</v>
      </c>
      <c r="D229" s="195" t="s">
        <v>1318</v>
      </c>
      <c r="E229" s="146">
        <v>60</v>
      </c>
      <c r="F229" s="146" t="s">
        <v>90</v>
      </c>
      <c r="G229" s="195" t="s">
        <v>1328</v>
      </c>
      <c r="H229" s="146">
        <v>-4311</v>
      </c>
      <c r="I229" s="195" t="s">
        <v>1329</v>
      </c>
      <c r="J229" s="277">
        <v>1</v>
      </c>
      <c r="K229" s="146">
        <v>5</v>
      </c>
      <c r="L229" s="146">
        <v>633</v>
      </c>
      <c r="M229" s="146" t="s">
        <v>1220</v>
      </c>
      <c r="N229" s="146">
        <v>20</v>
      </c>
      <c r="O229" s="195" t="s">
        <v>1136</v>
      </c>
      <c r="P229" s="146">
        <v>-21608.799999999999</v>
      </c>
      <c r="Q229" s="146">
        <v>-21608.799999999999</v>
      </c>
      <c r="R229" s="146">
        <v>-7899.5</v>
      </c>
      <c r="S229" s="146">
        <v>-7859</v>
      </c>
      <c r="T229" s="146">
        <v>5</v>
      </c>
      <c r="U229" s="146">
        <v>9</v>
      </c>
      <c r="V229" s="146" t="s">
        <v>1337</v>
      </c>
      <c r="W229" s="195">
        <v>1948</v>
      </c>
      <c r="X229" s="146">
        <v>2800</v>
      </c>
      <c r="Y229" s="146">
        <v>3531</v>
      </c>
      <c r="Z229" s="344" t="s">
        <v>1295</v>
      </c>
    </row>
    <row r="230" spans="1:26" x14ac:dyDescent="0.2">
      <c r="A230" s="195" t="s">
        <v>1339</v>
      </c>
      <c r="C230" s="195">
        <v>46</v>
      </c>
      <c r="D230" s="195" t="s">
        <v>1318</v>
      </c>
      <c r="E230" s="146">
        <v>60</v>
      </c>
      <c r="F230" s="146" t="s">
        <v>90</v>
      </c>
      <c r="G230" s="195" t="s">
        <v>1328</v>
      </c>
      <c r="H230" s="146">
        <v>-4311</v>
      </c>
      <c r="I230" s="195" t="s">
        <v>1329</v>
      </c>
      <c r="J230" s="277">
        <v>1</v>
      </c>
      <c r="K230" s="146">
        <v>5</v>
      </c>
      <c r="L230" s="146">
        <v>633</v>
      </c>
      <c r="M230" s="146" t="s">
        <v>1220</v>
      </c>
      <c r="N230" s="146">
        <v>20</v>
      </c>
      <c r="O230" s="195" t="s">
        <v>1136</v>
      </c>
      <c r="P230" s="146">
        <v>-21618.799999999999</v>
      </c>
      <c r="Q230" s="146">
        <v>-21618.799999999999</v>
      </c>
      <c r="R230" s="146">
        <v>-7899.5</v>
      </c>
      <c r="S230" s="146">
        <v>-7859</v>
      </c>
      <c r="T230" s="146">
        <v>5</v>
      </c>
      <c r="U230" s="146">
        <v>9</v>
      </c>
      <c r="V230" s="146" t="s">
        <v>1340</v>
      </c>
      <c r="W230" s="195">
        <v>88</v>
      </c>
      <c r="X230" s="146">
        <v>1100</v>
      </c>
      <c r="Y230" s="146">
        <v>1950</v>
      </c>
      <c r="Z230" s="344" t="s">
        <v>1268</v>
      </c>
    </row>
    <row r="231" spans="1:26" x14ac:dyDescent="0.2">
      <c r="A231" s="195" t="s">
        <v>1341</v>
      </c>
      <c r="C231" s="195">
        <v>46</v>
      </c>
      <c r="D231" s="195" t="s">
        <v>1318</v>
      </c>
      <c r="E231" s="146">
        <v>60</v>
      </c>
      <c r="F231" s="146" t="s">
        <v>90</v>
      </c>
      <c r="G231" s="195" t="s">
        <v>1328</v>
      </c>
      <c r="H231" s="146">
        <v>-4311</v>
      </c>
      <c r="I231" s="195" t="s">
        <v>1329</v>
      </c>
      <c r="J231" s="277">
        <v>1</v>
      </c>
      <c r="K231" s="146">
        <v>8</v>
      </c>
      <c r="L231" s="146">
        <v>633</v>
      </c>
      <c r="M231" s="146" t="s">
        <v>1220</v>
      </c>
      <c r="N231" s="146">
        <v>20</v>
      </c>
      <c r="O231" s="195" t="s">
        <v>1136</v>
      </c>
      <c r="P231" s="146">
        <v>-21568</v>
      </c>
      <c r="Q231" s="146">
        <v>-21568</v>
      </c>
      <c r="R231" s="146">
        <v>-7830</v>
      </c>
      <c r="S231" s="146">
        <v>-7870</v>
      </c>
      <c r="T231" s="146">
        <v>5</v>
      </c>
      <c r="U231" s="146">
        <v>9</v>
      </c>
      <c r="V231" s="146" t="s">
        <v>1340</v>
      </c>
      <c r="W231" s="195">
        <v>1948</v>
      </c>
      <c r="X231" s="146">
        <v>2800</v>
      </c>
      <c r="Y231" s="146">
        <v>3531</v>
      </c>
      <c r="Z231" s="344" t="s">
        <v>1295</v>
      </c>
    </row>
    <row r="232" spans="1:26" x14ac:dyDescent="0.2">
      <c r="A232" s="195" t="s">
        <v>1342</v>
      </c>
      <c r="C232" s="195">
        <v>46</v>
      </c>
      <c r="D232" s="195" t="s">
        <v>1318</v>
      </c>
      <c r="E232" s="146">
        <v>60</v>
      </c>
      <c r="F232" s="146" t="s">
        <v>90</v>
      </c>
      <c r="G232" s="195" t="s">
        <v>1328</v>
      </c>
      <c r="H232" s="146">
        <v>-4311</v>
      </c>
      <c r="I232" s="195" t="s">
        <v>1329</v>
      </c>
      <c r="J232" s="277">
        <v>1</v>
      </c>
      <c r="K232" s="146">
        <v>8</v>
      </c>
      <c r="L232" s="146">
        <v>633</v>
      </c>
      <c r="M232" s="146" t="s">
        <v>1220</v>
      </c>
      <c r="N232" s="146">
        <v>20</v>
      </c>
      <c r="O232" s="195" t="s">
        <v>1136</v>
      </c>
      <c r="P232" s="146">
        <v>-21558</v>
      </c>
      <c r="Q232" s="146">
        <v>-21558</v>
      </c>
      <c r="R232" s="146">
        <v>-7830</v>
      </c>
      <c r="S232" s="146">
        <v>-7870</v>
      </c>
      <c r="T232" s="146">
        <v>5</v>
      </c>
      <c r="U232" s="146">
        <v>9</v>
      </c>
      <c r="W232" s="195">
        <v>88</v>
      </c>
      <c r="X232" s="146">
        <v>1100</v>
      </c>
      <c r="Y232" s="146">
        <v>1950</v>
      </c>
    </row>
    <row r="233" spans="1:26" x14ac:dyDescent="0.2">
      <c r="A233" s="195" t="s">
        <v>1343</v>
      </c>
      <c r="C233" s="195">
        <v>46</v>
      </c>
      <c r="D233" s="195" t="s">
        <v>1318</v>
      </c>
      <c r="E233" s="146">
        <v>60</v>
      </c>
      <c r="F233" s="146" t="s">
        <v>90</v>
      </c>
      <c r="G233" s="195" t="s">
        <v>1328</v>
      </c>
      <c r="H233" s="146">
        <v>-4311</v>
      </c>
      <c r="I233" s="195" t="s">
        <v>1329</v>
      </c>
      <c r="J233" s="277">
        <v>1</v>
      </c>
      <c r="K233" s="146">
        <v>10</v>
      </c>
      <c r="L233" s="146">
        <v>633</v>
      </c>
      <c r="M233" s="146" t="s">
        <v>1220</v>
      </c>
      <c r="N233" s="146">
        <v>20</v>
      </c>
      <c r="O233" s="195" t="s">
        <v>1136</v>
      </c>
      <c r="P233" s="146">
        <v>-21548</v>
      </c>
      <c r="Q233" s="146">
        <v>-21548</v>
      </c>
      <c r="R233" s="146">
        <v>-7830</v>
      </c>
      <c r="S233" s="146">
        <v>-7870</v>
      </c>
      <c r="T233" s="146">
        <v>5</v>
      </c>
      <c r="U233" s="146">
        <v>9</v>
      </c>
      <c r="V233" s="146" t="s">
        <v>1344</v>
      </c>
      <c r="W233" s="195">
        <v>1948</v>
      </c>
      <c r="X233" s="146">
        <v>2800</v>
      </c>
      <c r="Y233" s="146">
        <v>3531</v>
      </c>
      <c r="Z233" s="344" t="s">
        <v>1268</v>
      </c>
    </row>
    <row r="234" spans="1:26" x14ac:dyDescent="0.2">
      <c r="A234" s="195" t="s">
        <v>1345</v>
      </c>
      <c r="C234" s="195">
        <v>46</v>
      </c>
      <c r="D234" s="195" t="s">
        <v>1318</v>
      </c>
      <c r="E234" s="146">
        <v>60</v>
      </c>
      <c r="F234" s="146" t="s">
        <v>90</v>
      </c>
      <c r="G234" s="195" t="s">
        <v>1328</v>
      </c>
      <c r="H234" s="146">
        <v>-4311</v>
      </c>
      <c r="I234" s="195" t="s">
        <v>1329</v>
      </c>
      <c r="J234" s="277">
        <v>1</v>
      </c>
      <c r="K234" s="146">
        <v>10</v>
      </c>
      <c r="L234" s="146">
        <v>633</v>
      </c>
      <c r="M234" s="146" t="s">
        <v>1220</v>
      </c>
      <c r="N234" s="146">
        <v>20</v>
      </c>
      <c r="O234" s="195" t="s">
        <v>1136</v>
      </c>
      <c r="P234" s="146">
        <v>-21538</v>
      </c>
      <c r="Q234" s="146">
        <v>-21538</v>
      </c>
      <c r="R234" s="146">
        <v>-7830</v>
      </c>
      <c r="S234" s="146">
        <v>-7870</v>
      </c>
      <c r="T234" s="146">
        <v>5</v>
      </c>
      <c r="U234" s="146">
        <v>9</v>
      </c>
      <c r="V234" s="146" t="s">
        <v>1344</v>
      </c>
      <c r="W234" s="195">
        <v>-21558.799999999999</v>
      </c>
      <c r="X234" s="146">
        <v>1100</v>
      </c>
      <c r="Y234" s="146">
        <v>1950</v>
      </c>
      <c r="Z234" s="344" t="s">
        <v>1295</v>
      </c>
    </row>
    <row r="235" spans="1:26" x14ac:dyDescent="0.2">
      <c r="A235" s="195" t="s">
        <v>1346</v>
      </c>
      <c r="C235" s="195">
        <v>46</v>
      </c>
      <c r="D235" s="195" t="s">
        <v>1318</v>
      </c>
      <c r="E235" s="146">
        <v>60</v>
      </c>
      <c r="F235" s="146" t="s">
        <v>90</v>
      </c>
      <c r="G235" s="195" t="s">
        <v>1328</v>
      </c>
      <c r="H235" s="146">
        <v>-4311</v>
      </c>
      <c r="I235" s="195" t="s">
        <v>1329</v>
      </c>
      <c r="J235" s="277">
        <v>1</v>
      </c>
      <c r="K235" s="146">
        <v>15</v>
      </c>
      <c r="L235" s="146">
        <v>633</v>
      </c>
      <c r="M235" s="146" t="s">
        <v>1220</v>
      </c>
      <c r="N235" s="146">
        <v>20</v>
      </c>
      <c r="O235" s="195" t="s">
        <v>1136</v>
      </c>
      <c r="P235" s="146">
        <v>-21528</v>
      </c>
      <c r="Q235" s="146">
        <v>-21528</v>
      </c>
      <c r="R235" s="146">
        <v>-7830</v>
      </c>
      <c r="S235" s="146">
        <v>-7870</v>
      </c>
      <c r="T235" s="146">
        <v>5</v>
      </c>
      <c r="U235" s="146">
        <v>9</v>
      </c>
      <c r="V235" s="146" t="s">
        <v>1347</v>
      </c>
      <c r="W235" s="195">
        <v>1948</v>
      </c>
      <c r="X235" s="146">
        <v>2800</v>
      </c>
      <c r="Y235" s="146">
        <v>3531</v>
      </c>
      <c r="Z235" s="344" t="s">
        <v>1268</v>
      </c>
    </row>
    <row r="236" spans="1:26" x14ac:dyDescent="0.2">
      <c r="A236" s="195" t="s">
        <v>1348</v>
      </c>
      <c r="C236" s="195">
        <v>46</v>
      </c>
      <c r="D236" s="195" t="s">
        <v>1318</v>
      </c>
      <c r="E236" s="146">
        <v>60</v>
      </c>
      <c r="F236" s="146" t="s">
        <v>90</v>
      </c>
      <c r="G236" s="195" t="s">
        <v>1328</v>
      </c>
      <c r="H236" s="146">
        <v>-4311</v>
      </c>
      <c r="I236" s="195" t="s">
        <v>1329</v>
      </c>
      <c r="J236" s="277">
        <v>1</v>
      </c>
      <c r="K236" s="146">
        <v>15</v>
      </c>
      <c r="L236" s="146">
        <v>633</v>
      </c>
      <c r="M236" s="146" t="s">
        <v>1220</v>
      </c>
      <c r="N236" s="146">
        <v>20</v>
      </c>
      <c r="O236" s="195" t="s">
        <v>1136</v>
      </c>
      <c r="P236" s="146">
        <v>-21518</v>
      </c>
      <c r="Q236" s="146">
        <v>-21518</v>
      </c>
      <c r="R236" s="146">
        <v>-7830</v>
      </c>
      <c r="S236" s="146">
        <v>-7870</v>
      </c>
      <c r="T236" s="146">
        <v>5</v>
      </c>
      <c r="U236" s="146">
        <v>9</v>
      </c>
      <c r="V236" s="146" t="s">
        <v>1347</v>
      </c>
      <c r="W236" s="195">
        <v>621</v>
      </c>
      <c r="X236" s="146">
        <v>1600</v>
      </c>
      <c r="Y236" s="146">
        <v>2436</v>
      </c>
      <c r="Z236" s="344" t="s">
        <v>1295</v>
      </c>
    </row>
    <row r="237" spans="1:26" x14ac:dyDescent="0.2">
      <c r="A237" s="195" t="s">
        <v>1349</v>
      </c>
      <c r="C237" s="195">
        <v>46</v>
      </c>
      <c r="D237" s="195" t="s">
        <v>1318</v>
      </c>
      <c r="E237" s="146">
        <v>60</v>
      </c>
      <c r="F237" s="146" t="s">
        <v>90</v>
      </c>
      <c r="G237" s="195" t="s">
        <v>1328</v>
      </c>
      <c r="H237" s="146">
        <v>-4311</v>
      </c>
      <c r="I237" s="195" t="s">
        <v>1329</v>
      </c>
      <c r="J237" s="277">
        <v>1</v>
      </c>
      <c r="K237" s="146">
        <v>20</v>
      </c>
      <c r="L237" s="146">
        <v>633</v>
      </c>
      <c r="M237" s="146" t="s">
        <v>1220</v>
      </c>
      <c r="N237" s="146">
        <v>20</v>
      </c>
      <c r="O237" s="195" t="s">
        <v>1136</v>
      </c>
      <c r="P237" s="146">
        <v>-21508</v>
      </c>
      <c r="Q237" s="146">
        <v>-21508</v>
      </c>
      <c r="R237" s="146">
        <v>-7830</v>
      </c>
      <c r="S237" s="146">
        <v>-7870</v>
      </c>
      <c r="T237" s="146">
        <v>5</v>
      </c>
      <c r="U237" s="146">
        <v>9</v>
      </c>
      <c r="V237" s="146" t="s">
        <v>1350</v>
      </c>
      <c r="W237" s="195">
        <v>1948</v>
      </c>
      <c r="X237" s="146">
        <v>2800</v>
      </c>
      <c r="Y237" s="146">
        <v>3531</v>
      </c>
      <c r="Z237" s="344" t="s">
        <v>1268</v>
      </c>
    </row>
    <row r="238" spans="1:26" x14ac:dyDescent="0.2">
      <c r="A238" s="195" t="s">
        <v>1351</v>
      </c>
      <c r="C238" s="195">
        <v>46</v>
      </c>
      <c r="D238" s="195" t="s">
        <v>1318</v>
      </c>
      <c r="E238" s="146">
        <v>60</v>
      </c>
      <c r="F238" s="146" t="s">
        <v>90</v>
      </c>
      <c r="G238" s="195" t="s">
        <v>1328</v>
      </c>
      <c r="H238" s="146">
        <v>-4311</v>
      </c>
      <c r="I238" s="195" t="s">
        <v>1329</v>
      </c>
      <c r="J238" s="277">
        <v>1</v>
      </c>
      <c r="K238" s="146">
        <v>20</v>
      </c>
      <c r="L238" s="146">
        <v>633</v>
      </c>
      <c r="M238" s="146" t="s">
        <v>1220</v>
      </c>
      <c r="N238" s="146">
        <v>20</v>
      </c>
      <c r="O238" s="195" t="s">
        <v>1136</v>
      </c>
      <c r="P238" s="146">
        <v>-21498</v>
      </c>
      <c r="Q238" s="146">
        <v>-21498</v>
      </c>
      <c r="R238" s="146">
        <v>-7830</v>
      </c>
      <c r="S238" s="146">
        <v>-7870</v>
      </c>
      <c r="T238" s="146">
        <v>5</v>
      </c>
      <c r="U238" s="146">
        <v>9</v>
      </c>
      <c r="V238" s="146" t="s">
        <v>1350</v>
      </c>
      <c r="W238" s="195">
        <v>621</v>
      </c>
      <c r="X238" s="146">
        <v>1600</v>
      </c>
      <c r="Y238" s="146">
        <v>2436</v>
      </c>
      <c r="Z238" s="344" t="s">
        <v>1295</v>
      </c>
    </row>
    <row r="239" spans="1:26" x14ac:dyDescent="0.2">
      <c r="A239" s="195" t="s">
        <v>1352</v>
      </c>
      <c r="C239" s="195">
        <v>46</v>
      </c>
      <c r="D239" s="195" t="s">
        <v>1318</v>
      </c>
      <c r="E239" s="146">
        <v>60</v>
      </c>
      <c r="F239" s="146" t="s">
        <v>90</v>
      </c>
      <c r="G239" s="195" t="s">
        <v>1328</v>
      </c>
      <c r="H239" s="146">
        <v>-4311</v>
      </c>
      <c r="I239" s="195" t="s">
        <v>1329</v>
      </c>
      <c r="J239" s="277">
        <v>1</v>
      </c>
      <c r="K239" s="146">
        <v>30</v>
      </c>
      <c r="L239" s="146">
        <v>633</v>
      </c>
      <c r="M239" s="146" t="s">
        <v>1220</v>
      </c>
      <c r="N239" s="146">
        <v>20</v>
      </c>
      <c r="O239" s="195" t="s">
        <v>1136</v>
      </c>
      <c r="P239" s="146">
        <v>-21488</v>
      </c>
      <c r="Q239" s="146">
        <v>-21488</v>
      </c>
      <c r="R239" s="146">
        <v>-7830</v>
      </c>
      <c r="S239" s="146">
        <v>-7870</v>
      </c>
      <c r="T239" s="146">
        <v>5</v>
      </c>
      <c r="U239" s="146">
        <v>9</v>
      </c>
      <c r="V239" s="146" t="s">
        <v>1353</v>
      </c>
      <c r="W239" s="195">
        <v>1948</v>
      </c>
      <c r="X239" s="146">
        <v>2800</v>
      </c>
      <c r="Y239" s="146">
        <v>3531</v>
      </c>
      <c r="Z239" s="344" t="s">
        <v>1268</v>
      </c>
    </row>
    <row r="240" spans="1:26" x14ac:dyDescent="0.2">
      <c r="A240" s="195" t="s">
        <v>1354</v>
      </c>
      <c r="C240" s="195">
        <v>46</v>
      </c>
      <c r="D240" s="195" t="s">
        <v>1318</v>
      </c>
      <c r="E240" s="146">
        <v>60</v>
      </c>
      <c r="F240" s="146" t="s">
        <v>90</v>
      </c>
      <c r="G240" s="195" t="s">
        <v>1328</v>
      </c>
      <c r="H240" s="146">
        <v>-4311</v>
      </c>
      <c r="I240" s="195" t="s">
        <v>1329</v>
      </c>
      <c r="J240" s="277">
        <v>1</v>
      </c>
      <c r="K240" s="146">
        <v>30</v>
      </c>
      <c r="L240" s="146">
        <v>633</v>
      </c>
      <c r="M240" s="146" t="s">
        <v>1220</v>
      </c>
      <c r="N240" s="146">
        <v>20</v>
      </c>
      <c r="O240" s="195" t="s">
        <v>1136</v>
      </c>
      <c r="P240" s="146">
        <v>-21478</v>
      </c>
      <c r="Q240" s="146">
        <v>-21478</v>
      </c>
      <c r="R240" s="146">
        <v>-7830</v>
      </c>
      <c r="S240" s="146">
        <v>-7870</v>
      </c>
      <c r="T240" s="146">
        <v>5</v>
      </c>
      <c r="U240" s="146">
        <v>9</v>
      </c>
      <c r="V240" s="146" t="s">
        <v>1353</v>
      </c>
      <c r="W240" s="195">
        <v>621</v>
      </c>
      <c r="X240" s="146">
        <v>1600</v>
      </c>
      <c r="Y240" s="146">
        <v>2436</v>
      </c>
      <c r="Z240" s="344" t="s">
        <v>1295</v>
      </c>
    </row>
    <row r="241" spans="1:26" x14ac:dyDescent="0.2">
      <c r="A241" s="195" t="s">
        <v>1355</v>
      </c>
      <c r="B241" s="251" t="s">
        <v>1356</v>
      </c>
      <c r="C241" s="195">
        <v>46</v>
      </c>
      <c r="D241" s="195" t="s">
        <v>1318</v>
      </c>
      <c r="E241" s="146">
        <v>60</v>
      </c>
      <c r="F241" s="146" t="s">
        <v>90</v>
      </c>
      <c r="G241" s="195" t="s">
        <v>1328</v>
      </c>
      <c r="H241" s="146">
        <v>-4311</v>
      </c>
      <c r="I241" s="195" t="s">
        <v>1329</v>
      </c>
      <c r="J241" s="277">
        <v>1</v>
      </c>
      <c r="K241" s="146">
        <v>1</v>
      </c>
      <c r="L241" s="146">
        <v>785</v>
      </c>
      <c r="M241" s="146" t="s">
        <v>1220</v>
      </c>
      <c r="N241" s="146">
        <v>20</v>
      </c>
      <c r="O241" s="195" t="s">
        <v>1136</v>
      </c>
      <c r="P241" s="146">
        <v>-22077</v>
      </c>
      <c r="Q241" s="146">
        <v>-22077</v>
      </c>
      <c r="R241" s="146">
        <v>-8300</v>
      </c>
      <c r="S241" s="146">
        <v>-8260</v>
      </c>
      <c r="T241" s="146">
        <v>5</v>
      </c>
      <c r="U241" s="146">
        <v>9</v>
      </c>
      <c r="V241" s="146" t="s">
        <v>1332</v>
      </c>
      <c r="W241" s="195">
        <v>175</v>
      </c>
      <c r="X241" s="146">
        <v>800</v>
      </c>
      <c r="Y241" s="146">
        <v>1363</v>
      </c>
      <c r="Z241" s="344" t="s">
        <v>1268</v>
      </c>
    </row>
    <row r="242" spans="1:26" x14ac:dyDescent="0.2">
      <c r="A242" s="195" t="s">
        <v>1357</v>
      </c>
      <c r="C242" s="195">
        <v>46</v>
      </c>
      <c r="D242" s="195" t="s">
        <v>1318</v>
      </c>
      <c r="E242" s="146">
        <v>60</v>
      </c>
      <c r="F242" s="146" t="s">
        <v>90</v>
      </c>
      <c r="G242" s="195" t="s">
        <v>1328</v>
      </c>
      <c r="H242" s="146">
        <v>-4311</v>
      </c>
      <c r="I242" s="195" t="s">
        <v>1329</v>
      </c>
      <c r="J242" s="277">
        <v>1</v>
      </c>
      <c r="K242" s="146">
        <v>1</v>
      </c>
      <c r="L242" s="146">
        <v>785</v>
      </c>
      <c r="M242" s="146" t="s">
        <v>1220</v>
      </c>
      <c r="N242" s="146">
        <v>20</v>
      </c>
      <c r="O242" s="195" t="s">
        <v>1136</v>
      </c>
      <c r="P242" s="146">
        <v>-22067</v>
      </c>
      <c r="Q242" s="146">
        <v>-22067</v>
      </c>
      <c r="R242" s="146">
        <v>-8300</v>
      </c>
      <c r="S242" s="146">
        <v>-8260</v>
      </c>
      <c r="T242" s="146">
        <v>5</v>
      </c>
      <c r="U242" s="146">
        <v>9</v>
      </c>
      <c r="V242" s="146" t="s">
        <v>1332</v>
      </c>
      <c r="W242" s="195">
        <v>1065</v>
      </c>
      <c r="X242" s="146">
        <v>1600</v>
      </c>
      <c r="Y242" s="146">
        <v>2085</v>
      </c>
      <c r="Z242" s="344" t="s">
        <v>1295</v>
      </c>
    </row>
    <row r="243" spans="1:26" x14ac:dyDescent="0.2">
      <c r="A243" s="195" t="s">
        <v>1358</v>
      </c>
      <c r="C243" s="195">
        <v>46</v>
      </c>
      <c r="D243" s="195" t="s">
        <v>1318</v>
      </c>
      <c r="E243" s="146">
        <v>60</v>
      </c>
      <c r="F243" s="146" t="s">
        <v>90</v>
      </c>
      <c r="G243" s="195" t="s">
        <v>1328</v>
      </c>
      <c r="H243" s="146">
        <v>-4311</v>
      </c>
      <c r="I243" s="195" t="s">
        <v>1329</v>
      </c>
      <c r="J243" s="277">
        <v>1</v>
      </c>
      <c r="K243" s="146">
        <v>2</v>
      </c>
      <c r="L243" s="146">
        <v>785</v>
      </c>
      <c r="M243" s="146" t="s">
        <v>1220</v>
      </c>
      <c r="N243" s="146">
        <v>20</v>
      </c>
      <c r="O243" s="195" t="s">
        <v>1136</v>
      </c>
      <c r="P243" s="146">
        <v>-22057</v>
      </c>
      <c r="Q243" s="146">
        <v>-22057</v>
      </c>
      <c r="R243" s="146">
        <v>-8300</v>
      </c>
      <c r="S243" s="146">
        <v>-8260</v>
      </c>
      <c r="T243" s="146">
        <v>5</v>
      </c>
      <c r="U243" s="146">
        <v>9</v>
      </c>
      <c r="W243" s="195">
        <v>175</v>
      </c>
      <c r="X243" s="146">
        <v>800</v>
      </c>
      <c r="Y243" s="146">
        <v>1363</v>
      </c>
      <c r="Z243" s="344" t="s">
        <v>1268</v>
      </c>
    </row>
    <row r="244" spans="1:26" x14ac:dyDescent="0.2">
      <c r="A244" s="195" t="s">
        <v>1359</v>
      </c>
      <c r="C244" s="195">
        <v>46</v>
      </c>
      <c r="D244" s="195" t="s">
        <v>1318</v>
      </c>
      <c r="E244" s="146">
        <v>60</v>
      </c>
      <c r="F244" s="146" t="s">
        <v>90</v>
      </c>
      <c r="G244" s="195" t="s">
        <v>1328</v>
      </c>
      <c r="H244" s="146">
        <v>-4311</v>
      </c>
      <c r="I244" s="195" t="s">
        <v>1329</v>
      </c>
      <c r="J244" s="277">
        <v>1</v>
      </c>
      <c r="K244" s="146">
        <v>2</v>
      </c>
      <c r="L244" s="146">
        <v>785</v>
      </c>
      <c r="M244" s="146" t="s">
        <v>1220</v>
      </c>
      <c r="N244" s="146">
        <v>20</v>
      </c>
      <c r="O244" s="195" t="s">
        <v>1136</v>
      </c>
      <c r="P244" s="146">
        <v>-22057</v>
      </c>
      <c r="Q244" s="146">
        <v>-22057</v>
      </c>
      <c r="R244" s="146">
        <v>-8300</v>
      </c>
      <c r="S244" s="146">
        <v>-8260</v>
      </c>
      <c r="T244" s="146">
        <v>5</v>
      </c>
      <c r="U244" s="146">
        <v>9</v>
      </c>
      <c r="W244" s="195">
        <v>1065</v>
      </c>
      <c r="X244" s="146">
        <v>1600</v>
      </c>
      <c r="Y244" s="146">
        <v>2085</v>
      </c>
      <c r="Z244" s="344" t="s">
        <v>1295</v>
      </c>
    </row>
    <row r="245" spans="1:26" x14ac:dyDescent="0.2">
      <c r="A245" s="195" t="s">
        <v>1360</v>
      </c>
      <c r="C245" s="195">
        <v>46</v>
      </c>
      <c r="D245" s="195" t="s">
        <v>1318</v>
      </c>
      <c r="E245" s="146">
        <v>60</v>
      </c>
      <c r="F245" s="146" t="s">
        <v>90</v>
      </c>
      <c r="G245" s="195" t="s">
        <v>1328</v>
      </c>
      <c r="H245" s="146">
        <v>-4311</v>
      </c>
      <c r="I245" s="195" t="s">
        <v>1329</v>
      </c>
      <c r="J245" s="277">
        <v>1</v>
      </c>
      <c r="K245" s="146">
        <v>5</v>
      </c>
      <c r="L245" s="146">
        <v>785</v>
      </c>
      <c r="M245" s="146" t="s">
        <v>1220</v>
      </c>
      <c r="N245" s="146">
        <v>20</v>
      </c>
      <c r="O245" s="195" t="s">
        <v>1136</v>
      </c>
      <c r="P245" s="146">
        <v>-22037</v>
      </c>
      <c r="Q245" s="146">
        <v>-22037</v>
      </c>
      <c r="R245" s="146">
        <v>-8300</v>
      </c>
      <c r="S245" s="146">
        <v>-8260</v>
      </c>
      <c r="T245" s="146">
        <v>5</v>
      </c>
      <c r="U245" s="146">
        <v>9</v>
      </c>
      <c r="W245" s="195">
        <v>175</v>
      </c>
      <c r="X245" s="146">
        <v>800</v>
      </c>
      <c r="Y245" s="146">
        <v>1363</v>
      </c>
    </row>
    <row r="246" spans="1:26" x14ac:dyDescent="0.2">
      <c r="A246" s="195" t="s">
        <v>1361</v>
      </c>
      <c r="C246" s="195">
        <v>46</v>
      </c>
      <c r="D246" s="195" t="s">
        <v>1318</v>
      </c>
      <c r="E246" s="146">
        <v>60</v>
      </c>
      <c r="F246" s="146" t="s">
        <v>90</v>
      </c>
      <c r="G246" s="195" t="s">
        <v>1328</v>
      </c>
      <c r="H246" s="146">
        <v>-4311</v>
      </c>
      <c r="I246" s="195" t="s">
        <v>1329</v>
      </c>
      <c r="J246" s="277">
        <v>1</v>
      </c>
      <c r="K246" s="146">
        <v>5</v>
      </c>
      <c r="L246" s="146">
        <v>785</v>
      </c>
      <c r="M246" s="146" t="s">
        <v>1220</v>
      </c>
      <c r="N246" s="146">
        <v>20</v>
      </c>
      <c r="O246" s="195" t="s">
        <v>1136</v>
      </c>
      <c r="P246" s="146">
        <v>-22027</v>
      </c>
      <c r="Q246" s="146">
        <v>-22027</v>
      </c>
      <c r="R246" s="146">
        <v>-8300</v>
      </c>
      <c r="S246" s="146">
        <v>-8260</v>
      </c>
      <c r="T246" s="146">
        <v>5</v>
      </c>
      <c r="U246" s="146">
        <v>9</v>
      </c>
      <c r="W246" s="195">
        <v>1065</v>
      </c>
      <c r="X246" s="146">
        <v>1600</v>
      </c>
      <c r="Y246" s="146">
        <v>2085</v>
      </c>
    </row>
    <row r="247" spans="1:26" x14ac:dyDescent="0.2">
      <c r="A247" s="195" t="s">
        <v>1362</v>
      </c>
      <c r="C247" s="195">
        <v>46</v>
      </c>
      <c r="D247" s="195" t="s">
        <v>1318</v>
      </c>
      <c r="E247" s="146">
        <v>60</v>
      </c>
      <c r="F247" s="146" t="s">
        <v>90</v>
      </c>
      <c r="G247" s="195" t="s">
        <v>1328</v>
      </c>
      <c r="H247" s="146">
        <v>-4311</v>
      </c>
      <c r="I247" s="195" t="s">
        <v>1329</v>
      </c>
      <c r="J247" s="277">
        <v>1</v>
      </c>
      <c r="K247" s="146">
        <v>8</v>
      </c>
      <c r="L247" s="146">
        <v>785</v>
      </c>
      <c r="M247" s="146" t="s">
        <v>1220</v>
      </c>
      <c r="N247" s="146">
        <v>20</v>
      </c>
      <c r="O247" s="195" t="s">
        <v>1136</v>
      </c>
      <c r="P247" s="146">
        <v>-22017</v>
      </c>
      <c r="Q247" s="146">
        <v>-22017</v>
      </c>
      <c r="R247" s="146">
        <v>-8300</v>
      </c>
      <c r="S247" s="146">
        <v>-8260</v>
      </c>
      <c r="T247" s="146">
        <v>5</v>
      </c>
      <c r="U247" s="146">
        <v>9</v>
      </c>
      <c r="W247" s="195">
        <v>175</v>
      </c>
      <c r="X247" s="146">
        <v>800</v>
      </c>
      <c r="Y247" s="146">
        <v>1363</v>
      </c>
    </row>
    <row r="248" spans="1:26" x14ac:dyDescent="0.2">
      <c r="A248" s="195" t="s">
        <v>1363</v>
      </c>
      <c r="C248" s="195">
        <v>46</v>
      </c>
      <c r="D248" s="195" t="s">
        <v>1318</v>
      </c>
      <c r="E248" s="146">
        <v>60</v>
      </c>
      <c r="F248" s="146" t="s">
        <v>90</v>
      </c>
      <c r="G248" s="195" t="s">
        <v>1328</v>
      </c>
      <c r="H248" s="146">
        <v>-4311</v>
      </c>
      <c r="I248" s="195" t="s">
        <v>1329</v>
      </c>
      <c r="J248" s="277">
        <v>1</v>
      </c>
      <c r="K248" s="146">
        <v>8</v>
      </c>
      <c r="L248" s="146">
        <v>785</v>
      </c>
      <c r="M248" s="146" t="s">
        <v>1220</v>
      </c>
      <c r="N248" s="146">
        <v>20</v>
      </c>
      <c r="O248" s="195" t="s">
        <v>1136</v>
      </c>
      <c r="P248" s="146">
        <v>-22007</v>
      </c>
      <c r="Q248" s="146">
        <v>-22007</v>
      </c>
      <c r="R248" s="146">
        <v>-8300</v>
      </c>
      <c r="S248" s="146">
        <v>-8260</v>
      </c>
      <c r="T248" s="146">
        <v>5</v>
      </c>
      <c r="U248" s="146">
        <v>9</v>
      </c>
      <c r="W248" s="195">
        <v>1065</v>
      </c>
      <c r="X248" s="146">
        <v>1600</v>
      </c>
      <c r="Y248" s="146">
        <v>2085</v>
      </c>
    </row>
    <row r="249" spans="1:26" x14ac:dyDescent="0.2">
      <c r="A249" s="195" t="s">
        <v>1364</v>
      </c>
      <c r="C249" s="195">
        <v>46</v>
      </c>
      <c r="D249" s="195" t="s">
        <v>1318</v>
      </c>
      <c r="E249" s="146">
        <v>60</v>
      </c>
      <c r="F249" s="146" t="s">
        <v>90</v>
      </c>
      <c r="G249" s="195" t="s">
        <v>1328</v>
      </c>
      <c r="H249" s="146">
        <v>-4311</v>
      </c>
      <c r="I249" s="195" t="s">
        <v>1329</v>
      </c>
      <c r="J249" s="277">
        <v>1</v>
      </c>
      <c r="K249" s="146">
        <v>10</v>
      </c>
      <c r="L249" s="146">
        <v>785</v>
      </c>
      <c r="M249" s="146" t="s">
        <v>1220</v>
      </c>
      <c r="N249" s="146">
        <v>20</v>
      </c>
      <c r="O249" s="195" t="s">
        <v>1136</v>
      </c>
      <c r="P249" s="146">
        <v>-21997</v>
      </c>
      <c r="Q249" s="146">
        <v>-21997</v>
      </c>
      <c r="R249" s="146">
        <v>-8300</v>
      </c>
      <c r="S249" s="146">
        <v>-8260</v>
      </c>
      <c r="T249" s="146">
        <v>5</v>
      </c>
      <c r="U249" s="146">
        <v>9</v>
      </c>
      <c r="W249" s="195">
        <v>175</v>
      </c>
      <c r="X249" s="146">
        <v>800</v>
      </c>
      <c r="Y249" s="146">
        <v>1363</v>
      </c>
    </row>
    <row r="250" spans="1:26" x14ac:dyDescent="0.2">
      <c r="A250" s="195" t="s">
        <v>1365</v>
      </c>
      <c r="C250" s="195">
        <v>46</v>
      </c>
      <c r="D250" s="195" t="s">
        <v>1318</v>
      </c>
      <c r="E250" s="146">
        <v>60</v>
      </c>
      <c r="F250" s="146" t="s">
        <v>90</v>
      </c>
      <c r="G250" s="195" t="s">
        <v>1328</v>
      </c>
      <c r="H250" s="146">
        <v>-4311</v>
      </c>
      <c r="I250" s="195" t="s">
        <v>1329</v>
      </c>
      <c r="J250" s="277">
        <v>1</v>
      </c>
      <c r="K250" s="146">
        <v>10</v>
      </c>
      <c r="L250" s="146">
        <v>785</v>
      </c>
      <c r="M250" s="146" t="s">
        <v>1220</v>
      </c>
      <c r="N250" s="146">
        <v>20</v>
      </c>
      <c r="O250" s="195" t="s">
        <v>1136</v>
      </c>
      <c r="P250" s="146">
        <v>-21987</v>
      </c>
      <c r="Q250" s="146">
        <v>-21987</v>
      </c>
      <c r="R250" s="146">
        <v>-8300</v>
      </c>
      <c r="S250" s="146">
        <v>-8260</v>
      </c>
      <c r="T250" s="146">
        <v>5</v>
      </c>
      <c r="U250" s="146">
        <v>9</v>
      </c>
      <c r="W250" s="195">
        <v>1065</v>
      </c>
      <c r="X250" s="146">
        <v>1600</v>
      </c>
      <c r="Y250" s="146">
        <v>2085</v>
      </c>
    </row>
    <row r="251" spans="1:26" x14ac:dyDescent="0.2">
      <c r="A251" s="195" t="s">
        <v>1366</v>
      </c>
      <c r="C251" s="195">
        <v>46</v>
      </c>
      <c r="D251" s="195" t="s">
        <v>1318</v>
      </c>
      <c r="E251" s="146">
        <v>60</v>
      </c>
      <c r="F251" s="146" t="s">
        <v>90</v>
      </c>
      <c r="G251" s="195" t="s">
        <v>1328</v>
      </c>
      <c r="H251" s="146">
        <v>-4311</v>
      </c>
      <c r="I251" s="195" t="s">
        <v>1329</v>
      </c>
      <c r="J251" s="277">
        <v>1</v>
      </c>
      <c r="K251" s="146">
        <v>15</v>
      </c>
      <c r="L251" s="146">
        <v>785</v>
      </c>
      <c r="M251" s="146" t="s">
        <v>1220</v>
      </c>
      <c r="N251" s="146">
        <v>20</v>
      </c>
      <c r="O251" s="195" t="s">
        <v>1136</v>
      </c>
      <c r="P251" s="146">
        <v>-21977</v>
      </c>
      <c r="Q251" s="146">
        <v>-21977</v>
      </c>
      <c r="R251" s="146">
        <v>-8300</v>
      </c>
      <c r="S251" s="146">
        <v>-8260</v>
      </c>
      <c r="T251" s="146">
        <v>5</v>
      </c>
      <c r="U251" s="146">
        <v>9</v>
      </c>
      <c r="W251" s="195">
        <v>175</v>
      </c>
      <c r="X251" s="146">
        <v>800</v>
      </c>
      <c r="Y251" s="146">
        <v>1363</v>
      </c>
    </row>
    <row r="252" spans="1:26" x14ac:dyDescent="0.2">
      <c r="A252" s="195" t="s">
        <v>1367</v>
      </c>
      <c r="C252" s="195">
        <v>46</v>
      </c>
      <c r="D252" s="195" t="s">
        <v>1318</v>
      </c>
      <c r="E252" s="146">
        <v>60</v>
      </c>
      <c r="F252" s="146" t="s">
        <v>90</v>
      </c>
      <c r="G252" s="195" t="s">
        <v>1328</v>
      </c>
      <c r="H252" s="146">
        <v>-4311</v>
      </c>
      <c r="I252" s="195" t="s">
        <v>1329</v>
      </c>
      <c r="J252" s="277">
        <v>1</v>
      </c>
      <c r="K252" s="146">
        <v>15</v>
      </c>
      <c r="L252" s="146">
        <v>785</v>
      </c>
      <c r="M252" s="146" t="s">
        <v>1220</v>
      </c>
      <c r="N252" s="146">
        <v>20</v>
      </c>
      <c r="O252" s="195" t="s">
        <v>1136</v>
      </c>
      <c r="P252" s="146">
        <v>-21967</v>
      </c>
      <c r="Q252" s="146">
        <v>-21967</v>
      </c>
      <c r="R252" s="146">
        <v>-8300</v>
      </c>
      <c r="S252" s="146">
        <v>-8260</v>
      </c>
      <c r="T252" s="146">
        <v>5</v>
      </c>
      <c r="U252" s="146">
        <v>9</v>
      </c>
      <c r="W252" s="195">
        <v>1065</v>
      </c>
      <c r="X252" s="146">
        <v>1600</v>
      </c>
      <c r="Y252" s="146">
        <v>2085</v>
      </c>
    </row>
    <row r="253" spans="1:26" x14ac:dyDescent="0.2">
      <c r="A253" s="195" t="s">
        <v>1368</v>
      </c>
      <c r="C253" s="195">
        <v>46</v>
      </c>
      <c r="D253" s="195" t="s">
        <v>1318</v>
      </c>
      <c r="E253" s="146">
        <v>60</v>
      </c>
      <c r="F253" s="146" t="s">
        <v>90</v>
      </c>
      <c r="G253" s="195" t="s">
        <v>1328</v>
      </c>
      <c r="H253" s="146">
        <v>-4311</v>
      </c>
      <c r="I253" s="195" t="s">
        <v>1329</v>
      </c>
      <c r="J253" s="277">
        <v>1</v>
      </c>
      <c r="K253" s="146">
        <v>20</v>
      </c>
      <c r="L253" s="146">
        <v>785</v>
      </c>
      <c r="M253" s="146" t="s">
        <v>1220</v>
      </c>
      <c r="N253" s="146">
        <v>20</v>
      </c>
      <c r="O253" s="195" t="s">
        <v>1136</v>
      </c>
      <c r="P253" s="146">
        <v>-21957</v>
      </c>
      <c r="Q253" s="146">
        <v>-21957</v>
      </c>
      <c r="R253" s="146">
        <v>-8300</v>
      </c>
      <c r="S253" s="146">
        <v>-8260</v>
      </c>
      <c r="T253" s="146">
        <v>5</v>
      </c>
      <c r="U253" s="146">
        <v>9</v>
      </c>
      <c r="W253" s="195">
        <v>175</v>
      </c>
      <c r="X253" s="146">
        <v>800</v>
      </c>
      <c r="Y253" s="146">
        <v>1363</v>
      </c>
    </row>
    <row r="254" spans="1:26" x14ac:dyDescent="0.2">
      <c r="A254" s="195" t="s">
        <v>1369</v>
      </c>
      <c r="C254" s="195">
        <v>46</v>
      </c>
      <c r="D254" s="195" t="s">
        <v>1318</v>
      </c>
      <c r="E254" s="146">
        <v>60</v>
      </c>
      <c r="F254" s="146" t="s">
        <v>90</v>
      </c>
      <c r="G254" s="195" t="s">
        <v>1328</v>
      </c>
      <c r="H254" s="146">
        <v>-4311</v>
      </c>
      <c r="I254" s="195" t="s">
        <v>1329</v>
      </c>
      <c r="J254" s="277">
        <v>1</v>
      </c>
      <c r="K254" s="146">
        <v>20</v>
      </c>
      <c r="L254" s="146">
        <v>785</v>
      </c>
      <c r="M254" s="146" t="s">
        <v>1220</v>
      </c>
      <c r="N254" s="146">
        <v>20</v>
      </c>
      <c r="O254" s="195" t="s">
        <v>1136</v>
      </c>
      <c r="P254" s="146">
        <v>-21947</v>
      </c>
      <c r="Q254" s="146">
        <v>-21947</v>
      </c>
      <c r="R254" s="146">
        <v>-8300</v>
      </c>
      <c r="S254" s="146">
        <v>-8260</v>
      </c>
      <c r="T254" s="146">
        <v>5</v>
      </c>
      <c r="U254" s="146">
        <v>9</v>
      </c>
      <c r="W254" s="195">
        <v>1065</v>
      </c>
      <c r="X254" s="146">
        <v>1600</v>
      </c>
      <c r="Y254" s="146">
        <v>2085</v>
      </c>
    </row>
    <row r="255" spans="1:26" x14ac:dyDescent="0.2">
      <c r="A255" s="195" t="s">
        <v>1370</v>
      </c>
      <c r="C255" s="195">
        <v>46</v>
      </c>
      <c r="D255" s="195" t="s">
        <v>1318</v>
      </c>
      <c r="E255" s="146">
        <v>60</v>
      </c>
      <c r="F255" s="146" t="s">
        <v>90</v>
      </c>
      <c r="G255" s="195" t="s">
        <v>1328</v>
      </c>
      <c r="H255" s="146">
        <v>-4311</v>
      </c>
      <c r="I255" s="195" t="s">
        <v>1329</v>
      </c>
      <c r="J255" s="277">
        <v>1</v>
      </c>
      <c r="K255" s="146">
        <v>30</v>
      </c>
      <c r="L255" s="146">
        <v>785</v>
      </c>
      <c r="M255" s="146" t="s">
        <v>1220</v>
      </c>
      <c r="N255" s="146">
        <v>20</v>
      </c>
      <c r="O255" s="195" t="s">
        <v>1136</v>
      </c>
      <c r="P255" s="146">
        <v>-21937</v>
      </c>
      <c r="Q255" s="146">
        <v>-21937</v>
      </c>
      <c r="R255" s="146">
        <v>-8300</v>
      </c>
      <c r="S255" s="146">
        <v>-8260</v>
      </c>
      <c r="T255" s="146">
        <v>5</v>
      </c>
      <c r="U255" s="146">
        <v>9</v>
      </c>
      <c r="W255" s="195">
        <v>175</v>
      </c>
      <c r="X255" s="146">
        <v>800</v>
      </c>
      <c r="Y255" s="146">
        <v>1363</v>
      </c>
    </row>
    <row r="256" spans="1:26" x14ac:dyDescent="0.2">
      <c r="A256" s="195" t="s">
        <v>1371</v>
      </c>
      <c r="C256" s="195">
        <v>46</v>
      </c>
      <c r="D256" s="195" t="s">
        <v>1318</v>
      </c>
      <c r="E256" s="146">
        <v>60</v>
      </c>
      <c r="F256" s="146" t="s">
        <v>90</v>
      </c>
      <c r="G256" s="195" t="s">
        <v>1328</v>
      </c>
      <c r="H256" s="146">
        <v>-4311</v>
      </c>
      <c r="I256" s="195" t="s">
        <v>1329</v>
      </c>
      <c r="J256" s="277">
        <v>1</v>
      </c>
      <c r="K256" s="146">
        <v>30</v>
      </c>
      <c r="L256" s="146">
        <v>785</v>
      </c>
      <c r="M256" s="146" t="s">
        <v>1220</v>
      </c>
      <c r="N256" s="146">
        <v>20</v>
      </c>
      <c r="O256" s="195" t="s">
        <v>1136</v>
      </c>
      <c r="P256" s="146">
        <v>-21927</v>
      </c>
      <c r="Q256" s="146">
        <v>-21927</v>
      </c>
      <c r="R256" s="146">
        <v>-8300</v>
      </c>
      <c r="S256" s="146">
        <v>-8260</v>
      </c>
      <c r="T256" s="146">
        <v>5</v>
      </c>
      <c r="U256" s="146">
        <v>9</v>
      </c>
      <c r="W256" s="195">
        <v>1065</v>
      </c>
      <c r="X256" s="146">
        <v>1600</v>
      </c>
      <c r="Y256" s="146">
        <v>2085</v>
      </c>
    </row>
    <row r="257" spans="1:25" x14ac:dyDescent="0.2">
      <c r="A257" s="195" t="s">
        <v>1372</v>
      </c>
      <c r="C257" s="195">
        <v>46</v>
      </c>
      <c r="D257" s="195" t="s">
        <v>1318</v>
      </c>
      <c r="E257" s="146">
        <v>60</v>
      </c>
      <c r="F257" s="146" t="s">
        <v>90</v>
      </c>
      <c r="G257" s="195" t="s">
        <v>1328</v>
      </c>
      <c r="H257" s="146">
        <v>-4311</v>
      </c>
    </row>
    <row r="258" spans="1:25" x14ac:dyDescent="0.2">
      <c r="A258" s="195" t="s">
        <v>1373</v>
      </c>
      <c r="C258" s="195">
        <v>46</v>
      </c>
      <c r="D258" s="195" t="s">
        <v>1318</v>
      </c>
      <c r="E258" s="146">
        <v>60</v>
      </c>
      <c r="F258" s="146" t="s">
        <v>90</v>
      </c>
      <c r="G258" s="195" t="s">
        <v>1328</v>
      </c>
      <c r="H258" s="146">
        <v>-4311</v>
      </c>
      <c r="I258" s="195" t="s">
        <v>1329</v>
      </c>
      <c r="J258" s="277">
        <v>1</v>
      </c>
      <c r="K258" s="146">
        <v>1</v>
      </c>
      <c r="L258" s="146">
        <v>785</v>
      </c>
      <c r="M258" s="146" t="s">
        <v>1220</v>
      </c>
      <c r="N258" s="146">
        <v>20</v>
      </c>
      <c r="O258" s="195" t="s">
        <v>1136</v>
      </c>
      <c r="P258" s="146">
        <v>-22077</v>
      </c>
      <c r="Q258" s="146">
        <v>-22077</v>
      </c>
      <c r="R258" s="146">
        <v>-8220</v>
      </c>
      <c r="S258" s="146">
        <v>-8260</v>
      </c>
      <c r="T258" s="146">
        <v>5</v>
      </c>
      <c r="U258" s="146">
        <v>9</v>
      </c>
      <c r="V258" s="146" t="s">
        <v>1374</v>
      </c>
      <c r="W258" s="195">
        <v>1950</v>
      </c>
      <c r="X258" s="146">
        <v>2400</v>
      </c>
      <c r="Y258" s="146">
        <v>2810</v>
      </c>
    </row>
    <row r="259" spans="1:25" x14ac:dyDescent="0.2">
      <c r="A259" s="195" t="s">
        <v>1375</v>
      </c>
      <c r="C259" s="195">
        <v>46</v>
      </c>
      <c r="D259" s="195" t="s">
        <v>1318</v>
      </c>
      <c r="E259" s="146">
        <v>60</v>
      </c>
      <c r="F259" s="146" t="s">
        <v>90</v>
      </c>
      <c r="G259" s="195" t="s">
        <v>1328</v>
      </c>
      <c r="H259" s="146">
        <v>-4311</v>
      </c>
      <c r="I259" s="195" t="s">
        <v>1329</v>
      </c>
      <c r="J259" s="277">
        <v>1</v>
      </c>
      <c r="K259" s="146">
        <v>1</v>
      </c>
      <c r="L259" s="146">
        <v>785</v>
      </c>
      <c r="M259" s="146" t="s">
        <v>1220</v>
      </c>
      <c r="N259" s="146">
        <v>20</v>
      </c>
      <c r="O259" s="195" t="s">
        <v>1136</v>
      </c>
      <c r="P259" s="146">
        <v>-22067</v>
      </c>
      <c r="Q259" s="146">
        <v>-22067</v>
      </c>
      <c r="R259" s="146">
        <v>-8220</v>
      </c>
      <c r="S259" s="146">
        <v>-8260</v>
      </c>
      <c r="T259" s="146">
        <v>5</v>
      </c>
      <c r="U259" s="146">
        <v>9</v>
      </c>
      <c r="V259" s="146" t="s">
        <v>1374</v>
      </c>
      <c r="W259" s="195">
        <v>2720</v>
      </c>
      <c r="X259" s="146">
        <v>3100</v>
      </c>
      <c r="Y259" s="146">
        <v>3440</v>
      </c>
    </row>
    <row r="260" spans="1:25" x14ac:dyDescent="0.2">
      <c r="A260" s="195" t="s">
        <v>1376</v>
      </c>
      <c r="C260" s="195">
        <v>46</v>
      </c>
      <c r="D260" s="195" t="s">
        <v>1318</v>
      </c>
      <c r="E260" s="146">
        <v>60</v>
      </c>
      <c r="F260" s="146" t="s">
        <v>90</v>
      </c>
      <c r="G260" s="195" t="s">
        <v>1328</v>
      </c>
      <c r="H260" s="146">
        <v>-4311</v>
      </c>
      <c r="I260" s="195" t="s">
        <v>1329</v>
      </c>
      <c r="J260" s="277">
        <v>1</v>
      </c>
      <c r="K260" s="146">
        <v>2</v>
      </c>
      <c r="L260" s="146">
        <v>785</v>
      </c>
      <c r="M260" s="146" t="s">
        <v>1220</v>
      </c>
      <c r="N260" s="146">
        <v>20</v>
      </c>
      <c r="O260" s="195" t="s">
        <v>1136</v>
      </c>
      <c r="P260" s="146">
        <v>-22057</v>
      </c>
      <c r="Q260" s="146">
        <v>-22057</v>
      </c>
      <c r="R260" s="146">
        <v>-8220</v>
      </c>
      <c r="S260" s="146">
        <v>-8260</v>
      </c>
      <c r="T260" s="146">
        <v>5</v>
      </c>
      <c r="U260" s="146">
        <v>9</v>
      </c>
      <c r="V260" s="146" t="s">
        <v>1377</v>
      </c>
      <c r="W260" s="195">
        <v>1950</v>
      </c>
      <c r="X260" s="146">
        <v>2400</v>
      </c>
      <c r="Y260" s="146">
        <v>2810</v>
      </c>
    </row>
    <row r="261" spans="1:25" x14ac:dyDescent="0.2">
      <c r="A261" s="195" t="s">
        <v>1378</v>
      </c>
      <c r="C261" s="195">
        <v>46</v>
      </c>
      <c r="D261" s="195" t="s">
        <v>1318</v>
      </c>
      <c r="E261" s="146">
        <v>60</v>
      </c>
      <c r="F261" s="146" t="s">
        <v>90</v>
      </c>
      <c r="G261" s="195" t="s">
        <v>1328</v>
      </c>
      <c r="H261" s="146">
        <v>-4311</v>
      </c>
      <c r="I261" s="195" t="s">
        <v>1329</v>
      </c>
      <c r="J261" s="277">
        <v>1</v>
      </c>
      <c r="K261" s="146">
        <v>2</v>
      </c>
      <c r="L261" s="146">
        <v>785</v>
      </c>
      <c r="M261" s="146" t="s">
        <v>1220</v>
      </c>
      <c r="N261" s="146">
        <v>20</v>
      </c>
      <c r="O261" s="195" t="s">
        <v>1136</v>
      </c>
      <c r="P261" s="146">
        <v>-22047</v>
      </c>
      <c r="Q261" s="146">
        <v>-22047</v>
      </c>
      <c r="R261" s="146">
        <v>-8220</v>
      </c>
      <c r="S261" s="146">
        <v>-8260</v>
      </c>
      <c r="T261" s="146">
        <v>5</v>
      </c>
      <c r="U261" s="146">
        <v>9</v>
      </c>
      <c r="V261" s="146" t="s">
        <v>1377</v>
      </c>
      <c r="W261" s="195">
        <v>2720</v>
      </c>
      <c r="X261" s="146">
        <v>3100</v>
      </c>
      <c r="Y261" s="146">
        <v>3440</v>
      </c>
    </row>
    <row r="262" spans="1:25" x14ac:dyDescent="0.2">
      <c r="A262" s="195" t="s">
        <v>1379</v>
      </c>
      <c r="C262" s="195">
        <v>46</v>
      </c>
      <c r="D262" s="195" t="s">
        <v>1318</v>
      </c>
      <c r="E262" s="146">
        <v>60</v>
      </c>
      <c r="F262" s="146" t="s">
        <v>90</v>
      </c>
      <c r="G262" s="195" t="s">
        <v>1328</v>
      </c>
      <c r="H262" s="146">
        <v>-4311</v>
      </c>
      <c r="I262" s="195" t="s">
        <v>1329</v>
      </c>
      <c r="J262" s="277">
        <v>1</v>
      </c>
      <c r="K262" s="146">
        <v>5</v>
      </c>
      <c r="L262" s="146">
        <v>785</v>
      </c>
      <c r="M262" s="146" t="s">
        <v>1220</v>
      </c>
      <c r="N262" s="146">
        <v>20</v>
      </c>
      <c r="O262" s="195" t="s">
        <v>1136</v>
      </c>
      <c r="P262" s="146">
        <v>-22037</v>
      </c>
      <c r="Q262" s="146">
        <v>-22037</v>
      </c>
      <c r="R262" s="146">
        <v>-8220</v>
      </c>
      <c r="S262" s="146">
        <v>-8260</v>
      </c>
      <c r="T262" s="146">
        <v>5</v>
      </c>
      <c r="U262" s="146">
        <v>9</v>
      </c>
      <c r="V262" s="146" t="s">
        <v>1380</v>
      </c>
      <c r="W262" s="195">
        <v>1950</v>
      </c>
      <c r="X262" s="146">
        <v>2400</v>
      </c>
      <c r="Y262" s="146">
        <v>2810</v>
      </c>
    </row>
    <row r="263" spans="1:25" x14ac:dyDescent="0.2">
      <c r="A263" s="195" t="s">
        <v>1381</v>
      </c>
      <c r="C263" s="195">
        <v>46</v>
      </c>
      <c r="D263" s="195" t="s">
        <v>1318</v>
      </c>
      <c r="E263" s="146">
        <v>60</v>
      </c>
      <c r="F263" s="146" t="s">
        <v>90</v>
      </c>
      <c r="G263" s="195" t="s">
        <v>1328</v>
      </c>
      <c r="H263" s="146">
        <v>-4311</v>
      </c>
      <c r="I263" s="195" t="s">
        <v>1329</v>
      </c>
      <c r="J263" s="277">
        <v>1</v>
      </c>
      <c r="K263" s="146">
        <v>5</v>
      </c>
      <c r="L263" s="146">
        <v>785</v>
      </c>
      <c r="M263" s="146" t="s">
        <v>1220</v>
      </c>
      <c r="N263" s="146">
        <v>20</v>
      </c>
      <c r="O263" s="195" t="s">
        <v>1136</v>
      </c>
      <c r="P263" s="146">
        <v>-22027</v>
      </c>
      <c r="Q263" s="146">
        <v>-22027</v>
      </c>
      <c r="R263" s="146">
        <v>-8220</v>
      </c>
      <c r="S263" s="146">
        <v>-8260</v>
      </c>
      <c r="T263" s="146">
        <v>5</v>
      </c>
      <c r="U263" s="146">
        <v>9</v>
      </c>
      <c r="V263" s="146" t="s">
        <v>1380</v>
      </c>
      <c r="W263" s="195">
        <v>2720</v>
      </c>
      <c r="X263" s="146">
        <v>3100</v>
      </c>
      <c r="Y263" s="146">
        <v>3440</v>
      </c>
    </row>
    <row r="264" spans="1:25" x14ac:dyDescent="0.2">
      <c r="A264" s="195" t="s">
        <v>1382</v>
      </c>
      <c r="C264" s="195">
        <v>46</v>
      </c>
      <c r="D264" s="195" t="s">
        <v>1318</v>
      </c>
      <c r="E264" s="146">
        <v>60</v>
      </c>
      <c r="F264" s="146" t="s">
        <v>90</v>
      </c>
      <c r="G264" s="195" t="s">
        <v>1328</v>
      </c>
      <c r="H264" s="146">
        <v>-4311</v>
      </c>
      <c r="I264" s="195" t="s">
        <v>1329</v>
      </c>
      <c r="J264" s="277">
        <v>1</v>
      </c>
      <c r="K264" s="146">
        <v>8</v>
      </c>
      <c r="L264" s="146">
        <v>785</v>
      </c>
      <c r="M264" s="146" t="s">
        <v>1220</v>
      </c>
      <c r="N264" s="146">
        <v>20</v>
      </c>
      <c r="O264" s="195" t="s">
        <v>1136</v>
      </c>
      <c r="P264" s="146">
        <v>-22017</v>
      </c>
      <c r="Q264" s="146">
        <v>-22017</v>
      </c>
      <c r="R264" s="146">
        <v>-8220</v>
      </c>
      <c r="S264" s="146">
        <v>-8260</v>
      </c>
      <c r="T264" s="146">
        <v>5</v>
      </c>
      <c r="U264" s="146">
        <v>9</v>
      </c>
      <c r="V264" s="146" t="s">
        <v>1340</v>
      </c>
      <c r="W264" s="195">
        <v>1950</v>
      </c>
      <c r="X264" s="146">
        <v>2400</v>
      </c>
      <c r="Y264" s="146">
        <v>2810</v>
      </c>
    </row>
    <row r="265" spans="1:25" x14ac:dyDescent="0.2">
      <c r="A265" s="195" t="s">
        <v>1383</v>
      </c>
      <c r="C265" s="195">
        <v>46</v>
      </c>
      <c r="D265" s="195" t="s">
        <v>1318</v>
      </c>
      <c r="E265" s="146">
        <v>60</v>
      </c>
      <c r="F265" s="146" t="s">
        <v>90</v>
      </c>
      <c r="G265" s="195" t="s">
        <v>1328</v>
      </c>
      <c r="H265" s="146">
        <v>-4311</v>
      </c>
      <c r="I265" s="195" t="s">
        <v>1329</v>
      </c>
      <c r="J265" s="277">
        <v>1</v>
      </c>
      <c r="K265" s="146">
        <v>8</v>
      </c>
      <c r="L265" s="146">
        <v>785</v>
      </c>
      <c r="M265" s="146" t="s">
        <v>1220</v>
      </c>
      <c r="N265" s="146">
        <v>20</v>
      </c>
      <c r="O265" s="195" t="s">
        <v>1136</v>
      </c>
      <c r="P265" s="146">
        <v>-22007</v>
      </c>
      <c r="Q265" s="146">
        <v>-22007</v>
      </c>
      <c r="R265" s="146">
        <v>-8220</v>
      </c>
      <c r="S265" s="146">
        <v>-8260</v>
      </c>
      <c r="T265" s="146">
        <v>5</v>
      </c>
      <c r="U265" s="146">
        <v>9</v>
      </c>
      <c r="V265" s="146" t="s">
        <v>1340</v>
      </c>
      <c r="W265" s="195">
        <v>2720</v>
      </c>
      <c r="X265" s="146">
        <v>3100</v>
      </c>
      <c r="Y265" s="146">
        <v>3440</v>
      </c>
    </row>
    <row r="266" spans="1:25" x14ac:dyDescent="0.2">
      <c r="A266" s="195" t="s">
        <v>1384</v>
      </c>
      <c r="C266" s="195">
        <v>46</v>
      </c>
      <c r="D266" s="195" t="s">
        <v>1318</v>
      </c>
      <c r="E266" s="146">
        <v>60</v>
      </c>
      <c r="F266" s="146" t="s">
        <v>90</v>
      </c>
      <c r="G266" s="195" t="s">
        <v>1328</v>
      </c>
      <c r="H266" s="146">
        <v>-4311</v>
      </c>
      <c r="I266" s="195" t="s">
        <v>1329</v>
      </c>
      <c r="J266" s="277">
        <v>1</v>
      </c>
      <c r="K266" s="146">
        <v>10</v>
      </c>
      <c r="L266" s="146">
        <v>785</v>
      </c>
      <c r="M266" s="146" t="s">
        <v>1220</v>
      </c>
      <c r="N266" s="146">
        <v>20</v>
      </c>
      <c r="O266" s="195" t="s">
        <v>1136</v>
      </c>
      <c r="P266" s="146">
        <v>-21997</v>
      </c>
      <c r="Q266" s="146">
        <v>-21997</v>
      </c>
      <c r="R266" s="146">
        <v>-8220</v>
      </c>
      <c r="S266" s="146">
        <v>-8260</v>
      </c>
      <c r="T266" s="146">
        <v>5</v>
      </c>
      <c r="U266" s="146">
        <v>9</v>
      </c>
      <c r="V266" s="146" t="s">
        <v>1344</v>
      </c>
      <c r="W266" s="195">
        <v>1950</v>
      </c>
      <c r="X266" s="146">
        <v>2400</v>
      </c>
      <c r="Y266" s="146">
        <v>2810</v>
      </c>
    </row>
    <row r="267" spans="1:25" x14ac:dyDescent="0.2">
      <c r="A267" s="195" t="s">
        <v>1385</v>
      </c>
      <c r="C267" s="195">
        <v>46</v>
      </c>
      <c r="D267" s="195" t="s">
        <v>1318</v>
      </c>
      <c r="E267" s="146">
        <v>60</v>
      </c>
      <c r="F267" s="146" t="s">
        <v>90</v>
      </c>
      <c r="G267" s="195" t="s">
        <v>1328</v>
      </c>
      <c r="H267" s="146">
        <v>-4311</v>
      </c>
      <c r="I267" s="195" t="s">
        <v>1329</v>
      </c>
      <c r="J267" s="277">
        <v>1</v>
      </c>
      <c r="K267" s="146">
        <v>10</v>
      </c>
      <c r="L267" s="146">
        <v>785</v>
      </c>
      <c r="M267" s="146" t="s">
        <v>1220</v>
      </c>
      <c r="N267" s="146">
        <v>20</v>
      </c>
      <c r="O267" s="195" t="s">
        <v>1136</v>
      </c>
      <c r="P267" s="146">
        <v>-21987</v>
      </c>
      <c r="Q267" s="146">
        <v>-21987</v>
      </c>
      <c r="R267" s="146">
        <v>-8220</v>
      </c>
      <c r="S267" s="146">
        <v>-8260</v>
      </c>
      <c r="T267" s="146">
        <v>5</v>
      </c>
      <c r="U267" s="146">
        <v>9</v>
      </c>
      <c r="V267" s="146" t="s">
        <v>1344</v>
      </c>
      <c r="W267" s="195">
        <v>2720</v>
      </c>
      <c r="X267" s="146">
        <v>3100</v>
      </c>
      <c r="Y267" s="146">
        <v>3440</v>
      </c>
    </row>
    <row r="268" spans="1:25" x14ac:dyDescent="0.2">
      <c r="A268" s="195" t="s">
        <v>1386</v>
      </c>
      <c r="C268" s="195">
        <v>46</v>
      </c>
      <c r="D268" s="195" t="s">
        <v>1318</v>
      </c>
      <c r="E268" s="146">
        <v>60</v>
      </c>
      <c r="F268" s="146" t="s">
        <v>90</v>
      </c>
      <c r="G268" s="195" t="s">
        <v>1328</v>
      </c>
      <c r="H268" s="146">
        <v>-4311</v>
      </c>
      <c r="I268" s="195" t="s">
        <v>1329</v>
      </c>
      <c r="J268" s="277">
        <v>1</v>
      </c>
      <c r="K268" s="146">
        <v>15</v>
      </c>
      <c r="L268" s="146">
        <v>785</v>
      </c>
      <c r="M268" s="146" t="s">
        <v>1220</v>
      </c>
      <c r="N268" s="146">
        <v>20</v>
      </c>
      <c r="O268" s="195" t="s">
        <v>1136</v>
      </c>
      <c r="P268" s="146">
        <v>-21977</v>
      </c>
      <c r="Q268" s="146">
        <v>-21977</v>
      </c>
      <c r="R268" s="146">
        <v>-8220</v>
      </c>
      <c r="S268" s="146">
        <v>-8260</v>
      </c>
      <c r="T268" s="146">
        <v>5</v>
      </c>
      <c r="U268" s="146">
        <v>9</v>
      </c>
      <c r="V268" s="146" t="s">
        <v>1387</v>
      </c>
      <c r="W268" s="195">
        <v>1950</v>
      </c>
      <c r="X268" s="146">
        <v>2400</v>
      </c>
      <c r="Y268" s="146">
        <v>2810</v>
      </c>
    </row>
    <row r="269" spans="1:25" x14ac:dyDescent="0.2">
      <c r="A269" s="195" t="s">
        <v>1388</v>
      </c>
      <c r="C269" s="195">
        <v>46</v>
      </c>
      <c r="D269" s="195" t="s">
        <v>1318</v>
      </c>
      <c r="E269" s="146">
        <v>60</v>
      </c>
      <c r="F269" s="146" t="s">
        <v>90</v>
      </c>
      <c r="G269" s="195" t="s">
        <v>1328</v>
      </c>
      <c r="H269" s="146">
        <v>-4311</v>
      </c>
      <c r="I269" s="195" t="s">
        <v>1329</v>
      </c>
      <c r="J269" s="277">
        <v>1</v>
      </c>
      <c r="K269" s="146">
        <v>15</v>
      </c>
      <c r="L269" s="146">
        <v>785</v>
      </c>
      <c r="M269" s="146" t="s">
        <v>1220</v>
      </c>
      <c r="N269" s="146">
        <v>20</v>
      </c>
      <c r="O269" s="195" t="s">
        <v>1136</v>
      </c>
      <c r="P269" s="146">
        <v>-21967</v>
      </c>
      <c r="Q269" s="146">
        <v>-21967</v>
      </c>
      <c r="R269" s="146">
        <v>-8220</v>
      </c>
      <c r="S269" s="146">
        <v>-8260</v>
      </c>
      <c r="T269" s="146">
        <v>5</v>
      </c>
      <c r="U269" s="146">
        <v>9</v>
      </c>
      <c r="V269" s="146" t="s">
        <v>1387</v>
      </c>
      <c r="W269" s="195">
        <v>2720</v>
      </c>
      <c r="X269" s="146">
        <v>3100</v>
      </c>
      <c r="Y269" s="146">
        <v>3440</v>
      </c>
    </row>
    <row r="270" spans="1:25" x14ac:dyDescent="0.2">
      <c r="A270" s="195" t="s">
        <v>1389</v>
      </c>
      <c r="C270" s="195">
        <v>46</v>
      </c>
      <c r="D270" s="195" t="s">
        <v>1318</v>
      </c>
      <c r="E270" s="146">
        <v>60</v>
      </c>
      <c r="F270" s="146" t="s">
        <v>90</v>
      </c>
      <c r="G270" s="195" t="s">
        <v>1328</v>
      </c>
      <c r="H270" s="146">
        <v>-4311</v>
      </c>
      <c r="I270" s="195" t="s">
        <v>1329</v>
      </c>
      <c r="J270" s="277">
        <v>1</v>
      </c>
      <c r="K270" s="146">
        <v>20</v>
      </c>
      <c r="L270" s="146">
        <v>785</v>
      </c>
      <c r="M270" s="146" t="s">
        <v>1220</v>
      </c>
      <c r="N270" s="146">
        <v>20</v>
      </c>
      <c r="O270" s="195" t="s">
        <v>1136</v>
      </c>
      <c r="P270" s="146">
        <v>-21957</v>
      </c>
      <c r="Q270" s="146">
        <v>-21957</v>
      </c>
      <c r="R270" s="146">
        <v>-8220</v>
      </c>
      <c r="S270" s="146">
        <v>-8260</v>
      </c>
      <c r="T270" s="146">
        <v>5</v>
      </c>
      <c r="U270" s="146">
        <v>9</v>
      </c>
      <c r="V270" s="146" t="s">
        <v>1390</v>
      </c>
      <c r="W270" s="195">
        <v>1950</v>
      </c>
      <c r="X270" s="146">
        <v>2400</v>
      </c>
      <c r="Y270" s="146">
        <v>2810</v>
      </c>
    </row>
    <row r="271" spans="1:25" x14ac:dyDescent="0.2">
      <c r="A271" s="195" t="s">
        <v>1391</v>
      </c>
      <c r="C271" s="195">
        <v>46</v>
      </c>
      <c r="D271" s="195" t="s">
        <v>1318</v>
      </c>
      <c r="E271" s="146">
        <v>60</v>
      </c>
      <c r="F271" s="146" t="s">
        <v>90</v>
      </c>
      <c r="G271" s="195" t="s">
        <v>1328</v>
      </c>
      <c r="H271" s="146">
        <v>-4311</v>
      </c>
      <c r="I271" s="195" t="s">
        <v>1329</v>
      </c>
      <c r="J271" s="277">
        <v>1</v>
      </c>
      <c r="K271" s="146">
        <v>20</v>
      </c>
      <c r="L271" s="146">
        <v>785</v>
      </c>
      <c r="M271" s="146" t="s">
        <v>1220</v>
      </c>
      <c r="N271" s="146">
        <v>20</v>
      </c>
      <c r="O271" s="195" t="s">
        <v>1136</v>
      </c>
      <c r="P271" s="146">
        <v>-21947</v>
      </c>
      <c r="Q271" s="146">
        <v>-21947</v>
      </c>
      <c r="R271" s="146">
        <v>-8220</v>
      </c>
      <c r="S271" s="146">
        <v>-8260</v>
      </c>
      <c r="T271" s="146">
        <v>5</v>
      </c>
      <c r="U271" s="146">
        <v>9</v>
      </c>
      <c r="V271" s="146" t="s">
        <v>1390</v>
      </c>
      <c r="W271" s="195">
        <v>2720</v>
      </c>
      <c r="X271" s="146">
        <v>3100</v>
      </c>
      <c r="Y271" s="146">
        <v>3440</v>
      </c>
    </row>
    <row r="272" spans="1:25" x14ac:dyDescent="0.2">
      <c r="A272" s="195" t="s">
        <v>1392</v>
      </c>
      <c r="C272" s="195">
        <v>46</v>
      </c>
      <c r="D272" s="195" t="s">
        <v>1318</v>
      </c>
      <c r="E272" s="146">
        <v>60</v>
      </c>
      <c r="F272" s="146" t="s">
        <v>90</v>
      </c>
      <c r="G272" s="195" t="s">
        <v>1328</v>
      </c>
      <c r="H272" s="146">
        <v>-4311</v>
      </c>
      <c r="I272" s="195" t="s">
        <v>1329</v>
      </c>
      <c r="J272" s="277">
        <v>1</v>
      </c>
      <c r="K272" s="146">
        <v>30</v>
      </c>
      <c r="L272" s="146">
        <v>785</v>
      </c>
      <c r="M272" s="146" t="s">
        <v>1220</v>
      </c>
      <c r="N272" s="146">
        <v>20</v>
      </c>
      <c r="O272" s="195" t="s">
        <v>1136</v>
      </c>
      <c r="P272" s="146">
        <v>-21937</v>
      </c>
      <c r="Q272" s="146">
        <v>-21937</v>
      </c>
      <c r="R272" s="146">
        <v>-8220</v>
      </c>
      <c r="S272" s="146">
        <v>-8260</v>
      </c>
      <c r="T272" s="146">
        <v>5</v>
      </c>
      <c r="U272" s="146">
        <v>9</v>
      </c>
      <c r="V272" s="146" t="s">
        <v>1393</v>
      </c>
      <c r="W272" s="195">
        <v>1950</v>
      </c>
      <c r="X272" s="146">
        <v>2400</v>
      </c>
      <c r="Y272" s="146">
        <v>2810</v>
      </c>
    </row>
    <row r="273" spans="1:33" s="151" customFormat="1" x14ac:dyDescent="0.2">
      <c r="A273" s="227" t="s">
        <v>1394</v>
      </c>
      <c r="C273" s="227">
        <v>46</v>
      </c>
      <c r="D273" s="227" t="s">
        <v>1318</v>
      </c>
      <c r="E273" s="151">
        <v>60</v>
      </c>
      <c r="F273" s="151" t="s">
        <v>90</v>
      </c>
      <c r="G273" s="227" t="s">
        <v>1328</v>
      </c>
      <c r="H273" s="151">
        <v>-4311</v>
      </c>
      <c r="I273" s="227" t="s">
        <v>1329</v>
      </c>
      <c r="J273" s="268">
        <v>1</v>
      </c>
      <c r="K273" s="151">
        <v>30</v>
      </c>
      <c r="L273" s="151">
        <v>785</v>
      </c>
      <c r="M273" s="151" t="s">
        <v>1220</v>
      </c>
      <c r="N273" s="151">
        <v>20</v>
      </c>
      <c r="O273" s="227" t="s">
        <v>1136</v>
      </c>
      <c r="P273" s="151">
        <v>-21927</v>
      </c>
      <c r="Q273" s="151">
        <v>-21927</v>
      </c>
      <c r="R273" s="151">
        <v>-8220</v>
      </c>
      <c r="S273" s="151">
        <v>-8260</v>
      </c>
      <c r="T273" s="151">
        <v>5</v>
      </c>
      <c r="U273" s="151">
        <v>9</v>
      </c>
      <c r="V273" s="151" t="s">
        <v>1393</v>
      </c>
      <c r="W273" s="227">
        <v>2720</v>
      </c>
      <c r="X273" s="151">
        <v>3100</v>
      </c>
      <c r="Y273" s="151">
        <v>3440</v>
      </c>
      <c r="Z273" s="346"/>
      <c r="AA273" s="257"/>
      <c r="AB273" s="227"/>
      <c r="AD273" s="273"/>
      <c r="AG273" s="273"/>
    </row>
    <row r="274" spans="1:33" x14ac:dyDescent="0.2">
      <c r="A274" s="195" t="s">
        <v>1395</v>
      </c>
      <c r="C274" s="195" t="s">
        <v>1396</v>
      </c>
      <c r="D274" s="195" t="s">
        <v>1396</v>
      </c>
      <c r="E274" s="146" t="s">
        <v>1397</v>
      </c>
      <c r="F274" s="146" t="s">
        <v>1398</v>
      </c>
      <c r="H274" s="146">
        <v>114</v>
      </c>
      <c r="I274" s="195" t="s">
        <v>1329</v>
      </c>
      <c r="J274" s="277">
        <v>1</v>
      </c>
      <c r="K274" s="146">
        <v>10</v>
      </c>
      <c r="L274" s="146">
        <v>785</v>
      </c>
      <c r="M274" s="146" t="s">
        <v>1220</v>
      </c>
      <c r="N274" s="146">
        <v>50</v>
      </c>
      <c r="O274" s="195" t="s">
        <v>1136</v>
      </c>
      <c r="P274" s="146">
        <v>-6764</v>
      </c>
      <c r="Q274" s="146">
        <v>-6751</v>
      </c>
      <c r="R274" s="146">
        <v>-25812</v>
      </c>
      <c r="S274" s="146">
        <v>-24949</v>
      </c>
      <c r="T274" s="146">
        <v>20</v>
      </c>
      <c r="U274" s="146">
        <v>58</v>
      </c>
      <c r="V274" s="146" t="s">
        <v>1399</v>
      </c>
      <c r="W274" s="195">
        <v>1065</v>
      </c>
      <c r="X274" s="146">
        <v>1600</v>
      </c>
      <c r="Y274" s="146">
        <v>2085</v>
      </c>
      <c r="Z274" s="344" t="s">
        <v>1400</v>
      </c>
    </row>
    <row r="275" spans="1:33" x14ac:dyDescent="0.2">
      <c r="A275" s="195" t="s">
        <v>1395</v>
      </c>
      <c r="C275" s="195" t="s">
        <v>1396</v>
      </c>
      <c r="D275" s="195" t="s">
        <v>1396</v>
      </c>
      <c r="E275" s="146" t="s">
        <v>1397</v>
      </c>
      <c r="F275" s="146" t="s">
        <v>1398</v>
      </c>
      <c r="H275" s="146">
        <v>114</v>
      </c>
      <c r="I275" s="195" t="s">
        <v>1329</v>
      </c>
      <c r="J275" s="277">
        <v>1</v>
      </c>
      <c r="K275" s="146">
        <v>10</v>
      </c>
      <c r="L275" s="146">
        <v>785</v>
      </c>
      <c r="M275" s="146" t="s">
        <v>1220</v>
      </c>
      <c r="N275" s="146">
        <v>50</v>
      </c>
      <c r="O275" s="195" t="s">
        <v>1136</v>
      </c>
      <c r="P275" s="146">
        <v>-6243</v>
      </c>
      <c r="Q275" s="146">
        <v>-6262</v>
      </c>
      <c r="R275" s="146">
        <v>-25759</v>
      </c>
      <c r="S275" s="146">
        <v>-24927</v>
      </c>
      <c r="T275" s="146">
        <v>20</v>
      </c>
      <c r="U275" s="146">
        <v>44</v>
      </c>
      <c r="V275" s="146" t="s">
        <v>1399</v>
      </c>
      <c r="W275" s="195">
        <v>1065</v>
      </c>
      <c r="X275" s="146">
        <v>1600</v>
      </c>
      <c r="Y275" s="146">
        <v>2085</v>
      </c>
      <c r="Z275" s="344" t="s">
        <v>1401</v>
      </c>
    </row>
    <row r="276" spans="1:33" x14ac:dyDescent="0.2">
      <c r="A276" s="195" t="s">
        <v>1395</v>
      </c>
      <c r="C276" s="195" t="s">
        <v>1396</v>
      </c>
      <c r="D276" s="195" t="s">
        <v>1396</v>
      </c>
      <c r="E276" s="146" t="s">
        <v>1397</v>
      </c>
      <c r="F276" s="146" t="s">
        <v>1402</v>
      </c>
      <c r="H276" s="146">
        <v>-1110</v>
      </c>
      <c r="I276" s="195" t="s">
        <v>1329</v>
      </c>
      <c r="J276" s="277">
        <v>1</v>
      </c>
      <c r="K276" s="146">
        <v>10</v>
      </c>
      <c r="L276" s="146">
        <v>785</v>
      </c>
      <c r="M276" s="146" t="s">
        <v>1220</v>
      </c>
      <c r="N276" s="146">
        <v>50</v>
      </c>
      <c r="O276" s="195" t="s">
        <v>1136</v>
      </c>
      <c r="P276" s="146">
        <v>-7278</v>
      </c>
      <c r="Q276" s="146">
        <v>-7120</v>
      </c>
      <c r="R276" s="146">
        <v>-24264</v>
      </c>
      <c r="S276" s="146">
        <v>-23985</v>
      </c>
      <c r="T276" s="146">
        <v>20</v>
      </c>
      <c r="U276" s="146">
        <v>17</v>
      </c>
      <c r="W276" s="195">
        <v>1065</v>
      </c>
      <c r="X276" s="146">
        <v>1600</v>
      </c>
      <c r="Y276" s="146">
        <v>2085</v>
      </c>
      <c r="Z276" s="344" t="s">
        <v>1403</v>
      </c>
    </row>
    <row r="277" spans="1:33" x14ac:dyDescent="0.2">
      <c r="A277" s="195" t="s">
        <v>1395</v>
      </c>
      <c r="C277" s="195" t="s">
        <v>1396</v>
      </c>
      <c r="D277" s="195" t="s">
        <v>1396</v>
      </c>
      <c r="E277" s="146" t="s">
        <v>1397</v>
      </c>
      <c r="F277" s="146" t="s">
        <v>1402</v>
      </c>
      <c r="H277" s="146">
        <v>-1110</v>
      </c>
      <c r="I277" s="195" t="s">
        <v>1329</v>
      </c>
      <c r="J277" s="277">
        <v>1</v>
      </c>
      <c r="K277" s="146">
        <v>10</v>
      </c>
      <c r="L277" s="146">
        <v>785</v>
      </c>
      <c r="M277" s="146" t="s">
        <v>1220</v>
      </c>
      <c r="N277" s="146">
        <v>50</v>
      </c>
      <c r="O277" s="195" t="s">
        <v>1404</v>
      </c>
      <c r="R277" s="146">
        <v>-920</v>
      </c>
      <c r="S277" s="146">
        <v>-1350</v>
      </c>
      <c r="T277" s="146">
        <v>10</v>
      </c>
      <c r="V277" s="146" t="s">
        <v>1399</v>
      </c>
      <c r="W277" s="195">
        <v>1065</v>
      </c>
      <c r="X277" s="146">
        <v>1600</v>
      </c>
      <c r="Y277" s="146">
        <v>2085</v>
      </c>
      <c r="Z277" s="344" t="s">
        <v>1405</v>
      </c>
    </row>
    <row r="278" spans="1:33" x14ac:dyDescent="0.2">
      <c r="A278" s="195" t="s">
        <v>1395</v>
      </c>
      <c r="C278" s="195" t="s">
        <v>1396</v>
      </c>
      <c r="D278" s="195" t="s">
        <v>1396</v>
      </c>
      <c r="E278" s="146" t="s">
        <v>1397</v>
      </c>
      <c r="F278" s="146" t="s">
        <v>1398</v>
      </c>
      <c r="H278" s="146">
        <v>-1232</v>
      </c>
      <c r="I278" s="195" t="s">
        <v>1329</v>
      </c>
      <c r="J278" s="277">
        <v>1</v>
      </c>
      <c r="K278" s="146">
        <v>10</v>
      </c>
      <c r="L278" s="146">
        <v>785</v>
      </c>
      <c r="M278" s="146" t="s">
        <v>1220</v>
      </c>
      <c r="N278" s="146">
        <v>50</v>
      </c>
      <c r="O278" s="195" t="s">
        <v>1404</v>
      </c>
      <c r="R278" s="146">
        <v>-928</v>
      </c>
      <c r="S278" s="146">
        <v>-1624</v>
      </c>
      <c r="T278" s="146">
        <v>12</v>
      </c>
      <c r="U278" s="146">
        <v>59</v>
      </c>
      <c r="V278" s="146" t="s">
        <v>1252</v>
      </c>
      <c r="W278" s="195">
        <v>1065</v>
      </c>
      <c r="X278" s="146">
        <v>1600</v>
      </c>
      <c r="Y278" s="146">
        <v>2085</v>
      </c>
      <c r="Z278" s="344" t="s">
        <v>1406</v>
      </c>
    </row>
    <row r="279" spans="1:33" x14ac:dyDescent="0.2">
      <c r="A279" s="195" t="s">
        <v>1395</v>
      </c>
      <c r="F279" s="146" t="s">
        <v>1407</v>
      </c>
      <c r="H279" s="146">
        <v>-832</v>
      </c>
      <c r="I279" s="195" t="s">
        <v>1329</v>
      </c>
      <c r="J279" s="277">
        <v>1</v>
      </c>
      <c r="K279" s="146">
        <v>10</v>
      </c>
      <c r="L279" s="146">
        <v>785</v>
      </c>
      <c r="M279" s="146" t="s">
        <v>1220</v>
      </c>
      <c r="N279" s="146">
        <v>50</v>
      </c>
      <c r="O279" s="195" t="s">
        <v>1404</v>
      </c>
      <c r="R279" s="146">
        <f>H279+350</f>
        <v>-482</v>
      </c>
      <c r="S279" s="146">
        <f>H279-350</f>
        <v>-1182</v>
      </c>
      <c r="T279" s="146">
        <v>12</v>
      </c>
      <c r="U279" s="146">
        <v>60</v>
      </c>
      <c r="V279" s="146" t="s">
        <v>1260</v>
      </c>
      <c r="W279" s="195">
        <v>1065</v>
      </c>
      <c r="X279" s="146">
        <v>1600</v>
      </c>
      <c r="Y279" s="146">
        <v>2085</v>
      </c>
      <c r="Z279" s="344" t="s">
        <v>1408</v>
      </c>
    </row>
    <row r="280" spans="1:33" x14ac:dyDescent="0.2">
      <c r="A280" s="195" t="s">
        <v>1395</v>
      </c>
      <c r="F280" s="146" t="s">
        <v>1409</v>
      </c>
      <c r="H280" s="146">
        <v>-832</v>
      </c>
      <c r="I280" s="195" t="s">
        <v>1329</v>
      </c>
      <c r="J280" s="277">
        <v>1</v>
      </c>
      <c r="K280" s="146">
        <v>10</v>
      </c>
      <c r="L280" s="146">
        <v>785</v>
      </c>
      <c r="M280" s="146" t="s">
        <v>1220</v>
      </c>
      <c r="N280" s="146">
        <v>50</v>
      </c>
      <c r="O280" s="195" t="s">
        <v>1404</v>
      </c>
      <c r="R280" s="146">
        <f>H280+350</f>
        <v>-482</v>
      </c>
      <c r="S280" s="146">
        <f>H280-350</f>
        <v>-1182</v>
      </c>
      <c r="T280" s="146">
        <v>12</v>
      </c>
      <c r="U280" s="146">
        <v>60</v>
      </c>
      <c r="V280" s="146" t="s">
        <v>1260</v>
      </c>
      <c r="W280" s="195">
        <v>1065</v>
      </c>
      <c r="X280" s="146">
        <v>1600</v>
      </c>
      <c r="Y280" s="146">
        <v>2085</v>
      </c>
      <c r="Z280" s="344" t="s">
        <v>1410</v>
      </c>
    </row>
    <row r="281" spans="1:33" x14ac:dyDescent="0.2">
      <c r="A281" s="195" t="s">
        <v>1395</v>
      </c>
      <c r="F281" s="146" t="s">
        <v>1411</v>
      </c>
      <c r="H281" s="146">
        <v>-832</v>
      </c>
      <c r="I281" s="195" t="s">
        <v>1329</v>
      </c>
      <c r="J281" s="277">
        <v>1</v>
      </c>
      <c r="K281" s="146">
        <v>10</v>
      </c>
      <c r="L281" s="146">
        <v>785</v>
      </c>
      <c r="M281" s="146" t="s">
        <v>1220</v>
      </c>
      <c r="N281" s="146">
        <v>50</v>
      </c>
      <c r="O281" s="195" t="s">
        <v>1404</v>
      </c>
      <c r="R281" s="146">
        <v>-482</v>
      </c>
      <c r="S281" s="146">
        <v>-1182</v>
      </c>
      <c r="T281" s="146">
        <v>20</v>
      </c>
      <c r="U281" s="146">
        <v>36</v>
      </c>
      <c r="V281" s="146" t="s">
        <v>1412</v>
      </c>
      <c r="W281" s="195">
        <v>1065</v>
      </c>
      <c r="X281" s="146">
        <v>1600</v>
      </c>
      <c r="Y281" s="146">
        <v>2085</v>
      </c>
      <c r="Z281" s="344" t="s">
        <v>1413</v>
      </c>
    </row>
    <row r="282" spans="1:33" s="151" customFormat="1" x14ac:dyDescent="0.2">
      <c r="A282" s="227" t="s">
        <v>1395</v>
      </c>
      <c r="C282" s="227"/>
      <c r="D282" s="227"/>
      <c r="F282" s="151" t="s">
        <v>1414</v>
      </c>
      <c r="G282" s="227"/>
      <c r="H282" s="151">
        <v>-482</v>
      </c>
      <c r="I282" s="227" t="s">
        <v>1329</v>
      </c>
      <c r="J282" s="268">
        <v>1</v>
      </c>
      <c r="K282" s="151">
        <v>10</v>
      </c>
      <c r="L282" s="151">
        <v>785</v>
      </c>
      <c r="M282" s="151" t="s">
        <v>1220</v>
      </c>
      <c r="N282" s="151">
        <v>50</v>
      </c>
      <c r="O282" s="227" t="s">
        <v>1404</v>
      </c>
      <c r="R282" s="151">
        <f>H282+350</f>
        <v>-132</v>
      </c>
      <c r="S282" s="151">
        <f>H282-350</f>
        <v>-832</v>
      </c>
      <c r="T282" s="151">
        <v>18</v>
      </c>
      <c r="U282" s="151">
        <v>40</v>
      </c>
      <c r="V282" s="151" t="s">
        <v>1415</v>
      </c>
      <c r="W282" s="227">
        <v>1065</v>
      </c>
      <c r="X282" s="151">
        <v>1600</v>
      </c>
      <c r="Y282" s="151">
        <v>2085</v>
      </c>
      <c r="Z282" s="346" t="s">
        <v>1416</v>
      </c>
      <c r="AA282" s="257"/>
      <c r="AB282" s="227"/>
      <c r="AD282" s="273"/>
      <c r="AG282" s="273"/>
    </row>
    <row r="283" spans="1:33" x14ac:dyDescent="0.2">
      <c r="A283" s="195" t="s">
        <v>1395</v>
      </c>
      <c r="C283" s="195" t="s">
        <v>1396</v>
      </c>
      <c r="D283" s="195" t="s">
        <v>1396</v>
      </c>
      <c r="E283" s="146" t="s">
        <v>1397</v>
      </c>
      <c r="F283" s="146" t="s">
        <v>1398</v>
      </c>
      <c r="H283" s="146">
        <v>-258</v>
      </c>
      <c r="I283" s="195" t="s">
        <v>1329</v>
      </c>
      <c r="J283" s="277">
        <v>1</v>
      </c>
      <c r="K283" s="146">
        <v>10</v>
      </c>
      <c r="L283" s="146">
        <v>633</v>
      </c>
      <c r="M283" s="146" t="s">
        <v>1220</v>
      </c>
      <c r="N283" s="146">
        <v>50</v>
      </c>
      <c r="O283" s="195" t="s">
        <v>1136</v>
      </c>
      <c r="P283" s="146">
        <v>-11800</v>
      </c>
      <c r="Q283" s="146">
        <v>-11787</v>
      </c>
      <c r="R283" s="146">
        <v>-28131</v>
      </c>
      <c r="S283" s="146">
        <v>-27312</v>
      </c>
      <c r="T283" s="146">
        <v>20</v>
      </c>
      <c r="U283" s="146">
        <v>41</v>
      </c>
      <c r="V283" s="146" t="s">
        <v>1399</v>
      </c>
      <c r="W283" s="195">
        <v>200</v>
      </c>
      <c r="X283" s="146">
        <v>1200</v>
      </c>
      <c r="Y283" s="146">
        <v>2044</v>
      </c>
      <c r="Z283" s="344" t="s">
        <v>1417</v>
      </c>
    </row>
    <row r="284" spans="1:33" x14ac:dyDescent="0.2">
      <c r="A284" s="195" t="s">
        <v>1395</v>
      </c>
      <c r="C284" s="195" t="s">
        <v>1396</v>
      </c>
      <c r="D284" s="195" t="s">
        <v>1396</v>
      </c>
      <c r="E284" s="146" t="s">
        <v>1397</v>
      </c>
      <c r="F284" s="146" t="s">
        <v>1398</v>
      </c>
      <c r="H284" s="146">
        <v>-258</v>
      </c>
      <c r="I284" s="195" t="s">
        <v>1329</v>
      </c>
      <c r="J284" s="277">
        <v>1</v>
      </c>
      <c r="K284" s="146">
        <v>10</v>
      </c>
      <c r="L284" s="146">
        <v>633</v>
      </c>
      <c r="M284" s="146" t="s">
        <v>1220</v>
      </c>
      <c r="N284" s="146">
        <v>50</v>
      </c>
      <c r="O284" s="195" t="s">
        <v>1404</v>
      </c>
      <c r="R284" s="146">
        <f>H284+350</f>
        <v>92</v>
      </c>
      <c r="S284" s="146">
        <f>H284-350</f>
        <v>-608</v>
      </c>
      <c r="T284" s="146">
        <v>14</v>
      </c>
      <c r="U284" s="146">
        <v>51</v>
      </c>
      <c r="V284" s="146" t="s">
        <v>1418</v>
      </c>
      <c r="W284" s="195">
        <v>200</v>
      </c>
      <c r="X284" s="146">
        <v>1200</v>
      </c>
      <c r="Y284" s="146">
        <v>2044</v>
      </c>
      <c r="Z284" s="344" t="s">
        <v>1419</v>
      </c>
    </row>
    <row r="285" spans="1:33" x14ac:dyDescent="0.2">
      <c r="A285" s="195" t="s">
        <v>1395</v>
      </c>
      <c r="C285" s="195" t="s">
        <v>1396</v>
      </c>
      <c r="D285" s="195" t="s">
        <v>1396</v>
      </c>
      <c r="E285" s="146" t="s">
        <v>1397</v>
      </c>
      <c r="F285" s="146" t="s">
        <v>1402</v>
      </c>
      <c r="H285" s="146">
        <v>164</v>
      </c>
      <c r="I285" s="195" t="s">
        <v>1329</v>
      </c>
      <c r="J285" s="277">
        <v>1</v>
      </c>
      <c r="K285" s="146">
        <v>10</v>
      </c>
      <c r="L285" s="146">
        <v>633</v>
      </c>
      <c r="M285" s="146" t="s">
        <v>1220</v>
      </c>
      <c r="N285" s="146">
        <v>50</v>
      </c>
      <c r="O285" s="195" t="s">
        <v>1136</v>
      </c>
      <c r="P285" s="146">
        <v>-6653</v>
      </c>
      <c r="Q285" s="146">
        <v>-6650</v>
      </c>
      <c r="R285" s="146">
        <v>-23175</v>
      </c>
      <c r="S285" s="146">
        <v>-22804</v>
      </c>
      <c r="T285" s="146">
        <v>20</v>
      </c>
      <c r="U285" s="146">
        <v>19</v>
      </c>
      <c r="W285" s="195">
        <v>200</v>
      </c>
      <c r="X285" s="146">
        <v>1200</v>
      </c>
      <c r="Y285" s="146">
        <v>2044</v>
      </c>
      <c r="Z285" s="344" t="s">
        <v>1420</v>
      </c>
    </row>
    <row r="286" spans="1:33" x14ac:dyDescent="0.2">
      <c r="A286" s="195" t="s">
        <v>1395</v>
      </c>
      <c r="C286" s="195" t="s">
        <v>1396</v>
      </c>
      <c r="D286" s="195" t="s">
        <v>1396</v>
      </c>
      <c r="E286" s="146" t="s">
        <v>1397</v>
      </c>
      <c r="F286" s="146" t="s">
        <v>1402</v>
      </c>
      <c r="H286" s="146">
        <v>164</v>
      </c>
      <c r="I286" s="195" t="s">
        <v>1329</v>
      </c>
      <c r="J286" s="277">
        <v>1</v>
      </c>
      <c r="K286" s="146">
        <v>10</v>
      </c>
      <c r="L286" s="146">
        <v>633</v>
      </c>
      <c r="M286" s="146" t="s">
        <v>1220</v>
      </c>
      <c r="N286" s="146">
        <v>50</v>
      </c>
      <c r="O286" s="195" t="s">
        <v>1404</v>
      </c>
      <c r="R286" s="146">
        <f>164+350</f>
        <v>514</v>
      </c>
      <c r="S286" s="146">
        <f>164-350</f>
        <v>-186</v>
      </c>
      <c r="T286" s="146">
        <v>14</v>
      </c>
      <c r="U286" s="146">
        <v>51</v>
      </c>
      <c r="W286" s="195">
        <v>200</v>
      </c>
      <c r="X286" s="146">
        <v>1200</v>
      </c>
      <c r="Y286" s="146">
        <v>2044</v>
      </c>
      <c r="Z286" s="344" t="s">
        <v>1421</v>
      </c>
    </row>
    <row r="287" spans="1:33" x14ac:dyDescent="0.2">
      <c r="A287" s="195" t="s">
        <v>1395</v>
      </c>
      <c r="F287" s="146" t="s">
        <v>1407</v>
      </c>
      <c r="H287" s="146">
        <v>306</v>
      </c>
      <c r="I287" s="195" t="s">
        <v>1329</v>
      </c>
      <c r="J287" s="277">
        <v>1</v>
      </c>
      <c r="K287" s="146">
        <v>10</v>
      </c>
      <c r="L287" s="146">
        <v>633</v>
      </c>
      <c r="M287" s="146" t="s">
        <v>1220</v>
      </c>
      <c r="N287" s="146">
        <v>50</v>
      </c>
      <c r="O287" s="195" t="s">
        <v>1404</v>
      </c>
      <c r="R287" s="146">
        <f>306-350</f>
        <v>-44</v>
      </c>
      <c r="S287" s="146">
        <v>646</v>
      </c>
      <c r="T287" s="146">
        <v>15</v>
      </c>
      <c r="U287" s="146">
        <v>47</v>
      </c>
      <c r="V287" s="146" t="s">
        <v>1422</v>
      </c>
      <c r="W287" s="195">
        <v>200</v>
      </c>
      <c r="X287" s="146">
        <v>1200</v>
      </c>
      <c r="Y287" s="146">
        <v>2044</v>
      </c>
      <c r="Z287" s="344" t="s">
        <v>1423</v>
      </c>
    </row>
    <row r="288" spans="1:33" x14ac:dyDescent="0.2">
      <c r="A288" s="195" t="s">
        <v>1395</v>
      </c>
      <c r="F288" s="146" t="s">
        <v>1409</v>
      </c>
      <c r="H288" s="146">
        <v>306</v>
      </c>
      <c r="I288" s="195" t="s">
        <v>1329</v>
      </c>
      <c r="J288" s="277">
        <v>1</v>
      </c>
      <c r="K288" s="146">
        <v>10</v>
      </c>
      <c r="L288" s="146">
        <v>633</v>
      </c>
      <c r="M288" s="146" t="s">
        <v>1220</v>
      </c>
      <c r="N288" s="146">
        <v>50</v>
      </c>
      <c r="O288" s="195" t="s">
        <v>1404</v>
      </c>
      <c r="R288" s="146">
        <f>306-350</f>
        <v>-44</v>
      </c>
      <c r="S288" s="146">
        <v>646</v>
      </c>
      <c r="T288" s="146">
        <v>15</v>
      </c>
      <c r="U288" s="146">
        <v>47</v>
      </c>
      <c r="V288" s="146" t="s">
        <v>1422</v>
      </c>
      <c r="W288" s="195">
        <v>200</v>
      </c>
      <c r="X288" s="146">
        <v>1200</v>
      </c>
      <c r="Y288" s="146">
        <v>2044</v>
      </c>
      <c r="Z288" s="344" t="s">
        <v>1424</v>
      </c>
    </row>
    <row r="289" spans="1:33" x14ac:dyDescent="0.2">
      <c r="A289" s="195" t="s">
        <v>1395</v>
      </c>
      <c r="F289" s="146" t="s">
        <v>1411</v>
      </c>
      <c r="H289" s="146">
        <v>306</v>
      </c>
      <c r="I289" s="195" t="s">
        <v>1329</v>
      </c>
      <c r="J289" s="277">
        <v>1</v>
      </c>
      <c r="K289" s="146">
        <v>10</v>
      </c>
      <c r="L289" s="146">
        <v>633</v>
      </c>
      <c r="M289" s="146" t="s">
        <v>1220</v>
      </c>
      <c r="N289" s="146">
        <v>50</v>
      </c>
      <c r="O289" s="195" t="s">
        <v>1404</v>
      </c>
      <c r="R289" s="146">
        <f>306-350</f>
        <v>-44</v>
      </c>
      <c r="S289" s="146">
        <v>646</v>
      </c>
      <c r="T289" s="146">
        <v>15</v>
      </c>
      <c r="U289" s="146">
        <v>47</v>
      </c>
      <c r="V289" s="146" t="s">
        <v>1422</v>
      </c>
      <c r="W289" s="195">
        <v>200</v>
      </c>
      <c r="X289" s="146">
        <v>1200</v>
      </c>
      <c r="Y289" s="146">
        <v>2044</v>
      </c>
      <c r="Z289" s="344" t="s">
        <v>1425</v>
      </c>
    </row>
    <row r="290" spans="1:33" s="151" customFormat="1" x14ac:dyDescent="0.2">
      <c r="A290" s="227" t="s">
        <v>1395</v>
      </c>
      <c r="C290" s="227"/>
      <c r="D290" s="227"/>
      <c r="F290" s="151" t="s">
        <v>1414</v>
      </c>
      <c r="G290" s="227"/>
      <c r="H290" s="151">
        <v>646</v>
      </c>
      <c r="I290" s="227" t="s">
        <v>1329</v>
      </c>
      <c r="J290" s="268">
        <v>1</v>
      </c>
      <c r="K290" s="151">
        <v>10</v>
      </c>
      <c r="L290" s="151">
        <v>633</v>
      </c>
      <c r="M290" s="151" t="s">
        <v>1220</v>
      </c>
      <c r="N290" s="151">
        <v>50</v>
      </c>
      <c r="O290" s="227" t="s">
        <v>1404</v>
      </c>
      <c r="R290" s="151">
        <f>646-350</f>
        <v>296</v>
      </c>
      <c r="S290" s="151">
        <f>646+350</f>
        <v>996</v>
      </c>
      <c r="T290" s="151">
        <v>15</v>
      </c>
      <c r="U290" s="151">
        <v>48</v>
      </c>
      <c r="V290" s="151" t="s">
        <v>1422</v>
      </c>
      <c r="W290" s="227">
        <v>200</v>
      </c>
      <c r="X290" s="151">
        <v>1200</v>
      </c>
      <c r="Y290" s="151">
        <v>2044</v>
      </c>
      <c r="Z290" s="346" t="s">
        <v>1426</v>
      </c>
      <c r="AA290" s="257"/>
      <c r="AB290" s="227"/>
      <c r="AD290" s="273"/>
      <c r="AG290" s="273"/>
    </row>
    <row r="291" spans="1:33" x14ac:dyDescent="0.2">
      <c r="A291" s="195" t="s">
        <v>1395</v>
      </c>
      <c r="C291" s="342">
        <v>0.61805555555555558</v>
      </c>
      <c r="D291" s="195" t="s">
        <v>1396</v>
      </c>
      <c r="E291" s="146" t="s">
        <v>1397</v>
      </c>
      <c r="F291" s="146" t="s">
        <v>1398</v>
      </c>
      <c r="H291" s="146">
        <v>889</v>
      </c>
      <c r="I291" s="195" t="s">
        <v>1329</v>
      </c>
      <c r="J291" s="277">
        <v>1</v>
      </c>
      <c r="K291" s="146">
        <v>10</v>
      </c>
      <c r="L291" s="146">
        <v>442</v>
      </c>
      <c r="M291" s="146" t="s">
        <v>1220</v>
      </c>
      <c r="N291" s="146">
        <v>50</v>
      </c>
      <c r="O291" s="195" t="s">
        <v>1136</v>
      </c>
      <c r="P291" s="146">
        <v>-14326</v>
      </c>
      <c r="Q291" s="146">
        <v>-14326</v>
      </c>
      <c r="R291" s="146">
        <v>-26757</v>
      </c>
      <c r="S291" s="146">
        <v>-25819</v>
      </c>
      <c r="T291" s="146">
        <v>25</v>
      </c>
      <c r="U291" s="146">
        <v>38</v>
      </c>
      <c r="W291" s="195">
        <v>178</v>
      </c>
      <c r="X291" s="146">
        <v>1200</v>
      </c>
      <c r="Y291" s="146">
        <v>2073</v>
      </c>
      <c r="Z291" s="344" t="s">
        <v>1427</v>
      </c>
    </row>
    <row r="292" spans="1:33" x14ac:dyDescent="0.2">
      <c r="A292" s="195" t="s">
        <v>1395</v>
      </c>
      <c r="D292" s="195" t="s">
        <v>1396</v>
      </c>
      <c r="E292" s="146" t="s">
        <v>1397</v>
      </c>
      <c r="F292" s="146" t="s">
        <v>1398</v>
      </c>
      <c r="H292" s="146">
        <v>889</v>
      </c>
      <c r="I292" s="195" t="s">
        <v>1329</v>
      </c>
      <c r="J292" s="277">
        <v>1</v>
      </c>
      <c r="K292" s="146">
        <v>10</v>
      </c>
      <c r="L292" s="146">
        <v>442</v>
      </c>
      <c r="M292" s="146" t="s">
        <v>1220</v>
      </c>
      <c r="N292" s="146">
        <v>50</v>
      </c>
      <c r="O292" s="195" t="s">
        <v>1404</v>
      </c>
      <c r="R292" s="146">
        <v>1227</v>
      </c>
      <c r="S292" s="146">
        <f>889-350</f>
        <v>539</v>
      </c>
      <c r="T292" s="146">
        <v>16</v>
      </c>
      <c r="U292" s="146">
        <v>44</v>
      </c>
      <c r="V292" s="146" t="s">
        <v>1399</v>
      </c>
      <c r="W292" s="195">
        <v>178</v>
      </c>
      <c r="X292" s="146">
        <v>1200</v>
      </c>
      <c r="Y292" s="146">
        <v>2073</v>
      </c>
      <c r="Z292" s="344" t="s">
        <v>1428</v>
      </c>
    </row>
    <row r="293" spans="1:33" x14ac:dyDescent="0.2">
      <c r="A293" s="195" t="s">
        <v>1395</v>
      </c>
      <c r="D293" s="195" t="s">
        <v>1396</v>
      </c>
      <c r="E293" s="146" t="s">
        <v>1397</v>
      </c>
      <c r="F293" s="146" t="s">
        <v>1402</v>
      </c>
      <c r="H293" s="146">
        <v>970</v>
      </c>
      <c r="I293" s="195" t="s">
        <v>1329</v>
      </c>
      <c r="J293" s="277">
        <v>1</v>
      </c>
      <c r="K293" s="146">
        <v>10</v>
      </c>
      <c r="L293" s="146">
        <v>442</v>
      </c>
      <c r="M293" s="146" t="s">
        <v>1220</v>
      </c>
      <c r="N293" s="146">
        <v>50</v>
      </c>
      <c r="O293" s="195" t="s">
        <v>1136</v>
      </c>
      <c r="P293" s="146">
        <v>-8875</v>
      </c>
      <c r="Q293" s="146">
        <v>-8869</v>
      </c>
      <c r="R293" s="146">
        <v>-22954</v>
      </c>
      <c r="S293" s="146">
        <v>-22689</v>
      </c>
      <c r="T293" s="146">
        <v>20</v>
      </c>
      <c r="U293" s="146">
        <v>14</v>
      </c>
      <c r="W293" s="195">
        <v>178</v>
      </c>
      <c r="X293" s="146">
        <v>1200</v>
      </c>
      <c r="Y293" s="146">
        <v>2073</v>
      </c>
      <c r="Z293" s="344" t="s">
        <v>1429</v>
      </c>
    </row>
    <row r="294" spans="1:33" x14ac:dyDescent="0.2">
      <c r="A294" s="195" t="s">
        <v>1395</v>
      </c>
      <c r="D294" s="195" t="s">
        <v>1396</v>
      </c>
      <c r="E294" s="146" t="s">
        <v>1397</v>
      </c>
      <c r="F294" s="146" t="s">
        <v>1402</v>
      </c>
      <c r="H294" s="146">
        <v>970</v>
      </c>
      <c r="I294" s="195" t="s">
        <v>1329</v>
      </c>
      <c r="J294" s="277">
        <v>1</v>
      </c>
      <c r="K294" s="146">
        <v>10</v>
      </c>
      <c r="L294" s="146">
        <v>442</v>
      </c>
      <c r="M294" s="146" t="s">
        <v>1220</v>
      </c>
      <c r="N294" s="146">
        <v>50</v>
      </c>
      <c r="O294" s="195" t="s">
        <v>1404</v>
      </c>
      <c r="R294" s="146">
        <f>970-350</f>
        <v>620</v>
      </c>
      <c r="S294" s="146">
        <v>1324</v>
      </c>
      <c r="T294" s="146">
        <v>16</v>
      </c>
      <c r="U294" s="146">
        <v>45</v>
      </c>
      <c r="V294" s="146" t="s">
        <v>1399</v>
      </c>
      <c r="W294" s="195">
        <v>178</v>
      </c>
      <c r="X294" s="146">
        <v>1200</v>
      </c>
      <c r="Y294" s="146">
        <v>2073</v>
      </c>
      <c r="Z294" s="344" t="s">
        <v>1430</v>
      </c>
    </row>
    <row r="295" spans="1:33" x14ac:dyDescent="0.2">
      <c r="A295" s="195" t="s">
        <v>1395</v>
      </c>
      <c r="F295" s="146" t="s">
        <v>1407</v>
      </c>
      <c r="H295" s="146">
        <v>1644</v>
      </c>
      <c r="I295" s="195" t="s">
        <v>1329</v>
      </c>
      <c r="J295" s="277">
        <v>1</v>
      </c>
      <c r="K295" s="146">
        <v>10</v>
      </c>
      <c r="L295" s="146">
        <v>442</v>
      </c>
      <c r="M295" s="146" t="s">
        <v>1220</v>
      </c>
      <c r="N295" s="146">
        <v>50</v>
      </c>
      <c r="O295" s="195" t="s">
        <v>1404</v>
      </c>
      <c r="R295" s="146">
        <f>1644-350</f>
        <v>1294</v>
      </c>
      <c r="S295" s="146">
        <f>1644+350</f>
        <v>1994</v>
      </c>
      <c r="T295" s="146">
        <v>20</v>
      </c>
      <c r="U295" s="146">
        <v>36</v>
      </c>
      <c r="V295" s="146" t="s">
        <v>1412</v>
      </c>
      <c r="W295" s="195">
        <v>178</v>
      </c>
      <c r="X295" s="146">
        <v>1200</v>
      </c>
      <c r="Y295" s="146">
        <v>2073</v>
      </c>
      <c r="Z295" s="344" t="s">
        <v>1431</v>
      </c>
    </row>
    <row r="296" spans="1:33" x14ac:dyDescent="0.2">
      <c r="A296" s="195" t="s">
        <v>1395</v>
      </c>
      <c r="F296" s="146" t="s">
        <v>1409</v>
      </c>
      <c r="H296" s="146">
        <v>1644</v>
      </c>
      <c r="I296" s="195" t="s">
        <v>1329</v>
      </c>
      <c r="J296" s="277">
        <v>1</v>
      </c>
      <c r="K296" s="146">
        <v>10</v>
      </c>
      <c r="L296" s="146">
        <v>442</v>
      </c>
      <c r="M296" s="146" t="s">
        <v>1220</v>
      </c>
      <c r="N296" s="146">
        <v>50</v>
      </c>
      <c r="O296" s="195" t="s">
        <v>1404</v>
      </c>
      <c r="R296" s="146">
        <f>1644-350</f>
        <v>1294</v>
      </c>
      <c r="S296" s="146">
        <f>1644+350</f>
        <v>1994</v>
      </c>
      <c r="T296" s="146">
        <v>20</v>
      </c>
      <c r="U296" s="146">
        <v>36</v>
      </c>
      <c r="V296" s="146" t="s">
        <v>1412</v>
      </c>
      <c r="W296" s="195">
        <v>178</v>
      </c>
      <c r="X296" s="146">
        <v>1200</v>
      </c>
      <c r="Y296" s="146">
        <v>2073</v>
      </c>
      <c r="Z296" s="344" t="s">
        <v>1432</v>
      </c>
    </row>
    <row r="297" spans="1:33" x14ac:dyDescent="0.2">
      <c r="A297" s="195" t="s">
        <v>1395</v>
      </c>
      <c r="F297" s="146" t="s">
        <v>1411</v>
      </c>
      <c r="H297" s="146">
        <v>1644</v>
      </c>
      <c r="I297" s="195" t="s">
        <v>1329</v>
      </c>
      <c r="J297" s="277">
        <v>1</v>
      </c>
      <c r="K297" s="146">
        <v>10</v>
      </c>
      <c r="L297" s="146">
        <v>442</v>
      </c>
      <c r="M297" s="146" t="s">
        <v>1220</v>
      </c>
      <c r="N297" s="146">
        <v>50</v>
      </c>
      <c r="O297" s="195" t="s">
        <v>1404</v>
      </c>
      <c r="R297" s="146">
        <f>1644-350</f>
        <v>1294</v>
      </c>
      <c r="S297" s="146">
        <f>1644+350</f>
        <v>1994</v>
      </c>
      <c r="T297" s="146">
        <v>20</v>
      </c>
      <c r="U297" s="146">
        <v>36</v>
      </c>
      <c r="V297" s="146" t="s">
        <v>1412</v>
      </c>
      <c r="W297" s="195">
        <v>178</v>
      </c>
      <c r="X297" s="146">
        <v>1200</v>
      </c>
      <c r="Y297" s="146">
        <v>2073</v>
      </c>
      <c r="Z297" s="344" t="s">
        <v>1433</v>
      </c>
    </row>
    <row r="298" spans="1:33" s="151" customFormat="1" x14ac:dyDescent="0.2">
      <c r="A298" s="227" t="s">
        <v>1395</v>
      </c>
      <c r="C298" s="227"/>
      <c r="D298" s="227"/>
      <c r="F298" s="151" t="s">
        <v>1414</v>
      </c>
      <c r="G298" s="227"/>
      <c r="H298" s="151">
        <v>2158</v>
      </c>
      <c r="I298" s="227" t="s">
        <v>1329</v>
      </c>
      <c r="J298" s="268">
        <v>1</v>
      </c>
      <c r="K298" s="151">
        <v>10</v>
      </c>
      <c r="L298" s="151">
        <v>442</v>
      </c>
      <c r="M298" s="151" t="s">
        <v>1220</v>
      </c>
      <c r="N298" s="151">
        <v>50</v>
      </c>
      <c r="O298" s="227" t="s">
        <v>1404</v>
      </c>
      <c r="R298" s="151">
        <f>2158-350</f>
        <v>1808</v>
      </c>
      <c r="S298" s="151">
        <v>2508</v>
      </c>
      <c r="T298" s="151">
        <v>20</v>
      </c>
      <c r="U298" s="151">
        <v>36</v>
      </c>
      <c r="V298" s="151" t="s">
        <v>1412</v>
      </c>
      <c r="W298" s="227">
        <v>178</v>
      </c>
      <c r="X298" s="151">
        <v>1200</v>
      </c>
      <c r="Y298" s="151">
        <v>2073</v>
      </c>
      <c r="Z298" s="346" t="s">
        <v>1434</v>
      </c>
      <c r="AA298" s="257"/>
      <c r="AB298" s="227"/>
      <c r="AD298" s="273"/>
      <c r="AG298" s="273"/>
    </row>
    <row r="299" spans="1:33" x14ac:dyDescent="0.2">
      <c r="A299" s="195" t="s">
        <v>1395</v>
      </c>
      <c r="D299" s="195" t="s">
        <v>1396</v>
      </c>
      <c r="E299" s="146" t="s">
        <v>1397</v>
      </c>
      <c r="F299" s="146" t="s">
        <v>1398</v>
      </c>
      <c r="H299" s="146">
        <v>2580</v>
      </c>
      <c r="I299" s="195" t="s">
        <v>1329</v>
      </c>
      <c r="J299" s="277">
        <v>1</v>
      </c>
      <c r="K299" s="146">
        <v>10</v>
      </c>
      <c r="L299" s="146">
        <v>532</v>
      </c>
      <c r="M299" s="146" t="s">
        <v>1220</v>
      </c>
      <c r="N299" s="146">
        <v>50</v>
      </c>
      <c r="O299" s="195" t="s">
        <v>1136</v>
      </c>
      <c r="P299" s="146">
        <v>-6051</v>
      </c>
      <c r="Q299" s="146">
        <v>-6117</v>
      </c>
      <c r="R299" s="146">
        <v>-25785</v>
      </c>
      <c r="S299" s="146">
        <v>-24785</v>
      </c>
      <c r="T299" s="146">
        <v>25</v>
      </c>
      <c r="U299" s="146">
        <v>41</v>
      </c>
      <c r="W299" s="195">
        <v>65</v>
      </c>
      <c r="X299" s="146">
        <v>1500</v>
      </c>
      <c r="Y299" s="146">
        <v>2680</v>
      </c>
      <c r="Z299" s="344" t="s">
        <v>1435</v>
      </c>
    </row>
    <row r="300" spans="1:33" x14ac:dyDescent="0.2">
      <c r="A300" s="195" t="s">
        <v>1395</v>
      </c>
      <c r="D300" s="195" t="s">
        <v>1396</v>
      </c>
      <c r="E300" s="146" t="s">
        <v>1397</v>
      </c>
      <c r="F300" s="146" t="s">
        <v>1398</v>
      </c>
      <c r="H300" s="146">
        <v>2580</v>
      </c>
      <c r="I300" s="195" t="s">
        <v>1329</v>
      </c>
      <c r="J300" s="277">
        <v>1</v>
      </c>
      <c r="K300" s="146">
        <v>10</v>
      </c>
      <c r="L300" s="146">
        <v>532</v>
      </c>
      <c r="M300" s="146" t="s">
        <v>1220</v>
      </c>
      <c r="N300" s="146">
        <v>50</v>
      </c>
      <c r="O300" s="195" t="s">
        <v>1404</v>
      </c>
      <c r="R300" s="146">
        <v>2934</v>
      </c>
      <c r="S300" s="146">
        <f>R300-700</f>
        <v>2234</v>
      </c>
      <c r="T300" s="146">
        <v>16</v>
      </c>
      <c r="U300" s="146">
        <v>45</v>
      </c>
      <c r="V300" s="146" t="s">
        <v>1399</v>
      </c>
      <c r="W300" s="195">
        <v>65</v>
      </c>
      <c r="X300" s="146">
        <v>1500</v>
      </c>
      <c r="Y300" s="146">
        <v>2680</v>
      </c>
      <c r="Z300" s="344" t="s">
        <v>1436</v>
      </c>
    </row>
    <row r="301" spans="1:33" x14ac:dyDescent="0.2">
      <c r="A301" s="195" t="s">
        <v>1395</v>
      </c>
      <c r="D301" s="195" t="s">
        <v>1396</v>
      </c>
      <c r="E301" s="146" t="s">
        <v>1397</v>
      </c>
      <c r="F301" s="146" t="s">
        <v>1402</v>
      </c>
      <c r="H301" s="146">
        <v>2593</v>
      </c>
      <c r="I301" s="195" t="s">
        <v>1329</v>
      </c>
      <c r="J301" s="277">
        <v>1</v>
      </c>
      <c r="K301" s="146">
        <v>10</v>
      </c>
      <c r="L301" s="146">
        <v>532</v>
      </c>
      <c r="M301" s="146" t="s">
        <v>1220</v>
      </c>
      <c r="N301" s="146">
        <v>50</v>
      </c>
      <c r="O301" s="195" t="s">
        <v>1136</v>
      </c>
      <c r="P301" s="146">
        <v>-1311</v>
      </c>
      <c r="Q301" s="146">
        <v>-1311</v>
      </c>
      <c r="R301" s="146">
        <v>-23069</v>
      </c>
      <c r="S301" s="146">
        <v>-22630</v>
      </c>
      <c r="T301" s="146">
        <v>20</v>
      </c>
      <c r="U301" s="146">
        <v>22</v>
      </c>
      <c r="W301" s="195">
        <v>65</v>
      </c>
      <c r="X301" s="146">
        <v>1500</v>
      </c>
      <c r="Y301" s="146">
        <v>2680</v>
      </c>
      <c r="Z301" s="344" t="s">
        <v>1437</v>
      </c>
    </row>
    <row r="302" spans="1:33" x14ac:dyDescent="0.2">
      <c r="A302" s="195" t="s">
        <v>1395</v>
      </c>
      <c r="D302" s="195" t="s">
        <v>1396</v>
      </c>
      <c r="E302" s="146" t="s">
        <v>1397</v>
      </c>
      <c r="F302" s="146" t="s">
        <v>1402</v>
      </c>
      <c r="H302" s="146">
        <v>2593</v>
      </c>
      <c r="I302" s="195" t="s">
        <v>1329</v>
      </c>
      <c r="J302" s="277">
        <v>1</v>
      </c>
      <c r="K302" s="146">
        <v>10</v>
      </c>
      <c r="L302" s="146">
        <v>532</v>
      </c>
      <c r="M302" s="146" t="s">
        <v>1220</v>
      </c>
      <c r="N302" s="146">
        <v>50</v>
      </c>
      <c r="O302" s="195" t="s">
        <v>1404</v>
      </c>
      <c r="R302" s="146">
        <f>2593+350</f>
        <v>2943</v>
      </c>
      <c r="S302" s="146">
        <f>2593-350</f>
        <v>2243</v>
      </c>
      <c r="T302" s="146">
        <v>16</v>
      </c>
      <c r="U302" s="146">
        <v>45</v>
      </c>
      <c r="V302" s="146" t="s">
        <v>1399</v>
      </c>
      <c r="W302" s="195">
        <v>65</v>
      </c>
      <c r="X302" s="146">
        <v>1500</v>
      </c>
      <c r="Y302" s="146">
        <v>2680</v>
      </c>
      <c r="Z302" s="344" t="s">
        <v>1438</v>
      </c>
    </row>
    <row r="303" spans="1:33" x14ac:dyDescent="0.2">
      <c r="A303" s="195" t="s">
        <v>1395</v>
      </c>
      <c r="F303" s="146" t="s">
        <v>1407</v>
      </c>
      <c r="H303" s="146">
        <v>2363</v>
      </c>
      <c r="I303" s="195" t="s">
        <v>1329</v>
      </c>
      <c r="J303" s="277">
        <v>1</v>
      </c>
      <c r="K303" s="146">
        <v>10</v>
      </c>
      <c r="L303" s="146">
        <v>532</v>
      </c>
      <c r="M303" s="146" t="s">
        <v>1220</v>
      </c>
      <c r="N303" s="146">
        <v>50</v>
      </c>
      <c r="O303" s="195" t="s">
        <v>1404</v>
      </c>
      <c r="R303" s="146">
        <v>2713</v>
      </c>
      <c r="S303" s="146">
        <v>2013</v>
      </c>
      <c r="T303" s="146">
        <v>20</v>
      </c>
      <c r="U303" s="146">
        <v>36</v>
      </c>
      <c r="V303" s="146" t="s">
        <v>1412</v>
      </c>
      <c r="W303" s="195">
        <v>65</v>
      </c>
      <c r="X303" s="146">
        <v>1500</v>
      </c>
      <c r="Y303" s="146">
        <v>2680</v>
      </c>
      <c r="Z303" s="344" t="s">
        <v>1439</v>
      </c>
    </row>
    <row r="304" spans="1:33" x14ac:dyDescent="0.2">
      <c r="A304" s="195" t="s">
        <v>1395</v>
      </c>
      <c r="F304" s="146" t="s">
        <v>1409</v>
      </c>
      <c r="H304" s="146">
        <v>2363</v>
      </c>
      <c r="I304" s="195" t="s">
        <v>1329</v>
      </c>
      <c r="J304" s="277">
        <v>1</v>
      </c>
      <c r="K304" s="146">
        <v>10</v>
      </c>
      <c r="L304" s="146">
        <v>532</v>
      </c>
      <c r="M304" s="146" t="s">
        <v>1220</v>
      </c>
      <c r="N304" s="146">
        <v>50</v>
      </c>
      <c r="O304" s="195" t="s">
        <v>1404</v>
      </c>
      <c r="R304" s="146">
        <v>2713</v>
      </c>
      <c r="S304" s="146">
        <v>2013</v>
      </c>
      <c r="T304" s="146">
        <v>20</v>
      </c>
      <c r="U304" s="146">
        <v>36</v>
      </c>
      <c r="V304" s="146" t="s">
        <v>1412</v>
      </c>
      <c r="W304" s="195">
        <v>65</v>
      </c>
      <c r="X304" s="146">
        <v>1500</v>
      </c>
      <c r="Y304" s="146">
        <v>2680</v>
      </c>
      <c r="Z304" s="344" t="s">
        <v>1440</v>
      </c>
    </row>
    <row r="305" spans="1:33" x14ac:dyDescent="0.2">
      <c r="A305" s="195" t="s">
        <v>1395</v>
      </c>
      <c r="F305" s="146" t="s">
        <v>1411</v>
      </c>
      <c r="H305" s="146">
        <v>2363</v>
      </c>
      <c r="I305" s="195" t="s">
        <v>1329</v>
      </c>
      <c r="J305" s="277">
        <v>1</v>
      </c>
      <c r="K305" s="146">
        <v>10</v>
      </c>
      <c r="L305" s="146">
        <v>532</v>
      </c>
      <c r="M305" s="146" t="s">
        <v>1220</v>
      </c>
      <c r="N305" s="146">
        <v>50</v>
      </c>
      <c r="O305" s="195" t="s">
        <v>1404</v>
      </c>
      <c r="R305" s="146">
        <v>2713</v>
      </c>
      <c r="S305" s="146">
        <v>2013</v>
      </c>
      <c r="T305" s="146">
        <v>20</v>
      </c>
      <c r="U305" s="146">
        <v>36</v>
      </c>
      <c r="V305" s="146" t="s">
        <v>1412</v>
      </c>
      <c r="W305" s="195">
        <v>65</v>
      </c>
      <c r="X305" s="146">
        <v>1500</v>
      </c>
      <c r="Y305" s="146">
        <v>2680</v>
      </c>
      <c r="Z305" s="344" t="s">
        <v>1441</v>
      </c>
    </row>
    <row r="306" spans="1:33" x14ac:dyDescent="0.2">
      <c r="A306" s="146" t="s">
        <v>1395</v>
      </c>
      <c r="F306" s="146" t="s">
        <v>1414</v>
      </c>
      <c r="H306" s="146">
        <v>2713</v>
      </c>
      <c r="I306" s="195" t="s">
        <v>1329</v>
      </c>
      <c r="J306" s="277">
        <v>1</v>
      </c>
      <c r="K306" s="146">
        <v>10</v>
      </c>
      <c r="L306" s="146">
        <v>532</v>
      </c>
      <c r="M306" s="146" t="s">
        <v>1220</v>
      </c>
      <c r="N306" s="146">
        <v>5</v>
      </c>
      <c r="O306" s="195" t="s">
        <v>1404</v>
      </c>
      <c r="R306" s="146">
        <f>2713-350</f>
        <v>2363</v>
      </c>
      <c r="S306" s="146">
        <f>2713+350</f>
        <v>3063</v>
      </c>
      <c r="T306" s="146">
        <v>20</v>
      </c>
      <c r="U306" s="146">
        <v>36</v>
      </c>
      <c r="V306" s="146" t="s">
        <v>1412</v>
      </c>
      <c r="W306" s="195">
        <v>65</v>
      </c>
      <c r="X306" s="146">
        <v>1500</v>
      </c>
      <c r="Y306" s="146">
        <v>2680</v>
      </c>
      <c r="Z306" s="344" t="s">
        <v>1442</v>
      </c>
    </row>
    <row r="307" spans="1:33" s="151" customFormat="1" x14ac:dyDescent="0.2">
      <c r="A307" s="146" t="s">
        <v>1395</v>
      </c>
      <c r="C307" s="227"/>
      <c r="D307" s="227"/>
      <c r="F307" s="151" t="s">
        <v>1443</v>
      </c>
      <c r="G307" s="227"/>
      <c r="H307" s="151">
        <v>3063</v>
      </c>
      <c r="I307" s="227" t="s">
        <v>1329</v>
      </c>
      <c r="J307" s="268">
        <v>1</v>
      </c>
      <c r="K307" s="151">
        <v>10</v>
      </c>
      <c r="L307" s="151">
        <v>532</v>
      </c>
      <c r="M307" s="151" t="s">
        <v>1220</v>
      </c>
      <c r="N307" s="151">
        <v>50</v>
      </c>
      <c r="O307" s="227" t="s">
        <v>1404</v>
      </c>
      <c r="R307" s="151">
        <f>3063-350</f>
        <v>2713</v>
      </c>
      <c r="S307" s="151">
        <f>3063+350</f>
        <v>3413</v>
      </c>
      <c r="T307" s="151">
        <v>20</v>
      </c>
      <c r="U307" s="151">
        <v>36</v>
      </c>
      <c r="V307" s="151" t="s">
        <v>1412</v>
      </c>
      <c r="W307" s="227">
        <v>65</v>
      </c>
      <c r="X307" s="151">
        <v>1500</v>
      </c>
      <c r="Y307" s="151">
        <v>2680</v>
      </c>
      <c r="Z307" s="346" t="s">
        <v>1444</v>
      </c>
      <c r="AB307" s="227"/>
    </row>
    <row r="308" spans="1:33" x14ac:dyDescent="0.2">
      <c r="A308" s="195" t="s">
        <v>1395</v>
      </c>
      <c r="D308" s="195" t="s">
        <v>1396</v>
      </c>
      <c r="E308" s="146" t="s">
        <v>1397</v>
      </c>
      <c r="F308" s="146" t="s">
        <v>1445</v>
      </c>
      <c r="H308" s="146">
        <v>3109</v>
      </c>
      <c r="I308" s="195" t="s">
        <v>1329</v>
      </c>
      <c r="J308" s="277">
        <v>1</v>
      </c>
      <c r="K308" s="146">
        <v>10</v>
      </c>
      <c r="L308" s="146">
        <v>532</v>
      </c>
      <c r="M308" s="146" t="s">
        <v>1220</v>
      </c>
      <c r="N308" s="146">
        <v>5</v>
      </c>
      <c r="O308" s="195" t="s">
        <v>1136</v>
      </c>
      <c r="P308" s="146">
        <v>-4901.3</v>
      </c>
      <c r="Q308" s="146">
        <v>-4854.5</v>
      </c>
      <c r="R308" s="146">
        <v>-43807</v>
      </c>
      <c r="S308" s="146">
        <v>-42953</v>
      </c>
      <c r="T308" s="146">
        <v>20</v>
      </c>
      <c r="U308" s="146">
        <v>43</v>
      </c>
      <c r="W308" s="195">
        <v>65</v>
      </c>
      <c r="X308" s="146">
        <v>1500</v>
      </c>
      <c r="Y308" s="146">
        <v>2680</v>
      </c>
      <c r="Z308" s="344" t="s">
        <v>1446</v>
      </c>
      <c r="AA308" s="146"/>
      <c r="AD308" s="146"/>
      <c r="AG308" s="146"/>
    </row>
    <row r="309" spans="1:33" x14ac:dyDescent="0.2">
      <c r="A309" s="195" t="s">
        <v>1395</v>
      </c>
      <c r="D309" s="195" t="s">
        <v>1396</v>
      </c>
      <c r="E309" s="146" t="s">
        <v>1397</v>
      </c>
      <c r="F309" s="146" t="s">
        <v>1445</v>
      </c>
      <c r="H309" s="146">
        <v>3109</v>
      </c>
      <c r="I309" s="195" t="s">
        <v>1329</v>
      </c>
      <c r="J309" s="277">
        <v>1</v>
      </c>
      <c r="K309" s="146">
        <v>10</v>
      </c>
      <c r="L309" s="146">
        <v>532</v>
      </c>
      <c r="M309" s="146" t="s">
        <v>1220</v>
      </c>
      <c r="N309" s="146">
        <v>5</v>
      </c>
      <c r="O309" s="195" t="s">
        <v>1404</v>
      </c>
      <c r="R309" s="146">
        <f>3109+350</f>
        <v>3459</v>
      </c>
      <c r="S309" s="146">
        <f>3109-350</f>
        <v>2759</v>
      </c>
      <c r="T309" s="146">
        <v>20</v>
      </c>
      <c r="U309" s="146">
        <v>36</v>
      </c>
      <c r="W309" s="195">
        <v>65</v>
      </c>
      <c r="X309" s="146">
        <v>1500</v>
      </c>
      <c r="Y309" s="146">
        <v>2680</v>
      </c>
      <c r="Z309" s="344" t="s">
        <v>1447</v>
      </c>
    </row>
    <row r="310" spans="1:33" x14ac:dyDescent="0.2">
      <c r="A310" s="195" t="s">
        <v>1395</v>
      </c>
      <c r="D310" s="195" t="s">
        <v>1396</v>
      </c>
      <c r="E310" s="146" t="s">
        <v>1397</v>
      </c>
      <c r="F310" s="146" t="s">
        <v>1448</v>
      </c>
      <c r="H310" s="146">
        <v>3459</v>
      </c>
      <c r="I310" s="195" t="s">
        <v>1329</v>
      </c>
      <c r="J310" s="277">
        <v>1</v>
      </c>
      <c r="K310" s="146">
        <v>10</v>
      </c>
      <c r="L310" s="146">
        <v>532</v>
      </c>
      <c r="M310" s="146" t="s">
        <v>1220</v>
      </c>
      <c r="N310" s="146">
        <v>5</v>
      </c>
      <c r="O310" s="195" t="s">
        <v>1136</v>
      </c>
      <c r="P310" s="146">
        <v>-4475</v>
      </c>
      <c r="Q310" s="146">
        <v>-4459</v>
      </c>
      <c r="R310" s="146">
        <v>-41495</v>
      </c>
      <c r="S310" s="146">
        <v>-40847</v>
      </c>
      <c r="T310" s="146">
        <v>20</v>
      </c>
      <c r="U310" s="146">
        <v>33</v>
      </c>
      <c r="W310" s="195">
        <v>65</v>
      </c>
      <c r="X310" s="146">
        <v>1500</v>
      </c>
      <c r="Y310" s="146">
        <v>2680</v>
      </c>
      <c r="Z310" s="344" t="s">
        <v>1449</v>
      </c>
    </row>
    <row r="311" spans="1:33" x14ac:dyDescent="0.2">
      <c r="A311" s="195" t="s">
        <v>1395</v>
      </c>
      <c r="D311" s="195" t="s">
        <v>1396</v>
      </c>
      <c r="E311" s="146" t="s">
        <v>1397</v>
      </c>
      <c r="F311" s="146" t="s">
        <v>1448</v>
      </c>
      <c r="H311" s="146">
        <v>3459</v>
      </c>
      <c r="I311" s="195" t="s">
        <v>1329</v>
      </c>
      <c r="J311" s="277">
        <v>1</v>
      </c>
      <c r="K311" s="146">
        <v>10</v>
      </c>
      <c r="L311" s="146">
        <v>532</v>
      </c>
      <c r="M311" s="146" t="s">
        <v>1220</v>
      </c>
      <c r="N311" s="146">
        <v>5</v>
      </c>
      <c r="O311" s="227" t="s">
        <v>1404</v>
      </c>
      <c r="P311" s="151"/>
      <c r="Q311" s="151"/>
      <c r="R311" s="151">
        <f>3459-350</f>
        <v>3109</v>
      </c>
      <c r="S311" s="151">
        <f>3459+350</f>
        <v>3809</v>
      </c>
      <c r="T311" s="151">
        <v>20</v>
      </c>
      <c r="U311" s="151">
        <v>36</v>
      </c>
      <c r="V311" s="151"/>
      <c r="W311" s="195">
        <v>65</v>
      </c>
      <c r="X311" s="146">
        <v>1500</v>
      </c>
      <c r="Y311" s="146">
        <v>2680</v>
      </c>
      <c r="Z311" s="344" t="s">
        <v>1450</v>
      </c>
    </row>
    <row r="312" spans="1:33" x14ac:dyDescent="0.2">
      <c r="A312" s="195" t="s">
        <v>1395</v>
      </c>
      <c r="D312" s="195" t="s">
        <v>1396</v>
      </c>
      <c r="E312" s="146" t="s">
        <v>1397</v>
      </c>
      <c r="F312" s="146" t="s">
        <v>1448</v>
      </c>
      <c r="H312" s="146">
        <v>3809</v>
      </c>
      <c r="I312" s="195" t="s">
        <v>1329</v>
      </c>
      <c r="J312" s="277">
        <v>1</v>
      </c>
      <c r="K312" s="146">
        <v>10</v>
      </c>
      <c r="L312" s="146">
        <v>785</v>
      </c>
      <c r="M312" s="146" t="s">
        <v>1220</v>
      </c>
      <c r="N312" s="146">
        <v>5</v>
      </c>
      <c r="O312" s="195" t="s">
        <v>1136</v>
      </c>
      <c r="P312" s="146">
        <v>-5035</v>
      </c>
      <c r="Q312" s="146">
        <v>-5035</v>
      </c>
      <c r="R312" s="146">
        <v>-41482</v>
      </c>
      <c r="S312" s="146">
        <v>-40874</v>
      </c>
      <c r="T312" s="146">
        <v>20</v>
      </c>
      <c r="U312" s="146">
        <v>31</v>
      </c>
      <c r="W312" s="195">
        <v>1065</v>
      </c>
      <c r="X312" s="146">
        <v>1600</v>
      </c>
      <c r="Y312" s="146">
        <v>2085</v>
      </c>
      <c r="Z312" s="344" t="s">
        <v>1451</v>
      </c>
    </row>
    <row r="313" spans="1:33" x14ac:dyDescent="0.2">
      <c r="A313" s="195" t="s">
        <v>1395</v>
      </c>
      <c r="D313" s="195" t="s">
        <v>1396</v>
      </c>
      <c r="E313" s="146" t="s">
        <v>1397</v>
      </c>
      <c r="F313" s="146" t="s">
        <v>1448</v>
      </c>
      <c r="H313" s="146">
        <v>3809</v>
      </c>
      <c r="I313" s="195" t="s">
        <v>1329</v>
      </c>
      <c r="J313" s="277">
        <v>1</v>
      </c>
      <c r="K313" s="146">
        <v>10</v>
      </c>
      <c r="L313" s="146">
        <v>785</v>
      </c>
      <c r="M313" s="146" t="s">
        <v>1220</v>
      </c>
      <c r="N313" s="146">
        <v>5</v>
      </c>
      <c r="O313" s="195" t="s">
        <v>1404</v>
      </c>
      <c r="R313" s="146">
        <f>H313-350</f>
        <v>3459</v>
      </c>
      <c r="S313" s="146">
        <f>H313+350</f>
        <v>4159</v>
      </c>
      <c r="T313" s="146">
        <v>20</v>
      </c>
      <c r="U313" s="146">
        <v>36</v>
      </c>
      <c r="W313" s="195">
        <v>1065</v>
      </c>
      <c r="X313" s="146">
        <v>1600</v>
      </c>
      <c r="Y313" s="146">
        <v>2085</v>
      </c>
      <c r="Z313" s="344" t="s">
        <v>1452</v>
      </c>
    </row>
    <row r="314" spans="1:33" x14ac:dyDescent="0.2">
      <c r="A314" s="195" t="s">
        <v>1395</v>
      </c>
      <c r="D314" s="195" t="s">
        <v>1396</v>
      </c>
      <c r="E314" s="146" t="s">
        <v>1397</v>
      </c>
      <c r="F314" s="146" t="s">
        <v>1445</v>
      </c>
      <c r="H314" s="146">
        <v>4159</v>
      </c>
      <c r="I314" s="195" t="s">
        <v>1329</v>
      </c>
      <c r="J314" s="277">
        <v>1</v>
      </c>
      <c r="K314" s="146">
        <v>10</v>
      </c>
      <c r="L314" s="146">
        <v>785</v>
      </c>
      <c r="M314" s="146" t="s">
        <v>1220</v>
      </c>
      <c r="N314" s="146">
        <v>5</v>
      </c>
      <c r="O314" s="195" t="s">
        <v>1136</v>
      </c>
      <c r="P314" s="146">
        <v>-3546</v>
      </c>
      <c r="Q314" s="146">
        <v>-3471</v>
      </c>
      <c r="R314" s="146">
        <v>-1272</v>
      </c>
      <c r="S314" s="146">
        <v>-384</v>
      </c>
      <c r="T314" s="146">
        <v>20</v>
      </c>
      <c r="U314" s="146">
        <v>45</v>
      </c>
      <c r="W314" s="195">
        <v>1065</v>
      </c>
      <c r="X314" s="146">
        <v>1600</v>
      </c>
      <c r="Y314" s="146">
        <v>2085</v>
      </c>
      <c r="Z314" s="344" t="s">
        <v>1453</v>
      </c>
    </row>
    <row r="315" spans="1:33" x14ac:dyDescent="0.2">
      <c r="A315" s="146" t="s">
        <v>1395</v>
      </c>
      <c r="D315" s="195" t="s">
        <v>1396</v>
      </c>
      <c r="E315" s="146" t="s">
        <v>1397</v>
      </c>
      <c r="F315" s="146" t="s">
        <v>1445</v>
      </c>
      <c r="H315" s="146">
        <v>4159</v>
      </c>
      <c r="I315" s="195" t="s">
        <v>1329</v>
      </c>
      <c r="J315" s="277">
        <v>1</v>
      </c>
      <c r="K315" s="146">
        <v>10</v>
      </c>
      <c r="L315" s="146">
        <v>785</v>
      </c>
      <c r="M315" s="146" t="s">
        <v>1220</v>
      </c>
      <c r="N315" s="146">
        <v>5</v>
      </c>
      <c r="O315" s="227" t="s">
        <v>1404</v>
      </c>
      <c r="P315" s="151"/>
      <c r="Q315" s="151"/>
      <c r="R315" s="151">
        <f>H315-350</f>
        <v>3809</v>
      </c>
      <c r="S315" s="151">
        <f>H315+350</f>
        <v>4509</v>
      </c>
      <c r="T315" s="151">
        <v>20</v>
      </c>
      <c r="U315" s="151">
        <v>36</v>
      </c>
      <c r="V315" s="151"/>
      <c r="W315" s="195">
        <v>1065</v>
      </c>
      <c r="X315" s="146">
        <v>1600</v>
      </c>
      <c r="Y315" s="146">
        <v>2085</v>
      </c>
      <c r="Z315" s="344" t="s">
        <v>1454</v>
      </c>
    </row>
    <row r="316" spans="1:33" x14ac:dyDescent="0.2">
      <c r="A316" s="195" t="s">
        <v>1395</v>
      </c>
      <c r="D316" s="195" t="s">
        <v>1396</v>
      </c>
      <c r="E316" s="146" t="s">
        <v>1397</v>
      </c>
      <c r="F316" s="146" t="s">
        <v>1445</v>
      </c>
      <c r="H316" s="146">
        <v>4141</v>
      </c>
      <c r="I316" s="195" t="s">
        <v>1329</v>
      </c>
      <c r="J316" s="277">
        <v>1</v>
      </c>
      <c r="K316" s="146">
        <v>10</v>
      </c>
      <c r="L316" s="146">
        <v>662</v>
      </c>
      <c r="M316" s="146" t="s">
        <v>1220</v>
      </c>
      <c r="N316" s="146">
        <v>5</v>
      </c>
      <c r="O316" s="195" t="s">
        <v>1136</v>
      </c>
      <c r="P316" s="146">
        <v>-3834</v>
      </c>
      <c r="Q316" s="146">
        <v>-3803</v>
      </c>
      <c r="R316" s="146">
        <v>-1700</v>
      </c>
      <c r="S316" s="146">
        <v>-706</v>
      </c>
      <c r="T316" s="146">
        <v>20</v>
      </c>
      <c r="U316" s="146">
        <v>50</v>
      </c>
      <c r="W316" s="195">
        <v>200</v>
      </c>
      <c r="X316" s="146">
        <v>1200</v>
      </c>
      <c r="Y316" s="146">
        <v>2044</v>
      </c>
      <c r="Z316" s="344" t="s">
        <v>1455</v>
      </c>
    </row>
    <row r="317" spans="1:33" x14ac:dyDescent="0.2">
      <c r="A317" s="195" t="s">
        <v>1395</v>
      </c>
      <c r="D317" s="195" t="s">
        <v>1396</v>
      </c>
      <c r="E317" s="146" t="s">
        <v>1397</v>
      </c>
      <c r="F317" s="146" t="s">
        <v>1445</v>
      </c>
      <c r="H317" s="146">
        <v>4141</v>
      </c>
      <c r="I317" s="195" t="s">
        <v>1329</v>
      </c>
      <c r="J317" s="277">
        <v>1</v>
      </c>
      <c r="K317" s="146">
        <v>10</v>
      </c>
      <c r="L317" s="146">
        <v>662</v>
      </c>
      <c r="M317" s="146" t="s">
        <v>1220</v>
      </c>
      <c r="N317" s="146">
        <v>5</v>
      </c>
      <c r="O317" s="195" t="s">
        <v>1404</v>
      </c>
      <c r="R317" s="146">
        <f>H317-350</f>
        <v>3791</v>
      </c>
      <c r="S317" s="146">
        <f>H317+350</f>
        <v>4491</v>
      </c>
      <c r="T317" s="146">
        <v>20</v>
      </c>
      <c r="U317" s="146">
        <v>36</v>
      </c>
      <c r="W317" s="195">
        <v>200</v>
      </c>
      <c r="X317" s="146">
        <v>1200</v>
      </c>
      <c r="Y317" s="146">
        <v>2044</v>
      </c>
      <c r="Z317" s="344" t="s">
        <v>1456</v>
      </c>
    </row>
    <row r="318" spans="1:33" x14ac:dyDescent="0.2">
      <c r="A318" s="195" t="s">
        <v>1395</v>
      </c>
      <c r="D318" s="195" t="s">
        <v>1396</v>
      </c>
      <c r="E318" s="146" t="s">
        <v>1397</v>
      </c>
      <c r="F318" s="146" t="s">
        <v>1448</v>
      </c>
      <c r="H318" s="146">
        <v>4491</v>
      </c>
      <c r="I318" s="195" t="s">
        <v>1329</v>
      </c>
      <c r="J318" s="277">
        <v>1</v>
      </c>
      <c r="K318" s="146">
        <v>10</v>
      </c>
      <c r="L318" s="146">
        <v>662</v>
      </c>
      <c r="M318" s="146" t="s">
        <v>1220</v>
      </c>
      <c r="N318" s="146">
        <v>5</v>
      </c>
      <c r="O318" s="195" t="s">
        <v>1136</v>
      </c>
      <c r="P318" s="146">
        <v>-4185</v>
      </c>
      <c r="Q318" s="146">
        <v>-4191</v>
      </c>
      <c r="R318" s="146">
        <v>-41392</v>
      </c>
      <c r="S318" s="146">
        <v>-40538</v>
      </c>
      <c r="T318" s="146">
        <v>20</v>
      </c>
      <c r="U318" s="146">
        <v>35</v>
      </c>
      <c r="W318" s="195">
        <v>200</v>
      </c>
      <c r="X318" s="146">
        <v>1200</v>
      </c>
      <c r="Y318" s="146">
        <v>2044</v>
      </c>
      <c r="Z318" s="344" t="s">
        <v>1457</v>
      </c>
    </row>
    <row r="319" spans="1:33" x14ac:dyDescent="0.2">
      <c r="A319" s="195" t="s">
        <v>1395</v>
      </c>
      <c r="D319" s="195" t="s">
        <v>1396</v>
      </c>
      <c r="E319" s="146" t="s">
        <v>1397</v>
      </c>
      <c r="F319" s="146" t="s">
        <v>1448</v>
      </c>
      <c r="H319" s="146">
        <v>4491</v>
      </c>
      <c r="I319" s="195" t="s">
        <v>1329</v>
      </c>
      <c r="J319" s="277">
        <v>1</v>
      </c>
      <c r="K319" s="146">
        <v>10</v>
      </c>
      <c r="L319" s="146">
        <v>662</v>
      </c>
      <c r="M319" s="146" t="s">
        <v>1220</v>
      </c>
      <c r="N319" s="146">
        <v>5</v>
      </c>
      <c r="O319" s="227" t="s">
        <v>1404</v>
      </c>
      <c r="P319" s="151"/>
      <c r="Q319" s="151"/>
      <c r="R319" s="151">
        <f>H319-350</f>
        <v>4141</v>
      </c>
      <c r="S319" s="151">
        <f>H319+350</f>
        <v>4841</v>
      </c>
      <c r="T319" s="151">
        <v>20</v>
      </c>
      <c r="U319" s="151">
        <v>36</v>
      </c>
      <c r="V319" s="151"/>
      <c r="W319" s="195">
        <v>200</v>
      </c>
      <c r="X319" s="146">
        <v>1200</v>
      </c>
      <c r="Y319" s="146">
        <v>2044</v>
      </c>
      <c r="Z319" s="344" t="s">
        <v>1458</v>
      </c>
    </row>
    <row r="320" spans="1:33" x14ac:dyDescent="0.2">
      <c r="A320" s="195" t="s">
        <v>1395</v>
      </c>
      <c r="D320" s="195" t="s">
        <v>1396</v>
      </c>
      <c r="E320" s="146" t="s">
        <v>1397</v>
      </c>
      <c r="F320" s="146" t="s">
        <v>1445</v>
      </c>
      <c r="H320" s="146">
        <v>4841</v>
      </c>
      <c r="I320" s="195" t="s">
        <v>1329</v>
      </c>
      <c r="J320" s="277">
        <v>1</v>
      </c>
      <c r="K320" s="146">
        <v>10</v>
      </c>
      <c r="L320" s="146">
        <v>442</v>
      </c>
      <c r="M320" s="146" t="s">
        <v>1220</v>
      </c>
      <c r="N320" s="146">
        <v>5</v>
      </c>
      <c r="O320" s="195" t="s">
        <v>1136</v>
      </c>
      <c r="P320" s="146">
        <v>-4529</v>
      </c>
      <c r="Q320" s="146">
        <v>-4529</v>
      </c>
      <c r="R320" s="146">
        <v>-41012</v>
      </c>
      <c r="S320" s="146">
        <v>-40507</v>
      </c>
      <c r="T320" s="146">
        <v>20</v>
      </c>
      <c r="U320" s="146">
        <v>26</v>
      </c>
      <c r="W320" s="195">
        <v>178</v>
      </c>
      <c r="X320" s="146">
        <v>1200</v>
      </c>
      <c r="Y320" s="146">
        <v>2073</v>
      </c>
    </row>
    <row r="321" spans="1:33" x14ac:dyDescent="0.2">
      <c r="A321" s="195" t="s">
        <v>1395</v>
      </c>
      <c r="D321" s="195" t="s">
        <v>1396</v>
      </c>
      <c r="E321" s="146" t="s">
        <v>1397</v>
      </c>
      <c r="F321" s="146" t="s">
        <v>1445</v>
      </c>
      <c r="H321" s="146">
        <v>4841</v>
      </c>
      <c r="I321" s="195" t="s">
        <v>1329</v>
      </c>
      <c r="J321" s="277">
        <v>1</v>
      </c>
      <c r="K321" s="146">
        <v>10</v>
      </c>
      <c r="L321" s="146">
        <v>442</v>
      </c>
      <c r="M321" s="146" t="s">
        <v>1220</v>
      </c>
      <c r="N321" s="146">
        <v>5</v>
      </c>
      <c r="O321" s="195" t="s">
        <v>1404</v>
      </c>
      <c r="R321" s="146">
        <f>H321-350</f>
        <v>4491</v>
      </c>
      <c r="S321" s="146">
        <f>H321+350</f>
        <v>5191</v>
      </c>
      <c r="T321" s="146">
        <v>20</v>
      </c>
      <c r="U321" s="146">
        <v>36</v>
      </c>
      <c r="W321" s="195">
        <v>178</v>
      </c>
      <c r="X321" s="146">
        <v>1200</v>
      </c>
      <c r="Y321" s="146">
        <v>2073</v>
      </c>
    </row>
    <row r="322" spans="1:33" x14ac:dyDescent="0.2">
      <c r="A322" s="146" t="s">
        <v>1395</v>
      </c>
      <c r="D322" s="195" t="s">
        <v>1396</v>
      </c>
      <c r="E322" s="146" t="s">
        <v>1397</v>
      </c>
      <c r="F322" s="146" t="s">
        <v>1448</v>
      </c>
      <c r="H322" s="146">
        <v>5207</v>
      </c>
      <c r="I322" s="195" t="s">
        <v>1329</v>
      </c>
      <c r="J322" s="277">
        <v>1</v>
      </c>
      <c r="K322" s="146">
        <v>10</v>
      </c>
      <c r="L322" s="146">
        <v>442</v>
      </c>
      <c r="M322" s="146" t="s">
        <v>1220</v>
      </c>
      <c r="N322" s="146">
        <v>5</v>
      </c>
      <c r="O322" s="195" t="s">
        <v>1136</v>
      </c>
      <c r="P322" s="146">
        <v>-4480</v>
      </c>
      <c r="Q322" s="146">
        <v>-4480</v>
      </c>
      <c r="R322" s="146">
        <v>-1560</v>
      </c>
      <c r="S322" s="146">
        <v>-719</v>
      </c>
      <c r="T322" s="146">
        <v>20</v>
      </c>
      <c r="U322" s="146">
        <v>43</v>
      </c>
      <c r="W322" s="195">
        <v>178</v>
      </c>
      <c r="X322" s="146">
        <v>1200</v>
      </c>
      <c r="Y322" s="146">
        <v>2073</v>
      </c>
    </row>
    <row r="323" spans="1:33" s="151" customFormat="1" x14ac:dyDescent="0.2">
      <c r="A323" s="151" t="s">
        <v>1395</v>
      </c>
      <c r="C323" s="227"/>
      <c r="D323" s="227" t="s">
        <v>1396</v>
      </c>
      <c r="E323" s="151" t="s">
        <v>1397</v>
      </c>
      <c r="F323" s="151" t="s">
        <v>1448</v>
      </c>
      <c r="G323" s="227"/>
      <c r="H323" s="151">
        <v>5207</v>
      </c>
      <c r="I323" s="227" t="s">
        <v>1329</v>
      </c>
      <c r="J323" s="268">
        <v>1</v>
      </c>
      <c r="K323" s="151">
        <v>10</v>
      </c>
      <c r="L323" s="151">
        <v>442</v>
      </c>
      <c r="M323" s="151" t="s">
        <v>1220</v>
      </c>
      <c r="N323" s="151">
        <v>5</v>
      </c>
      <c r="O323" s="227" t="s">
        <v>1404</v>
      </c>
      <c r="R323" s="151">
        <f>H323-350</f>
        <v>4857</v>
      </c>
      <c r="S323" s="151">
        <f>H323+350</f>
        <v>5557</v>
      </c>
      <c r="T323" s="151">
        <v>20</v>
      </c>
      <c r="U323" s="151">
        <v>36</v>
      </c>
      <c r="W323" s="227">
        <v>178</v>
      </c>
      <c r="X323" s="151">
        <v>1200</v>
      </c>
      <c r="Y323" s="151">
        <v>2073</v>
      </c>
      <c r="Z323" s="346"/>
      <c r="AA323" s="257"/>
      <c r="AB323" s="227"/>
      <c r="AD323" s="273"/>
      <c r="AG323" s="273"/>
    </row>
    <row r="324" spans="1:33" x14ac:dyDescent="0.2">
      <c r="A324" s="196">
        <v>45749</v>
      </c>
      <c r="B324" s="251">
        <v>0.39583333333333331</v>
      </c>
      <c r="C324" s="195" t="s">
        <v>1459</v>
      </c>
      <c r="D324" s="195" t="s">
        <v>1459</v>
      </c>
      <c r="E324" s="146" t="s">
        <v>1397</v>
      </c>
      <c r="H324" s="146">
        <v>-1835.7</v>
      </c>
      <c r="I324" s="195">
        <v>1</v>
      </c>
      <c r="J324" s="277">
        <v>1</v>
      </c>
      <c r="K324" s="146">
        <v>10</v>
      </c>
      <c r="L324" s="146">
        <v>532</v>
      </c>
      <c r="M324" s="146" t="s">
        <v>1220</v>
      </c>
      <c r="N324" s="146">
        <v>20</v>
      </c>
      <c r="O324" s="195" t="s">
        <v>1460</v>
      </c>
      <c r="W324" s="195">
        <v>65</v>
      </c>
      <c r="X324" s="146">
        <v>1500</v>
      </c>
      <c r="Y324" s="146">
        <v>2680</v>
      </c>
    </row>
    <row r="325" spans="1:33" x14ac:dyDescent="0.2">
      <c r="A325" s="196">
        <v>45749</v>
      </c>
      <c r="B325" s="251">
        <v>0.40625</v>
      </c>
      <c r="C325" s="195" t="s">
        <v>1459</v>
      </c>
      <c r="D325" s="195" t="s">
        <v>1459</v>
      </c>
      <c r="E325" s="146" t="s">
        <v>1397</v>
      </c>
      <c r="H325" s="146">
        <v>-1835.7</v>
      </c>
      <c r="I325" s="195">
        <v>1</v>
      </c>
      <c r="J325" s="277">
        <v>1</v>
      </c>
      <c r="K325" s="146">
        <v>10</v>
      </c>
      <c r="L325" s="146">
        <v>532</v>
      </c>
      <c r="M325" s="146" t="s">
        <v>1220</v>
      </c>
      <c r="N325" s="146">
        <v>20</v>
      </c>
      <c r="O325" s="195" t="s">
        <v>1460</v>
      </c>
      <c r="W325" s="195">
        <v>65</v>
      </c>
      <c r="X325" s="146">
        <v>1500</v>
      </c>
      <c r="Y325" s="146">
        <v>2680</v>
      </c>
    </row>
    <row r="326" spans="1:33" x14ac:dyDescent="0.2">
      <c r="A326" s="196">
        <v>45749</v>
      </c>
      <c r="B326" s="251">
        <v>0.40972222222222221</v>
      </c>
      <c r="C326" s="195" t="s">
        <v>1459</v>
      </c>
      <c r="D326" s="195" t="s">
        <v>1459</v>
      </c>
      <c r="E326" s="146" t="s">
        <v>1397</v>
      </c>
      <c r="H326" s="146">
        <v>-1835.7</v>
      </c>
      <c r="I326" s="195">
        <v>1</v>
      </c>
      <c r="J326" s="277">
        <v>1</v>
      </c>
      <c r="K326" s="146">
        <v>10</v>
      </c>
      <c r="L326" s="146">
        <v>532</v>
      </c>
      <c r="M326" s="146" t="s">
        <v>1220</v>
      </c>
      <c r="N326" s="146">
        <v>20</v>
      </c>
      <c r="O326" s="195" t="s">
        <v>1460</v>
      </c>
      <c r="W326" s="195">
        <v>65</v>
      </c>
      <c r="X326" s="146">
        <v>1500</v>
      </c>
      <c r="Y326" s="146">
        <v>2680</v>
      </c>
    </row>
    <row r="327" spans="1:33" x14ac:dyDescent="0.2">
      <c r="A327" s="196">
        <v>45749</v>
      </c>
      <c r="B327" s="251">
        <v>0.41666666666666669</v>
      </c>
      <c r="C327" s="195" t="s">
        <v>1459</v>
      </c>
      <c r="D327" s="195" t="s">
        <v>1459</v>
      </c>
      <c r="E327" s="146" t="s">
        <v>1397</v>
      </c>
      <c r="H327" s="146">
        <v>-1835.7</v>
      </c>
      <c r="I327" s="195">
        <v>1</v>
      </c>
      <c r="J327" s="277">
        <v>1</v>
      </c>
      <c r="K327" s="146">
        <v>30</v>
      </c>
      <c r="L327" s="146">
        <v>532</v>
      </c>
      <c r="M327" s="146" t="s">
        <v>1220</v>
      </c>
      <c r="N327" s="146">
        <v>20</v>
      </c>
      <c r="O327" s="195" t="s">
        <v>1460</v>
      </c>
      <c r="W327" s="195">
        <v>65</v>
      </c>
      <c r="X327" s="146">
        <v>1500</v>
      </c>
      <c r="Y327" s="146">
        <v>2680</v>
      </c>
    </row>
    <row r="328" spans="1:33" x14ac:dyDescent="0.2">
      <c r="A328" s="196">
        <v>45749</v>
      </c>
      <c r="B328" s="251">
        <v>0.4201388888888889</v>
      </c>
      <c r="C328" s="195" t="s">
        <v>1461</v>
      </c>
      <c r="D328" s="195" t="s">
        <v>1234</v>
      </c>
      <c r="H328" s="146">
        <v>-1835.7</v>
      </c>
      <c r="I328" s="195">
        <v>1</v>
      </c>
      <c r="J328" s="277">
        <v>1</v>
      </c>
      <c r="K328" s="146">
        <v>10</v>
      </c>
      <c r="L328" s="146">
        <v>532</v>
      </c>
      <c r="M328" s="146" t="s">
        <v>1220</v>
      </c>
      <c r="N328" s="146">
        <v>20</v>
      </c>
      <c r="O328" s="195" t="s">
        <v>1460</v>
      </c>
      <c r="W328" s="195">
        <v>65</v>
      </c>
      <c r="X328" s="146">
        <v>1500</v>
      </c>
      <c r="Y328" s="146">
        <v>2680</v>
      </c>
    </row>
    <row r="329" spans="1:33" x14ac:dyDescent="0.2">
      <c r="A329" s="196">
        <v>45749</v>
      </c>
      <c r="W329" s="195">
        <v>65</v>
      </c>
      <c r="X329" s="146">
        <v>1500</v>
      </c>
      <c r="Y329" s="146">
        <v>2680</v>
      </c>
    </row>
    <row r="330" spans="1:33" x14ac:dyDescent="0.2">
      <c r="A330" s="196">
        <v>45749</v>
      </c>
      <c r="W330" s="195">
        <v>65</v>
      </c>
      <c r="X330" s="146">
        <v>1500</v>
      </c>
      <c r="Y330" s="146">
        <v>2680</v>
      </c>
    </row>
    <row r="331" spans="1:33" x14ac:dyDescent="0.2">
      <c r="A331" s="196">
        <v>45749</v>
      </c>
      <c r="W331" s="195">
        <v>65</v>
      </c>
      <c r="X331" s="146">
        <v>1500</v>
      </c>
      <c r="Y331" s="146">
        <v>2680</v>
      </c>
    </row>
    <row r="332" spans="1:33" x14ac:dyDescent="0.2">
      <c r="A332" s="196">
        <v>45749</v>
      </c>
      <c r="W332" s="195">
        <v>65</v>
      </c>
      <c r="X332" s="146">
        <v>1500</v>
      </c>
      <c r="Y332" s="146">
        <v>2680</v>
      </c>
    </row>
    <row r="333" spans="1:33" x14ac:dyDescent="0.2">
      <c r="A333" s="196">
        <v>45749</v>
      </c>
      <c r="W333" s="195">
        <v>65</v>
      </c>
      <c r="X333" s="146">
        <v>1500</v>
      </c>
      <c r="Y333" s="146">
        <v>2680</v>
      </c>
    </row>
    <row r="334" spans="1:33" x14ac:dyDescent="0.2">
      <c r="A334" s="196">
        <v>45749</v>
      </c>
      <c r="W334" s="195">
        <v>65</v>
      </c>
      <c r="X334" s="146">
        <v>1500</v>
      </c>
      <c r="Y334" s="146">
        <v>2680</v>
      </c>
    </row>
    <row r="335" spans="1:33" x14ac:dyDescent="0.2">
      <c r="A335" s="196">
        <v>45749</v>
      </c>
      <c r="W335" s="195">
        <v>65</v>
      </c>
      <c r="X335" s="146">
        <v>1500</v>
      </c>
      <c r="Y335" s="146">
        <v>2680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5122-8D1F-43E1-A971-7189722DEC5A}">
  <dimension ref="A1:U1048545"/>
  <sheetViews>
    <sheetView tabSelected="1" topLeftCell="A106" workbookViewId="0">
      <selection activeCell="O122" sqref="O122"/>
    </sheetView>
  </sheetViews>
  <sheetFormatPr baseColWidth="10" defaultColWidth="9" defaultRowHeight="16" x14ac:dyDescent="0.2"/>
  <cols>
    <col min="1" max="1" width="10.1640625" style="146" customWidth="1"/>
    <col min="2" max="2" width="9" style="146" customWidth="1"/>
    <col min="3" max="3" width="9" style="146"/>
    <col min="4" max="4" width="22.33203125" style="146" customWidth="1"/>
    <col min="5" max="5" width="15" style="146" customWidth="1"/>
    <col min="6" max="6" width="12.5" style="146" customWidth="1"/>
    <col min="7" max="11" width="9" style="146"/>
    <col min="12" max="13" width="9" style="146" customWidth="1"/>
    <col min="14" max="14" width="14" style="146" customWidth="1"/>
    <col min="15" max="15" width="13.5" style="146" customWidth="1"/>
    <col min="16" max="16" width="10.6640625" style="146" bestFit="1" customWidth="1"/>
    <col min="17" max="17" width="10.6640625" style="146" customWidth="1"/>
    <col min="18" max="16384" width="9" style="146"/>
  </cols>
  <sheetData>
    <row r="1" spans="1:21" x14ac:dyDescent="0.2">
      <c r="A1" s="281" t="s">
        <v>1462</v>
      </c>
      <c r="B1" s="282" t="s">
        <v>1463</v>
      </c>
      <c r="C1" s="281" t="s">
        <v>997</v>
      </c>
      <c r="D1" s="281" t="s">
        <v>6</v>
      </c>
      <c r="E1" s="281" t="s">
        <v>1464</v>
      </c>
      <c r="F1" s="281" t="s">
        <v>1465</v>
      </c>
      <c r="G1" s="281" t="s">
        <v>1466</v>
      </c>
      <c r="H1" s="281" t="s">
        <v>1467</v>
      </c>
      <c r="I1" s="281" t="s">
        <v>1468</v>
      </c>
      <c r="J1" s="281" t="s">
        <v>1469</v>
      </c>
      <c r="K1" s="281" t="s">
        <v>1470</v>
      </c>
      <c r="L1" s="281" t="s">
        <v>1471</v>
      </c>
      <c r="M1" s="281" t="s">
        <v>1472</v>
      </c>
      <c r="N1" s="281" t="s">
        <v>1473</v>
      </c>
      <c r="O1" s="281" t="s">
        <v>1474</v>
      </c>
      <c r="P1" s="146" t="s">
        <v>1475</v>
      </c>
      <c r="Q1" s="146" t="s">
        <v>1476</v>
      </c>
      <c r="R1" s="146" t="s">
        <v>1477</v>
      </c>
      <c r="S1" s="146" t="s">
        <v>1475</v>
      </c>
      <c r="T1" s="146" t="s">
        <v>1476</v>
      </c>
      <c r="U1" s="146" t="s">
        <v>1477</v>
      </c>
    </row>
    <row r="2" spans="1:21" x14ac:dyDescent="0.2">
      <c r="A2" s="340">
        <v>692797</v>
      </c>
      <c r="B2" s="172"/>
      <c r="C2" s="173">
        <v>45861</v>
      </c>
      <c r="D2" s="280" t="s">
        <v>446</v>
      </c>
      <c r="E2" s="172" t="s">
        <v>1478</v>
      </c>
      <c r="F2" s="172">
        <v>104</v>
      </c>
      <c r="G2" s="172">
        <v>101</v>
      </c>
      <c r="H2" s="172">
        <v>56</v>
      </c>
      <c r="I2" s="172">
        <f>G2*H2</f>
        <v>5656</v>
      </c>
      <c r="J2" s="146" t="s">
        <v>1479</v>
      </c>
      <c r="K2" s="146" t="s">
        <v>1479</v>
      </c>
      <c r="L2" s="146" t="s">
        <v>1479</v>
      </c>
      <c r="M2" s="146" t="s">
        <v>1479</v>
      </c>
      <c r="N2" s="317" t="s">
        <v>1479</v>
      </c>
      <c r="O2" s="317" t="s">
        <v>1479</v>
      </c>
      <c r="P2" s="302">
        <f t="shared" ref="P2:P33" si="0">($S$2/$T$3)</f>
        <v>0.91959798994974873</v>
      </c>
      <c r="Q2" s="302">
        <f>($T$2/$T$3)</f>
        <v>0.8693467336683417</v>
      </c>
      <c r="R2" s="302">
        <f>($U$2/$T$3)</f>
        <v>0.53266331658291455</v>
      </c>
      <c r="S2" s="354">
        <f>COUNTIF(K2:K200, "&lt;&gt;")</f>
        <v>183</v>
      </c>
      <c r="T2" s="355">
        <f>COUNTIF(M2:M200, "&lt;&gt;")</f>
        <v>173</v>
      </c>
      <c r="U2" s="353">
        <f>COUNTIF(N2:N200, "&lt;&gt;")</f>
        <v>106</v>
      </c>
    </row>
    <row r="3" spans="1:21" x14ac:dyDescent="0.2">
      <c r="A3" s="357">
        <v>692822</v>
      </c>
      <c r="B3" s="172"/>
      <c r="C3" s="173">
        <v>45861</v>
      </c>
      <c r="D3" s="280" t="s">
        <v>446</v>
      </c>
      <c r="E3" s="172" t="s">
        <v>1478</v>
      </c>
      <c r="F3" s="172">
        <v>107</v>
      </c>
      <c r="G3" s="172">
        <v>98</v>
      </c>
      <c r="H3" s="172">
        <v>68</v>
      </c>
      <c r="I3" s="172">
        <v>6664</v>
      </c>
      <c r="J3" s="146" t="s">
        <v>1479</v>
      </c>
      <c r="K3" s="146" t="s">
        <v>1479</v>
      </c>
      <c r="L3" s="146" t="s">
        <v>1479</v>
      </c>
      <c r="M3" s="146" t="s">
        <v>1479</v>
      </c>
      <c r="N3" s="317" t="s">
        <v>1479</v>
      </c>
      <c r="O3" s="317" t="s">
        <v>1479</v>
      </c>
      <c r="P3" s="302">
        <f t="shared" si="0"/>
        <v>0.91959798994974873</v>
      </c>
      <c r="Q3" s="302">
        <f t="shared" ref="Q3:Q66" si="1">($T$2/$T$3)</f>
        <v>0.8693467336683417</v>
      </c>
      <c r="R3" s="302">
        <f t="shared" ref="R3:R66" si="2">($U$2/$T$3)</f>
        <v>0.53266331658291455</v>
      </c>
      <c r="S3" s="271"/>
      <c r="T3" s="353">
        <f>COUNTIF(A2:A200, "&lt;&gt;")</f>
        <v>199</v>
      </c>
      <c r="U3" s="271"/>
    </row>
    <row r="4" spans="1:21" ht="16.5" customHeight="1" x14ac:dyDescent="0.2">
      <c r="A4" s="357">
        <v>692824</v>
      </c>
      <c r="B4" s="172"/>
      <c r="C4" s="173">
        <v>45861</v>
      </c>
      <c r="D4" s="280" t="s">
        <v>446</v>
      </c>
      <c r="E4" s="172" t="s">
        <v>1478</v>
      </c>
      <c r="F4" s="172">
        <v>106</v>
      </c>
      <c r="G4" s="172">
        <v>105</v>
      </c>
      <c r="H4" s="172">
        <v>63</v>
      </c>
      <c r="I4" s="172">
        <v>6615</v>
      </c>
      <c r="J4" s="146" t="s">
        <v>1479</v>
      </c>
      <c r="K4" s="146" t="s">
        <v>1479</v>
      </c>
      <c r="L4" s="146" t="s">
        <v>1479</v>
      </c>
      <c r="M4" s="146" t="s">
        <v>1479</v>
      </c>
      <c r="N4" s="317" t="s">
        <v>1479</v>
      </c>
      <c r="O4" s="317" t="s">
        <v>1479</v>
      </c>
      <c r="P4" s="302">
        <f t="shared" si="0"/>
        <v>0.91959798994974873</v>
      </c>
      <c r="Q4" s="302">
        <f t="shared" si="1"/>
        <v>0.8693467336683417</v>
      </c>
      <c r="R4" s="302">
        <f t="shared" si="2"/>
        <v>0.53266331658291455</v>
      </c>
    </row>
    <row r="5" spans="1:21" x14ac:dyDescent="0.2">
      <c r="A5" s="356">
        <v>753760</v>
      </c>
      <c r="B5" s="172"/>
      <c r="C5" s="173">
        <v>45801</v>
      </c>
      <c r="D5" s="303" t="s">
        <v>297</v>
      </c>
      <c r="E5" s="172" t="s">
        <v>296</v>
      </c>
      <c r="F5" s="172">
        <v>302</v>
      </c>
      <c r="G5" s="172">
        <v>59</v>
      </c>
      <c r="H5" s="172">
        <v>155</v>
      </c>
      <c r="I5" s="172">
        <v>9157</v>
      </c>
      <c r="J5" s="146" t="s">
        <v>1479</v>
      </c>
      <c r="K5" s="146" t="s">
        <v>1479</v>
      </c>
      <c r="L5" s="146" t="s">
        <v>1479</v>
      </c>
      <c r="M5" s="146" t="s">
        <v>1479</v>
      </c>
      <c r="N5" s="336" t="s">
        <v>1479</v>
      </c>
      <c r="O5" s="336" t="s">
        <v>1480</v>
      </c>
      <c r="P5" s="302">
        <f t="shared" si="0"/>
        <v>0.91959798994974873</v>
      </c>
      <c r="Q5" s="302">
        <f t="shared" si="1"/>
        <v>0.8693467336683417</v>
      </c>
      <c r="R5" s="302">
        <f t="shared" si="2"/>
        <v>0.53266331658291455</v>
      </c>
    </row>
    <row r="6" spans="1:21" x14ac:dyDescent="0.2">
      <c r="A6" s="356">
        <v>753764</v>
      </c>
      <c r="B6" s="172"/>
      <c r="C6" s="173">
        <v>45801</v>
      </c>
      <c r="D6" s="303" t="s">
        <v>306</v>
      </c>
      <c r="E6" s="172" t="s">
        <v>296</v>
      </c>
      <c r="F6" s="172">
        <v>303</v>
      </c>
      <c r="G6" s="172">
        <v>37</v>
      </c>
      <c r="H6" s="172">
        <v>19</v>
      </c>
      <c r="I6" s="172">
        <v>725</v>
      </c>
      <c r="J6" s="146" t="s">
        <v>1479</v>
      </c>
      <c r="K6" s="146" t="s">
        <v>1479</v>
      </c>
      <c r="L6" s="146" t="s">
        <v>1479</v>
      </c>
      <c r="M6" s="146" t="s">
        <v>1479</v>
      </c>
      <c r="N6" s="336" t="s">
        <v>1479</v>
      </c>
      <c r="O6" s="336" t="s">
        <v>1480</v>
      </c>
      <c r="P6" s="302">
        <f t="shared" si="0"/>
        <v>0.91959798994974873</v>
      </c>
      <c r="Q6" s="302">
        <f t="shared" si="1"/>
        <v>0.8693467336683417</v>
      </c>
      <c r="R6" s="302">
        <f t="shared" si="2"/>
        <v>0.53266331658291455</v>
      </c>
    </row>
    <row r="7" spans="1:21" x14ac:dyDescent="0.2">
      <c r="A7" s="356">
        <v>753766</v>
      </c>
      <c r="B7" s="172"/>
      <c r="C7" s="173">
        <v>45801</v>
      </c>
      <c r="D7" s="303" t="s">
        <v>306</v>
      </c>
      <c r="E7" s="172" t="s">
        <v>296</v>
      </c>
      <c r="F7" s="172">
        <v>303</v>
      </c>
      <c r="G7" s="172">
        <v>71</v>
      </c>
      <c r="H7" s="172">
        <v>57</v>
      </c>
      <c r="I7" s="172">
        <v>4058</v>
      </c>
      <c r="J7" s="146" t="s">
        <v>1479</v>
      </c>
      <c r="K7" s="146" t="s">
        <v>1479</v>
      </c>
      <c r="L7" s="146" t="s">
        <v>1479</v>
      </c>
      <c r="M7" s="146" t="s">
        <v>1479</v>
      </c>
      <c r="N7" s="336" t="s">
        <v>1479</v>
      </c>
      <c r="O7" s="336" t="s">
        <v>1481</v>
      </c>
      <c r="P7" s="302">
        <f t="shared" si="0"/>
        <v>0.91959798994974873</v>
      </c>
      <c r="Q7" s="302">
        <f t="shared" si="1"/>
        <v>0.8693467336683417</v>
      </c>
      <c r="R7" s="302">
        <f t="shared" si="2"/>
        <v>0.53266331658291455</v>
      </c>
    </row>
    <row r="8" spans="1:21" x14ac:dyDescent="0.2">
      <c r="A8" s="356">
        <v>753767</v>
      </c>
      <c r="B8" s="172"/>
      <c r="C8" s="173">
        <v>45801</v>
      </c>
      <c r="D8" s="303" t="s">
        <v>297</v>
      </c>
      <c r="E8" s="172" t="s">
        <v>296</v>
      </c>
      <c r="F8" s="172">
        <v>304</v>
      </c>
      <c r="G8" s="172">
        <v>77</v>
      </c>
      <c r="H8" s="172">
        <v>71</v>
      </c>
      <c r="I8" s="172">
        <v>5457</v>
      </c>
      <c r="J8" s="146" t="s">
        <v>1479</v>
      </c>
      <c r="K8" s="146" t="s">
        <v>1479</v>
      </c>
      <c r="L8" s="146" t="s">
        <v>1479</v>
      </c>
      <c r="M8" s="146" t="s">
        <v>1479</v>
      </c>
      <c r="N8" s="336" t="s">
        <v>1479</v>
      </c>
      <c r="O8" s="336" t="s">
        <v>1480</v>
      </c>
      <c r="P8" s="302">
        <f t="shared" si="0"/>
        <v>0.91959798994974873</v>
      </c>
      <c r="Q8" s="302">
        <f t="shared" si="1"/>
        <v>0.8693467336683417</v>
      </c>
      <c r="R8" s="302">
        <f t="shared" si="2"/>
        <v>0.53266331658291455</v>
      </c>
    </row>
    <row r="9" spans="1:21" x14ac:dyDescent="0.2">
      <c r="A9" s="358">
        <v>753768</v>
      </c>
      <c r="B9" s="172"/>
      <c r="C9" s="173">
        <v>45801</v>
      </c>
      <c r="D9" s="303" t="s">
        <v>297</v>
      </c>
      <c r="E9" s="172" t="s">
        <v>296</v>
      </c>
      <c r="F9" s="172">
        <v>306</v>
      </c>
      <c r="G9" s="172">
        <v>74</v>
      </c>
      <c r="H9" s="172">
        <v>57</v>
      </c>
      <c r="I9" s="172">
        <v>4243</v>
      </c>
      <c r="J9" s="146" t="s">
        <v>1479</v>
      </c>
      <c r="K9" s="146" t="s">
        <v>1479</v>
      </c>
      <c r="L9" s="146" t="s">
        <v>1479</v>
      </c>
      <c r="M9" s="146" t="s">
        <v>1479</v>
      </c>
      <c r="N9" s="336" t="s">
        <v>1479</v>
      </c>
      <c r="O9" s="336" t="s">
        <v>1479</v>
      </c>
      <c r="P9" s="302">
        <f t="shared" si="0"/>
        <v>0.91959798994974873</v>
      </c>
      <c r="Q9" s="302">
        <f t="shared" si="1"/>
        <v>0.8693467336683417</v>
      </c>
      <c r="R9" s="302">
        <f t="shared" si="2"/>
        <v>0.53266331658291455</v>
      </c>
    </row>
    <row r="10" spans="1:21" x14ac:dyDescent="0.2">
      <c r="A10" s="356">
        <v>753775</v>
      </c>
      <c r="B10" s="172"/>
      <c r="C10" s="173">
        <v>45801</v>
      </c>
      <c r="D10" s="303" t="s">
        <v>306</v>
      </c>
      <c r="E10" s="172" t="s">
        <v>296</v>
      </c>
      <c r="F10" s="172">
        <v>307</v>
      </c>
      <c r="G10" s="172">
        <v>94</v>
      </c>
      <c r="H10" s="172">
        <v>57</v>
      </c>
      <c r="I10" s="172">
        <v>5365</v>
      </c>
      <c r="J10" s="146" t="s">
        <v>1479</v>
      </c>
      <c r="K10" s="146" t="s">
        <v>1479</v>
      </c>
      <c r="L10" s="146" t="s">
        <v>1479</v>
      </c>
      <c r="M10" s="146" t="s">
        <v>1479</v>
      </c>
      <c r="N10" s="336" t="s">
        <v>1479</v>
      </c>
      <c r="O10" s="336" t="s">
        <v>1480</v>
      </c>
      <c r="P10" s="302">
        <f t="shared" si="0"/>
        <v>0.91959798994974873</v>
      </c>
      <c r="Q10" s="302">
        <f t="shared" si="1"/>
        <v>0.8693467336683417</v>
      </c>
      <c r="R10" s="302">
        <f t="shared" si="2"/>
        <v>0.53266331658291455</v>
      </c>
    </row>
    <row r="11" spans="1:21" x14ac:dyDescent="0.2">
      <c r="A11" s="358">
        <v>753774</v>
      </c>
      <c r="B11" s="172"/>
      <c r="C11" s="173">
        <v>45801</v>
      </c>
      <c r="D11" s="303" t="s">
        <v>306</v>
      </c>
      <c r="E11" s="172" t="s">
        <v>296</v>
      </c>
      <c r="F11" s="172">
        <v>309</v>
      </c>
      <c r="G11" s="172">
        <v>59</v>
      </c>
      <c r="H11" s="172">
        <v>55</v>
      </c>
      <c r="I11" s="172">
        <v>3208</v>
      </c>
      <c r="J11" s="146" t="s">
        <v>1479</v>
      </c>
      <c r="K11" s="146" t="s">
        <v>1479</v>
      </c>
      <c r="L11" s="146" t="s">
        <v>1479</v>
      </c>
      <c r="M11" s="146" t="s">
        <v>1479</v>
      </c>
      <c r="N11" s="336" t="s">
        <v>1479</v>
      </c>
      <c r="O11" s="336" t="s">
        <v>1479</v>
      </c>
      <c r="P11" s="302">
        <f t="shared" si="0"/>
        <v>0.91959798994974873</v>
      </c>
      <c r="Q11" s="302">
        <f t="shared" si="1"/>
        <v>0.8693467336683417</v>
      </c>
      <c r="R11" s="302">
        <f t="shared" si="2"/>
        <v>0.53266331658291455</v>
      </c>
    </row>
    <row r="12" spans="1:21" x14ac:dyDescent="0.2">
      <c r="A12" s="358">
        <v>753770</v>
      </c>
      <c r="B12" s="172"/>
      <c r="C12" s="173">
        <v>45801</v>
      </c>
      <c r="D12" s="303" t="s">
        <v>306</v>
      </c>
      <c r="E12" s="172" t="s">
        <v>296</v>
      </c>
      <c r="F12" s="172">
        <v>310</v>
      </c>
      <c r="G12" s="172">
        <v>51</v>
      </c>
      <c r="H12" s="172">
        <v>70</v>
      </c>
      <c r="I12" s="172">
        <v>3541</v>
      </c>
      <c r="J12" s="146" t="s">
        <v>1479</v>
      </c>
      <c r="K12" s="146" t="s">
        <v>1479</v>
      </c>
      <c r="L12" s="146" t="s">
        <v>1479</v>
      </c>
      <c r="M12" s="146" t="s">
        <v>1479</v>
      </c>
      <c r="N12" s="336" t="s">
        <v>1479</v>
      </c>
      <c r="O12" s="336" t="s">
        <v>1479</v>
      </c>
      <c r="P12" s="302">
        <f t="shared" si="0"/>
        <v>0.91959798994974873</v>
      </c>
      <c r="Q12" s="302">
        <f t="shared" si="1"/>
        <v>0.8693467336683417</v>
      </c>
      <c r="R12" s="302">
        <f t="shared" si="2"/>
        <v>0.53266331658291455</v>
      </c>
    </row>
    <row r="13" spans="1:21" x14ac:dyDescent="0.2">
      <c r="A13" s="356">
        <v>753771</v>
      </c>
      <c r="B13" s="172"/>
      <c r="C13" s="173">
        <v>45801</v>
      </c>
      <c r="D13" s="303" t="s">
        <v>306</v>
      </c>
      <c r="E13" s="172" t="s">
        <v>296</v>
      </c>
      <c r="F13" s="172">
        <v>310</v>
      </c>
      <c r="G13" s="172">
        <v>20</v>
      </c>
      <c r="H13" s="172">
        <v>28</v>
      </c>
      <c r="I13" s="172">
        <v>567</v>
      </c>
      <c r="J13" s="146" t="s">
        <v>1479</v>
      </c>
      <c r="K13" s="146" t="s">
        <v>1479</v>
      </c>
      <c r="L13" s="146" t="s">
        <v>1479</v>
      </c>
      <c r="M13" s="146" t="s">
        <v>1479</v>
      </c>
      <c r="N13" s="336" t="s">
        <v>1479</v>
      </c>
      <c r="O13" s="336" t="s">
        <v>1480</v>
      </c>
      <c r="P13" s="302">
        <f t="shared" si="0"/>
        <v>0.91959798994974873</v>
      </c>
      <c r="Q13" s="302">
        <f t="shared" si="1"/>
        <v>0.8693467336683417</v>
      </c>
      <c r="R13" s="302">
        <f t="shared" si="2"/>
        <v>0.53266331658291455</v>
      </c>
    </row>
    <row r="14" spans="1:21" x14ac:dyDescent="0.2">
      <c r="A14" s="356">
        <v>753772</v>
      </c>
      <c r="B14" s="172"/>
      <c r="C14" s="173">
        <v>45801</v>
      </c>
      <c r="D14" s="303" t="s">
        <v>306</v>
      </c>
      <c r="E14" s="172" t="s">
        <v>296</v>
      </c>
      <c r="F14" s="172">
        <v>310</v>
      </c>
      <c r="G14" s="172">
        <v>20</v>
      </c>
      <c r="H14" s="172">
        <v>28</v>
      </c>
      <c r="I14" s="172">
        <v>567</v>
      </c>
      <c r="J14" s="146" t="s">
        <v>1479</v>
      </c>
      <c r="K14" s="146" t="s">
        <v>1479</v>
      </c>
      <c r="L14" s="146" t="s">
        <v>1479</v>
      </c>
      <c r="M14" s="146" t="s">
        <v>1479</v>
      </c>
      <c r="N14" s="336" t="s">
        <v>1479</v>
      </c>
      <c r="O14" s="336" t="s">
        <v>1480</v>
      </c>
      <c r="P14" s="302">
        <f t="shared" si="0"/>
        <v>0.91959798994974873</v>
      </c>
      <c r="Q14" s="302">
        <f t="shared" si="1"/>
        <v>0.8693467336683417</v>
      </c>
      <c r="R14" s="302">
        <f t="shared" si="2"/>
        <v>0.53266331658291455</v>
      </c>
    </row>
    <row r="15" spans="1:21" x14ac:dyDescent="0.2">
      <c r="A15" s="356">
        <v>753773</v>
      </c>
      <c r="B15" s="172"/>
      <c r="C15" s="173">
        <v>45801</v>
      </c>
      <c r="D15" s="303" t="s">
        <v>306</v>
      </c>
      <c r="E15" s="172" t="s">
        <v>296</v>
      </c>
      <c r="F15" s="172">
        <v>310</v>
      </c>
      <c r="G15" s="172">
        <v>51</v>
      </c>
      <c r="H15" s="172">
        <v>17</v>
      </c>
      <c r="I15" s="172">
        <v>859</v>
      </c>
      <c r="J15" s="146" t="s">
        <v>1479</v>
      </c>
      <c r="K15" s="146" t="s">
        <v>1479</v>
      </c>
      <c r="L15" s="146" t="s">
        <v>1479</v>
      </c>
      <c r="M15" s="146" t="s">
        <v>1479</v>
      </c>
      <c r="N15" s="336" t="s">
        <v>1479</v>
      </c>
      <c r="O15" s="336" t="s">
        <v>1480</v>
      </c>
      <c r="P15" s="302">
        <f t="shared" si="0"/>
        <v>0.91959798994974873</v>
      </c>
      <c r="Q15" s="302">
        <f t="shared" si="1"/>
        <v>0.8693467336683417</v>
      </c>
      <c r="R15" s="302">
        <f t="shared" si="2"/>
        <v>0.53266331658291455</v>
      </c>
    </row>
    <row r="16" spans="1:21" x14ac:dyDescent="0.2">
      <c r="A16" s="356">
        <v>753786</v>
      </c>
      <c r="B16" s="172"/>
      <c r="C16" s="173">
        <v>45801</v>
      </c>
      <c r="D16" s="303" t="s">
        <v>297</v>
      </c>
      <c r="E16" s="172" t="s">
        <v>296</v>
      </c>
      <c r="F16" s="172">
        <v>301</v>
      </c>
      <c r="G16" s="172">
        <v>85</v>
      </c>
      <c r="H16" s="172">
        <v>170</v>
      </c>
      <c r="I16" s="172">
        <v>14450</v>
      </c>
      <c r="J16" s="146" t="s">
        <v>1479</v>
      </c>
      <c r="K16" s="146" t="s">
        <v>1479</v>
      </c>
      <c r="L16" s="146" t="s">
        <v>1479</v>
      </c>
      <c r="M16" s="146" t="s">
        <v>1479</v>
      </c>
      <c r="N16" s="336" t="s">
        <v>1479</v>
      </c>
      <c r="O16" s="336" t="s">
        <v>1480</v>
      </c>
      <c r="P16" s="302">
        <f t="shared" si="0"/>
        <v>0.91959798994974873</v>
      </c>
      <c r="Q16" s="302">
        <f t="shared" si="1"/>
        <v>0.8693467336683417</v>
      </c>
      <c r="R16" s="302">
        <f t="shared" si="2"/>
        <v>0.53266331658291455</v>
      </c>
    </row>
    <row r="17" spans="1:18" x14ac:dyDescent="0.2">
      <c r="A17" s="358">
        <v>753785</v>
      </c>
      <c r="B17" s="172"/>
      <c r="C17" s="173">
        <v>45801</v>
      </c>
      <c r="D17" s="303" t="s">
        <v>297</v>
      </c>
      <c r="E17" s="172" t="s">
        <v>296</v>
      </c>
      <c r="F17" s="172">
        <v>301</v>
      </c>
      <c r="G17" s="172">
        <v>85</v>
      </c>
      <c r="H17" s="172">
        <v>170</v>
      </c>
      <c r="I17" s="172">
        <v>14450</v>
      </c>
      <c r="J17" s="146" t="s">
        <v>1479</v>
      </c>
      <c r="K17" s="146" t="s">
        <v>1479</v>
      </c>
      <c r="L17" s="146" t="s">
        <v>1479</v>
      </c>
      <c r="M17" s="146" t="s">
        <v>1479</v>
      </c>
      <c r="N17" s="336" t="s">
        <v>1479</v>
      </c>
      <c r="O17" s="336" t="s">
        <v>1479</v>
      </c>
      <c r="P17" s="302">
        <f t="shared" si="0"/>
        <v>0.91959798994974873</v>
      </c>
      <c r="Q17" s="302">
        <f t="shared" si="1"/>
        <v>0.8693467336683417</v>
      </c>
      <c r="R17" s="302">
        <f t="shared" si="2"/>
        <v>0.53266331658291455</v>
      </c>
    </row>
    <row r="18" spans="1:18" x14ac:dyDescent="0.2">
      <c r="A18" s="356">
        <v>753784</v>
      </c>
      <c r="B18" s="172"/>
      <c r="C18" s="173">
        <v>45801</v>
      </c>
      <c r="D18" s="303" t="s">
        <v>297</v>
      </c>
      <c r="E18" s="172" t="s">
        <v>296</v>
      </c>
      <c r="F18" s="172">
        <v>301</v>
      </c>
      <c r="G18" s="172">
        <v>24</v>
      </c>
      <c r="H18" s="172">
        <v>22</v>
      </c>
      <c r="I18" s="172">
        <v>528</v>
      </c>
      <c r="J18" s="146" t="s">
        <v>1479</v>
      </c>
      <c r="K18" s="146" t="s">
        <v>1479</v>
      </c>
      <c r="L18" s="146" t="s">
        <v>1479</v>
      </c>
      <c r="M18" s="146" t="s">
        <v>1479</v>
      </c>
      <c r="N18" s="336" t="s">
        <v>1479</v>
      </c>
      <c r="O18" s="336" t="s">
        <v>1480</v>
      </c>
      <c r="P18" s="302">
        <f t="shared" si="0"/>
        <v>0.91959798994974873</v>
      </c>
      <c r="Q18" s="302">
        <f t="shared" si="1"/>
        <v>0.8693467336683417</v>
      </c>
      <c r="R18" s="302">
        <f t="shared" si="2"/>
        <v>0.53266331658291455</v>
      </c>
    </row>
    <row r="19" spans="1:18" x14ac:dyDescent="0.2">
      <c r="A19" s="358">
        <v>753769</v>
      </c>
      <c r="B19" s="172"/>
      <c r="C19" s="173">
        <v>45801</v>
      </c>
      <c r="D19" s="303" t="s">
        <v>306</v>
      </c>
      <c r="E19" s="172" t="s">
        <v>296</v>
      </c>
      <c r="F19" s="172">
        <v>308</v>
      </c>
      <c r="G19" s="172">
        <v>47</v>
      </c>
      <c r="H19" s="172">
        <v>76</v>
      </c>
      <c r="I19" s="172">
        <v>3552</v>
      </c>
      <c r="J19" s="146" t="s">
        <v>1479</v>
      </c>
      <c r="K19" s="146" t="s">
        <v>1479</v>
      </c>
      <c r="L19" s="146" t="s">
        <v>1479</v>
      </c>
      <c r="M19" s="146" t="s">
        <v>1479</v>
      </c>
      <c r="N19" s="336" t="s">
        <v>1479</v>
      </c>
      <c r="O19" s="336" t="s">
        <v>1479</v>
      </c>
      <c r="P19" s="302">
        <f t="shared" si="0"/>
        <v>0.91959798994974873</v>
      </c>
      <c r="Q19" s="302">
        <f t="shared" si="1"/>
        <v>0.8693467336683417</v>
      </c>
      <c r="R19" s="302">
        <f t="shared" si="2"/>
        <v>0.53266331658291455</v>
      </c>
    </row>
    <row r="20" spans="1:18" x14ac:dyDescent="0.2">
      <c r="A20" s="358">
        <v>753831</v>
      </c>
      <c r="B20" s="172"/>
      <c r="C20" s="173">
        <v>45801</v>
      </c>
      <c r="D20" s="303" t="s">
        <v>297</v>
      </c>
      <c r="E20" s="172" t="s">
        <v>296</v>
      </c>
      <c r="F20" s="172">
        <v>305</v>
      </c>
      <c r="G20" s="172">
        <v>95</v>
      </c>
      <c r="H20" s="172">
        <v>135</v>
      </c>
      <c r="I20" s="172">
        <v>12825</v>
      </c>
      <c r="J20" s="146" t="s">
        <v>1479</v>
      </c>
      <c r="K20" s="146" t="s">
        <v>1479</v>
      </c>
      <c r="L20" s="146" t="s">
        <v>1479</v>
      </c>
      <c r="M20" s="146" t="s">
        <v>1479</v>
      </c>
      <c r="N20" s="336" t="s">
        <v>1479</v>
      </c>
      <c r="O20" s="336" t="s">
        <v>1479</v>
      </c>
      <c r="P20" s="302">
        <f t="shared" si="0"/>
        <v>0.91959798994974873</v>
      </c>
      <c r="Q20" s="302">
        <f t="shared" si="1"/>
        <v>0.8693467336683417</v>
      </c>
      <c r="R20" s="302">
        <f t="shared" si="2"/>
        <v>0.53266331658291455</v>
      </c>
    </row>
    <row r="21" spans="1:18" x14ac:dyDescent="0.2">
      <c r="A21" s="357">
        <v>692798</v>
      </c>
      <c r="B21" s="172"/>
      <c r="C21" s="173">
        <v>45861</v>
      </c>
      <c r="D21" s="280" t="s">
        <v>251</v>
      </c>
      <c r="E21" s="172" t="s">
        <v>1478</v>
      </c>
      <c r="F21" s="172">
        <v>100</v>
      </c>
      <c r="G21" s="172">
        <v>101</v>
      </c>
      <c r="H21" s="172">
        <v>61</v>
      </c>
      <c r="I21" s="172">
        <v>6161</v>
      </c>
      <c r="J21" s="146" t="s">
        <v>1479</v>
      </c>
      <c r="K21" s="146" t="s">
        <v>1479</v>
      </c>
      <c r="L21" s="146" t="s">
        <v>1479</v>
      </c>
      <c r="M21" s="146" t="s">
        <v>1479</v>
      </c>
      <c r="N21" s="317" t="s">
        <v>1479</v>
      </c>
      <c r="O21" s="317" t="s">
        <v>1479</v>
      </c>
      <c r="P21" s="302">
        <f t="shared" si="0"/>
        <v>0.91959798994974873</v>
      </c>
      <c r="Q21" s="302">
        <f t="shared" si="1"/>
        <v>0.8693467336683417</v>
      </c>
      <c r="R21" s="302">
        <f t="shared" si="2"/>
        <v>0.53266331658291455</v>
      </c>
    </row>
    <row r="22" spans="1:18" x14ac:dyDescent="0.2">
      <c r="A22" s="357">
        <v>692823</v>
      </c>
      <c r="B22" s="172"/>
      <c r="C22" s="173">
        <v>45861</v>
      </c>
      <c r="D22" s="280" t="s">
        <v>251</v>
      </c>
      <c r="E22" s="172" t="s">
        <v>1478</v>
      </c>
      <c r="F22" s="172">
        <v>97</v>
      </c>
      <c r="G22" s="172">
        <v>71</v>
      </c>
      <c r="H22" s="172">
        <v>86</v>
      </c>
      <c r="I22" s="172">
        <v>6106</v>
      </c>
      <c r="J22" s="146" t="s">
        <v>1479</v>
      </c>
      <c r="K22" s="146" t="s">
        <v>1479</v>
      </c>
      <c r="L22" s="146" t="s">
        <v>1479</v>
      </c>
      <c r="M22" s="146" t="s">
        <v>1479</v>
      </c>
      <c r="N22" s="317" t="s">
        <v>1479</v>
      </c>
      <c r="O22" s="317" t="s">
        <v>1479</v>
      </c>
      <c r="P22" s="302">
        <f t="shared" si="0"/>
        <v>0.91959798994974873</v>
      </c>
      <c r="Q22" s="302">
        <f t="shared" si="1"/>
        <v>0.8693467336683417</v>
      </c>
      <c r="R22" s="302">
        <f t="shared" si="2"/>
        <v>0.53266331658291455</v>
      </c>
    </row>
    <row r="23" spans="1:18" x14ac:dyDescent="0.2">
      <c r="A23" s="340">
        <v>692834</v>
      </c>
      <c r="B23" s="172"/>
      <c r="C23" s="173">
        <v>45861</v>
      </c>
      <c r="D23" s="280" t="s">
        <v>251</v>
      </c>
      <c r="E23" s="172" t="s">
        <v>1478</v>
      </c>
      <c r="F23" s="172">
        <v>96</v>
      </c>
      <c r="G23" s="172">
        <v>101</v>
      </c>
      <c r="H23" s="172">
        <v>55</v>
      </c>
      <c r="I23" s="172">
        <f>G23*H23</f>
        <v>5555</v>
      </c>
      <c r="J23" s="146" t="s">
        <v>1479</v>
      </c>
      <c r="K23" s="146" t="s">
        <v>1479</v>
      </c>
      <c r="L23" s="146" t="s">
        <v>1479</v>
      </c>
      <c r="M23" s="146" t="s">
        <v>1479</v>
      </c>
      <c r="N23" s="317" t="s">
        <v>1479</v>
      </c>
      <c r="O23" s="317"/>
      <c r="P23" s="302">
        <f t="shared" si="0"/>
        <v>0.91959798994974873</v>
      </c>
      <c r="Q23" s="302">
        <f t="shared" si="1"/>
        <v>0.8693467336683417</v>
      </c>
      <c r="R23" s="302">
        <f t="shared" si="2"/>
        <v>0.53266331658291455</v>
      </c>
    </row>
    <row r="24" spans="1:18" x14ac:dyDescent="0.2">
      <c r="A24" s="304">
        <v>725637</v>
      </c>
      <c r="B24" s="172" t="s">
        <v>1482</v>
      </c>
      <c r="C24" s="173">
        <v>46014</v>
      </c>
      <c r="D24" s="280" t="s">
        <v>251</v>
      </c>
      <c r="E24" s="172" t="s">
        <v>1478</v>
      </c>
      <c r="F24" s="237">
        <v>157</v>
      </c>
      <c r="G24" s="172">
        <v>60</v>
      </c>
      <c r="H24" s="172">
        <v>105</v>
      </c>
      <c r="I24" s="172">
        <v>6300</v>
      </c>
      <c r="N24" s="317" t="s">
        <v>1479</v>
      </c>
      <c r="O24" s="317" t="s">
        <v>1483</v>
      </c>
      <c r="P24" s="302">
        <f t="shared" si="0"/>
        <v>0.91959798994974873</v>
      </c>
      <c r="Q24" s="302">
        <f t="shared" si="1"/>
        <v>0.8693467336683417</v>
      </c>
      <c r="R24" s="302">
        <f t="shared" si="2"/>
        <v>0.53266331658291455</v>
      </c>
    </row>
    <row r="25" spans="1:18" x14ac:dyDescent="0.2">
      <c r="A25" s="340">
        <v>753780</v>
      </c>
      <c r="B25" s="172"/>
      <c r="C25" s="173">
        <v>45801</v>
      </c>
      <c r="D25" s="280" t="s">
        <v>251</v>
      </c>
      <c r="E25" s="172" t="s">
        <v>1478</v>
      </c>
      <c r="F25" s="172">
        <v>322</v>
      </c>
      <c r="G25" s="172">
        <v>23</v>
      </c>
      <c r="H25" s="172">
        <v>15</v>
      </c>
      <c r="I25" s="172">
        <f>G25*H25</f>
        <v>345</v>
      </c>
      <c r="J25" s="146" t="s">
        <v>1479</v>
      </c>
      <c r="K25" s="146" t="s">
        <v>1479</v>
      </c>
      <c r="L25" s="146" t="s">
        <v>1479</v>
      </c>
      <c r="M25" s="146" t="s">
        <v>1479</v>
      </c>
      <c r="N25" s="317" t="s">
        <v>1479</v>
      </c>
      <c r="O25" s="317" t="s">
        <v>1484</v>
      </c>
      <c r="P25" s="302">
        <f t="shared" si="0"/>
        <v>0.91959798994974873</v>
      </c>
      <c r="Q25" s="302">
        <f t="shared" si="1"/>
        <v>0.8693467336683417</v>
      </c>
      <c r="R25" s="302">
        <f t="shared" si="2"/>
        <v>0.53266331658291455</v>
      </c>
    </row>
    <row r="26" spans="1:18" x14ac:dyDescent="0.2">
      <c r="A26" s="340">
        <v>753781</v>
      </c>
      <c r="B26" s="172"/>
      <c r="C26" s="173">
        <v>45801</v>
      </c>
      <c r="D26" s="280" t="s">
        <v>251</v>
      </c>
      <c r="E26" s="172" t="s">
        <v>1478</v>
      </c>
      <c r="F26" s="172">
        <v>322</v>
      </c>
      <c r="G26" s="172">
        <v>63</v>
      </c>
      <c r="H26" s="172">
        <v>124</v>
      </c>
      <c r="I26" s="172">
        <v>7738</v>
      </c>
      <c r="J26" s="146" t="s">
        <v>1479</v>
      </c>
      <c r="K26" s="146" t="s">
        <v>1479</v>
      </c>
      <c r="L26" s="146" t="s">
        <v>1479</v>
      </c>
      <c r="M26" s="146" t="s">
        <v>1479</v>
      </c>
      <c r="N26" s="317" t="s">
        <v>1479</v>
      </c>
      <c r="O26" s="317" t="s">
        <v>1485</v>
      </c>
      <c r="P26" s="302">
        <f t="shared" si="0"/>
        <v>0.91959798994974873</v>
      </c>
      <c r="Q26" s="302">
        <f t="shared" si="1"/>
        <v>0.8693467336683417</v>
      </c>
      <c r="R26" s="302">
        <f t="shared" si="2"/>
        <v>0.53266331658291455</v>
      </c>
    </row>
    <row r="27" spans="1:18" x14ac:dyDescent="0.2">
      <c r="A27" s="340">
        <v>753782</v>
      </c>
      <c r="B27" s="172"/>
      <c r="C27" s="173">
        <v>45801</v>
      </c>
      <c r="D27" s="280" t="s">
        <v>251</v>
      </c>
      <c r="E27" s="172" t="s">
        <v>1478</v>
      </c>
      <c r="F27" s="172" t="s">
        <v>438</v>
      </c>
      <c r="G27" s="172">
        <v>30</v>
      </c>
      <c r="H27" s="172">
        <v>33</v>
      </c>
      <c r="I27" s="172">
        <v>985</v>
      </c>
      <c r="J27" s="146" t="s">
        <v>1479</v>
      </c>
      <c r="K27" s="146" t="s">
        <v>1479</v>
      </c>
      <c r="L27" s="146" t="s">
        <v>1479</v>
      </c>
      <c r="M27" s="146" t="s">
        <v>1479</v>
      </c>
      <c r="N27" s="317" t="s">
        <v>1479</v>
      </c>
      <c r="O27" s="317" t="s">
        <v>1484</v>
      </c>
      <c r="P27" s="302">
        <f t="shared" si="0"/>
        <v>0.91959798994974873</v>
      </c>
      <c r="Q27" s="302">
        <f t="shared" si="1"/>
        <v>0.8693467336683417</v>
      </c>
      <c r="R27" s="302">
        <f t="shared" si="2"/>
        <v>0.53266331658291455</v>
      </c>
    </row>
    <row r="28" spans="1:18" x14ac:dyDescent="0.2">
      <c r="A28" s="357">
        <v>753783</v>
      </c>
      <c r="B28" s="172"/>
      <c r="C28" s="173">
        <v>45801</v>
      </c>
      <c r="D28" s="280" t="s">
        <v>251</v>
      </c>
      <c r="E28" s="172" t="s">
        <v>1478</v>
      </c>
      <c r="F28" s="172" t="s">
        <v>438</v>
      </c>
      <c r="G28" s="172">
        <v>63</v>
      </c>
      <c r="H28" s="172">
        <v>140</v>
      </c>
      <c r="I28" s="172">
        <v>8750</v>
      </c>
      <c r="J28" s="146" t="s">
        <v>1479</v>
      </c>
      <c r="K28" s="146" t="s">
        <v>1479</v>
      </c>
      <c r="L28" s="146" t="s">
        <v>1479</v>
      </c>
      <c r="M28" s="146" t="s">
        <v>1479</v>
      </c>
      <c r="N28" s="317" t="s">
        <v>1479</v>
      </c>
      <c r="O28" s="317" t="s">
        <v>1479</v>
      </c>
      <c r="P28" s="302">
        <f t="shared" si="0"/>
        <v>0.91959798994974873</v>
      </c>
      <c r="Q28" s="302">
        <f t="shared" si="1"/>
        <v>0.8693467336683417</v>
      </c>
      <c r="R28" s="302">
        <f t="shared" si="2"/>
        <v>0.53266331658291455</v>
      </c>
    </row>
    <row r="29" spans="1:18" x14ac:dyDescent="0.2">
      <c r="A29" s="340">
        <v>725396</v>
      </c>
      <c r="B29" s="172">
        <v>725488</v>
      </c>
      <c r="C29" s="173">
        <v>46014</v>
      </c>
      <c r="D29" s="280" t="s">
        <v>560</v>
      </c>
      <c r="E29" s="172" t="s">
        <v>1478</v>
      </c>
      <c r="F29" s="237">
        <v>163</v>
      </c>
      <c r="G29" s="172">
        <v>55</v>
      </c>
      <c r="H29" s="172">
        <v>92.5</v>
      </c>
      <c r="I29" s="172">
        <v>5087.5</v>
      </c>
      <c r="J29" s="146" t="s">
        <v>1479</v>
      </c>
      <c r="K29" s="146" t="s">
        <v>1479</v>
      </c>
      <c r="M29" s="146" t="s">
        <v>1479</v>
      </c>
      <c r="N29" s="317" t="s">
        <v>1479</v>
      </c>
      <c r="O29" s="317" t="s">
        <v>1486</v>
      </c>
      <c r="P29" s="302">
        <f t="shared" si="0"/>
        <v>0.91959798994974873</v>
      </c>
      <c r="Q29" s="302">
        <f t="shared" si="1"/>
        <v>0.8693467336683417</v>
      </c>
      <c r="R29" s="302">
        <f t="shared" si="2"/>
        <v>0.53266331658291455</v>
      </c>
    </row>
    <row r="30" spans="1:18" x14ac:dyDescent="0.2">
      <c r="A30" s="340">
        <v>725493</v>
      </c>
      <c r="B30" s="172">
        <v>725582</v>
      </c>
      <c r="C30" s="173">
        <v>46014</v>
      </c>
      <c r="D30" s="280" t="s">
        <v>560</v>
      </c>
      <c r="E30" s="172" t="s">
        <v>1478</v>
      </c>
      <c r="F30" s="172">
        <v>168</v>
      </c>
      <c r="G30" s="172">
        <v>40</v>
      </c>
      <c r="H30" s="172">
        <v>90</v>
      </c>
      <c r="I30" s="172">
        <v>3600</v>
      </c>
      <c r="J30" s="146" t="s">
        <v>1479</v>
      </c>
      <c r="K30" s="146" t="s">
        <v>1479</v>
      </c>
      <c r="M30" s="146" t="s">
        <v>1479</v>
      </c>
      <c r="N30" s="317" t="s">
        <v>1479</v>
      </c>
      <c r="O30" s="317" t="s">
        <v>1486</v>
      </c>
      <c r="P30" s="302">
        <f t="shared" si="0"/>
        <v>0.91959798994974873</v>
      </c>
      <c r="Q30" s="302">
        <f t="shared" si="1"/>
        <v>0.8693467336683417</v>
      </c>
      <c r="R30" s="302">
        <f t="shared" si="2"/>
        <v>0.53266331658291455</v>
      </c>
    </row>
    <row r="31" spans="1:18" x14ac:dyDescent="0.2">
      <c r="A31" s="340">
        <v>725586</v>
      </c>
      <c r="B31" s="172">
        <v>725695</v>
      </c>
      <c r="C31" s="173">
        <v>46014</v>
      </c>
      <c r="D31" s="280" t="s">
        <v>560</v>
      </c>
      <c r="E31" s="172" t="s">
        <v>1478</v>
      </c>
      <c r="F31" s="172">
        <v>169</v>
      </c>
      <c r="G31" s="172">
        <v>78</v>
      </c>
      <c r="H31" s="172">
        <v>110</v>
      </c>
      <c r="I31" s="172">
        <v>8580</v>
      </c>
      <c r="J31" s="146" t="s">
        <v>1479</v>
      </c>
      <c r="K31" s="146" t="s">
        <v>1479</v>
      </c>
      <c r="M31" s="146" t="s">
        <v>1479</v>
      </c>
      <c r="N31" s="317" t="s">
        <v>1479</v>
      </c>
      <c r="O31" s="317" t="s">
        <v>1486</v>
      </c>
      <c r="P31" s="302">
        <f t="shared" si="0"/>
        <v>0.91959798994974873</v>
      </c>
      <c r="Q31" s="302">
        <f t="shared" si="1"/>
        <v>0.8693467336683417</v>
      </c>
      <c r="R31" s="302">
        <f t="shared" si="2"/>
        <v>0.53266331658291455</v>
      </c>
    </row>
    <row r="32" spans="1:18" x14ac:dyDescent="0.2">
      <c r="A32" s="357">
        <v>725696</v>
      </c>
      <c r="B32" s="172">
        <v>725785</v>
      </c>
      <c r="C32" s="173">
        <v>46014</v>
      </c>
      <c r="D32" s="280" t="s">
        <v>560</v>
      </c>
      <c r="E32" s="172" t="s">
        <v>1478</v>
      </c>
      <c r="F32" s="237">
        <v>171</v>
      </c>
      <c r="G32" s="172">
        <v>95</v>
      </c>
      <c r="H32" s="172">
        <v>90</v>
      </c>
      <c r="I32" s="172">
        <v>8550</v>
      </c>
      <c r="J32" s="146" t="s">
        <v>1479</v>
      </c>
      <c r="K32" s="146" t="s">
        <v>1479</v>
      </c>
      <c r="L32" s="146" t="s">
        <v>1479</v>
      </c>
      <c r="M32" s="146" t="s">
        <v>1479</v>
      </c>
      <c r="N32" s="317" t="s">
        <v>1479</v>
      </c>
      <c r="O32" s="317" t="s">
        <v>1479</v>
      </c>
      <c r="P32" s="302">
        <f t="shared" si="0"/>
        <v>0.91959798994974873</v>
      </c>
      <c r="Q32" s="302">
        <f t="shared" si="1"/>
        <v>0.8693467336683417</v>
      </c>
      <c r="R32" s="302">
        <f t="shared" si="2"/>
        <v>0.53266331658291455</v>
      </c>
    </row>
    <row r="33" spans="1:18" x14ac:dyDescent="0.2">
      <c r="A33" s="357">
        <v>753793</v>
      </c>
      <c r="B33" s="172"/>
      <c r="C33" s="173">
        <v>45801</v>
      </c>
      <c r="D33" s="280" t="s">
        <v>560</v>
      </c>
      <c r="E33" s="172" t="s">
        <v>1478</v>
      </c>
      <c r="F33" s="172" t="s">
        <v>562</v>
      </c>
      <c r="G33" s="172">
        <v>49</v>
      </c>
      <c r="H33" s="172">
        <v>161</v>
      </c>
      <c r="I33" s="172">
        <v>7877</v>
      </c>
      <c r="J33" s="146" t="s">
        <v>1479</v>
      </c>
      <c r="K33" s="146" t="s">
        <v>1479</v>
      </c>
      <c r="L33" s="146" t="s">
        <v>1479</v>
      </c>
      <c r="M33" s="146" t="s">
        <v>1479</v>
      </c>
      <c r="N33" s="317" t="s">
        <v>1479</v>
      </c>
      <c r="O33" s="317" t="s">
        <v>1479</v>
      </c>
      <c r="P33" s="302">
        <f t="shared" si="0"/>
        <v>0.91959798994974873</v>
      </c>
      <c r="Q33" s="302">
        <f t="shared" si="1"/>
        <v>0.8693467336683417</v>
      </c>
      <c r="R33" s="302">
        <f t="shared" si="2"/>
        <v>0.53266331658291455</v>
      </c>
    </row>
    <row r="34" spans="1:18" x14ac:dyDescent="0.2">
      <c r="A34" s="357">
        <v>753798</v>
      </c>
      <c r="B34" s="172"/>
      <c r="C34" s="173">
        <v>45801</v>
      </c>
      <c r="D34" s="280" t="s">
        <v>560</v>
      </c>
      <c r="E34" s="172" t="s">
        <v>1478</v>
      </c>
      <c r="F34" s="172" t="s">
        <v>570</v>
      </c>
      <c r="G34" s="172">
        <v>50</v>
      </c>
      <c r="H34" s="172">
        <v>165</v>
      </c>
      <c r="I34" s="172">
        <v>8244</v>
      </c>
      <c r="J34" s="146" t="s">
        <v>1479</v>
      </c>
      <c r="K34" s="146" t="s">
        <v>1479</v>
      </c>
      <c r="L34" s="146" t="s">
        <v>1479</v>
      </c>
      <c r="M34" s="146" t="s">
        <v>1479</v>
      </c>
      <c r="N34" s="317" t="s">
        <v>1479</v>
      </c>
      <c r="O34" s="317" t="s">
        <v>1479</v>
      </c>
      <c r="P34" s="302">
        <f t="shared" ref="P34:P65" si="3">($S$2/$T$3)</f>
        <v>0.91959798994974873</v>
      </c>
      <c r="Q34" s="302">
        <f t="shared" si="1"/>
        <v>0.8693467336683417</v>
      </c>
      <c r="R34" s="302">
        <f t="shared" si="2"/>
        <v>0.53266331658291455</v>
      </c>
    </row>
    <row r="35" spans="1:18" x14ac:dyDescent="0.2">
      <c r="A35" s="340">
        <v>692795</v>
      </c>
      <c r="B35" s="172"/>
      <c r="C35" s="173">
        <v>45861</v>
      </c>
      <c r="D35" s="280" t="s">
        <v>389</v>
      </c>
      <c r="E35" s="172" t="s">
        <v>1478</v>
      </c>
      <c r="F35" s="237">
        <v>74</v>
      </c>
      <c r="G35" s="172">
        <v>146</v>
      </c>
      <c r="H35" s="172">
        <v>76</v>
      </c>
      <c r="I35" s="172">
        <f>G35*H35</f>
        <v>11096</v>
      </c>
      <c r="J35" s="146" t="s">
        <v>1479</v>
      </c>
      <c r="K35" s="146" t="s">
        <v>1479</v>
      </c>
      <c r="L35" s="146" t="s">
        <v>1479</v>
      </c>
      <c r="M35" s="146" t="s">
        <v>1479</v>
      </c>
      <c r="N35" s="317" t="s">
        <v>1479</v>
      </c>
      <c r="O35" s="317" t="s">
        <v>1479</v>
      </c>
      <c r="P35" s="302">
        <f t="shared" si="3"/>
        <v>0.91959798994974873</v>
      </c>
      <c r="Q35" s="302">
        <f t="shared" si="1"/>
        <v>0.8693467336683417</v>
      </c>
      <c r="R35" s="302">
        <f t="shared" si="2"/>
        <v>0.53266331658291455</v>
      </c>
    </row>
    <row r="36" spans="1:18" x14ac:dyDescent="0.2">
      <c r="A36" s="357">
        <v>692799</v>
      </c>
      <c r="B36" s="172"/>
      <c r="C36" s="173">
        <v>45861</v>
      </c>
      <c r="D36" s="280" t="s">
        <v>389</v>
      </c>
      <c r="E36" s="172" t="s">
        <v>1478</v>
      </c>
      <c r="F36" s="172">
        <v>61</v>
      </c>
      <c r="G36" s="172">
        <v>101</v>
      </c>
      <c r="H36" s="172">
        <v>88</v>
      </c>
      <c r="I36" s="172">
        <v>8888</v>
      </c>
      <c r="J36" s="146" t="s">
        <v>1479</v>
      </c>
      <c r="K36" s="146" t="s">
        <v>1479</v>
      </c>
      <c r="L36" s="146" t="s">
        <v>1479</v>
      </c>
      <c r="M36" s="146" t="s">
        <v>1479</v>
      </c>
      <c r="N36" s="317" t="s">
        <v>1479</v>
      </c>
      <c r="O36" s="317" t="s">
        <v>1479</v>
      </c>
      <c r="P36" s="302">
        <f t="shared" si="3"/>
        <v>0.91959798994974873</v>
      </c>
      <c r="Q36" s="302">
        <f t="shared" si="1"/>
        <v>0.8693467336683417</v>
      </c>
      <c r="R36" s="302">
        <f t="shared" si="2"/>
        <v>0.53266331658291455</v>
      </c>
    </row>
    <row r="37" spans="1:18" x14ac:dyDescent="0.2">
      <c r="A37" s="340">
        <v>692826</v>
      </c>
      <c r="B37" s="172"/>
      <c r="C37" s="173">
        <v>45861</v>
      </c>
      <c r="D37" s="280" t="s">
        <v>389</v>
      </c>
      <c r="E37" s="172" t="s">
        <v>1478</v>
      </c>
      <c r="F37" s="237">
        <v>66</v>
      </c>
      <c r="G37" s="172">
        <v>83</v>
      </c>
      <c r="H37" s="172">
        <v>69</v>
      </c>
      <c r="I37" s="172">
        <v>5727</v>
      </c>
      <c r="J37" s="146" t="s">
        <v>1479</v>
      </c>
      <c r="K37" s="146" t="s">
        <v>1479</v>
      </c>
      <c r="L37" s="146" t="s">
        <v>1479</v>
      </c>
      <c r="M37" s="146" t="s">
        <v>1479</v>
      </c>
      <c r="N37" s="317" t="s">
        <v>1479</v>
      </c>
      <c r="O37" s="317" t="s">
        <v>1479</v>
      </c>
      <c r="P37" s="302">
        <f t="shared" si="3"/>
        <v>0.91959798994974873</v>
      </c>
      <c r="Q37" s="302">
        <f t="shared" si="1"/>
        <v>0.8693467336683417</v>
      </c>
      <c r="R37" s="302">
        <f t="shared" si="2"/>
        <v>0.53266331658291455</v>
      </c>
    </row>
    <row r="38" spans="1:18" x14ac:dyDescent="0.2">
      <c r="A38" s="340">
        <v>753757</v>
      </c>
      <c r="B38" s="172"/>
      <c r="C38" s="173">
        <v>45801</v>
      </c>
      <c r="D38" s="280" t="s">
        <v>389</v>
      </c>
      <c r="E38" s="172" t="s">
        <v>1478</v>
      </c>
      <c r="F38" s="172" t="s">
        <v>391</v>
      </c>
      <c r="G38" s="172">
        <v>63</v>
      </c>
      <c r="H38" s="172">
        <v>59</v>
      </c>
      <c r="I38" s="172">
        <v>3736</v>
      </c>
      <c r="J38" s="146" t="s">
        <v>1479</v>
      </c>
      <c r="K38" s="146" t="s">
        <v>1479</v>
      </c>
      <c r="L38" s="146" t="s">
        <v>1479</v>
      </c>
      <c r="M38" s="146" t="s">
        <v>1479</v>
      </c>
      <c r="N38" s="317" t="s">
        <v>1479</v>
      </c>
      <c r="O38" s="317" t="s">
        <v>1487</v>
      </c>
      <c r="P38" s="302">
        <f t="shared" si="3"/>
        <v>0.91959798994974873</v>
      </c>
      <c r="Q38" s="302">
        <f t="shared" si="1"/>
        <v>0.8693467336683417</v>
      </c>
      <c r="R38" s="302">
        <f t="shared" si="2"/>
        <v>0.53266331658291455</v>
      </c>
    </row>
    <row r="39" spans="1:18" x14ac:dyDescent="0.2">
      <c r="A39" s="357">
        <v>753758</v>
      </c>
      <c r="B39" s="172"/>
      <c r="C39" s="173">
        <v>45801</v>
      </c>
      <c r="D39" s="280" t="s">
        <v>389</v>
      </c>
      <c r="E39" s="172" t="s">
        <v>1478</v>
      </c>
      <c r="F39" s="172" t="s">
        <v>398</v>
      </c>
      <c r="G39" s="172">
        <v>70</v>
      </c>
      <c r="H39" s="172">
        <v>73</v>
      </c>
      <c r="I39" s="172">
        <v>5067</v>
      </c>
      <c r="J39" s="146" t="s">
        <v>1479</v>
      </c>
      <c r="K39" s="146" t="s">
        <v>1479</v>
      </c>
      <c r="L39" s="146" t="s">
        <v>1479</v>
      </c>
      <c r="M39" s="146" t="s">
        <v>1479</v>
      </c>
      <c r="N39" s="317" t="s">
        <v>1479</v>
      </c>
      <c r="O39" s="317"/>
      <c r="P39" s="302">
        <f t="shared" si="3"/>
        <v>0.91959798994974873</v>
      </c>
      <c r="Q39" s="302">
        <f t="shared" si="1"/>
        <v>0.8693467336683417</v>
      </c>
      <c r="R39" s="302">
        <f t="shared" si="2"/>
        <v>0.53266331658291455</v>
      </c>
    </row>
    <row r="40" spans="1:18" x14ac:dyDescent="0.2">
      <c r="A40" s="357">
        <v>753759</v>
      </c>
      <c r="B40" s="172"/>
      <c r="C40" s="173">
        <v>45801</v>
      </c>
      <c r="D40" s="280" t="s">
        <v>389</v>
      </c>
      <c r="E40" s="172" t="s">
        <v>1478</v>
      </c>
      <c r="F40" s="172" t="s">
        <v>408</v>
      </c>
      <c r="G40" s="172">
        <v>53</v>
      </c>
      <c r="H40" s="172">
        <v>71</v>
      </c>
      <c r="I40" s="172">
        <v>3750</v>
      </c>
      <c r="J40" s="146" t="s">
        <v>1479</v>
      </c>
      <c r="K40" s="146" t="s">
        <v>1479</v>
      </c>
      <c r="L40" s="146" t="s">
        <v>1479</v>
      </c>
      <c r="M40" s="146" t="s">
        <v>1479</v>
      </c>
      <c r="N40" s="317" t="s">
        <v>1479</v>
      </c>
      <c r="O40" s="317"/>
      <c r="P40" s="302">
        <f t="shared" si="3"/>
        <v>0.91959798994974873</v>
      </c>
      <c r="Q40" s="302">
        <f t="shared" si="1"/>
        <v>0.8693467336683417</v>
      </c>
      <c r="R40" s="302">
        <f t="shared" si="2"/>
        <v>0.53266331658291455</v>
      </c>
    </row>
    <row r="41" spans="1:18" x14ac:dyDescent="0.2">
      <c r="A41" s="340">
        <v>753776</v>
      </c>
      <c r="B41" s="172"/>
      <c r="C41" s="173">
        <v>45801</v>
      </c>
      <c r="D41" s="280" t="s">
        <v>389</v>
      </c>
      <c r="E41" s="172" t="s">
        <v>1478</v>
      </c>
      <c r="F41" s="172">
        <v>312</v>
      </c>
      <c r="G41" s="172">
        <v>37</v>
      </c>
      <c r="H41" s="172">
        <v>22</v>
      </c>
      <c r="I41" s="172">
        <f>G41*H41</f>
        <v>814</v>
      </c>
      <c r="J41" s="146" t="s">
        <v>1479</v>
      </c>
      <c r="K41" s="146" t="s">
        <v>1479</v>
      </c>
      <c r="L41" s="146" t="s">
        <v>1479</v>
      </c>
      <c r="M41" s="146" t="s">
        <v>1479</v>
      </c>
      <c r="N41" s="317" t="s">
        <v>1479</v>
      </c>
      <c r="O41" s="317" t="s">
        <v>1484</v>
      </c>
      <c r="P41" s="302">
        <f t="shared" si="3"/>
        <v>0.91959798994974873</v>
      </c>
      <c r="Q41" s="302">
        <f t="shared" si="1"/>
        <v>0.8693467336683417</v>
      </c>
      <c r="R41" s="302">
        <f t="shared" si="2"/>
        <v>0.53266331658291455</v>
      </c>
    </row>
    <row r="42" spans="1:18" x14ac:dyDescent="0.2">
      <c r="A42" s="340">
        <v>753777</v>
      </c>
      <c r="B42" s="172"/>
      <c r="C42" s="173">
        <v>45801</v>
      </c>
      <c r="D42" s="280" t="s">
        <v>389</v>
      </c>
      <c r="E42" s="172" t="s">
        <v>1478</v>
      </c>
      <c r="F42" s="172">
        <v>312</v>
      </c>
      <c r="G42" s="172">
        <v>59</v>
      </c>
      <c r="H42" s="172">
        <v>70</v>
      </c>
      <c r="I42" s="172">
        <v>4168</v>
      </c>
      <c r="J42" s="146" t="s">
        <v>1479</v>
      </c>
      <c r="K42" s="146" t="s">
        <v>1479</v>
      </c>
      <c r="L42" s="146" t="s">
        <v>1479</v>
      </c>
      <c r="M42" s="146" t="s">
        <v>1479</v>
      </c>
      <c r="N42" s="317" t="s">
        <v>1479</v>
      </c>
      <c r="O42" s="317" t="s">
        <v>1486</v>
      </c>
      <c r="P42" s="302">
        <f t="shared" si="3"/>
        <v>0.91959798994974873</v>
      </c>
      <c r="Q42" s="302">
        <f t="shared" si="1"/>
        <v>0.8693467336683417</v>
      </c>
      <c r="R42" s="302">
        <f t="shared" si="2"/>
        <v>0.53266331658291455</v>
      </c>
    </row>
    <row r="43" spans="1:18" x14ac:dyDescent="0.2">
      <c r="A43" s="172">
        <v>692781</v>
      </c>
      <c r="B43" s="172"/>
      <c r="C43" s="173">
        <v>45861</v>
      </c>
      <c r="D43" s="279" t="s">
        <v>316</v>
      </c>
      <c r="E43" s="172" t="s">
        <v>162</v>
      </c>
      <c r="F43" s="237">
        <v>1</v>
      </c>
      <c r="G43" s="172">
        <v>95</v>
      </c>
      <c r="H43" s="172">
        <v>51</v>
      </c>
      <c r="I43" s="172">
        <v>4845</v>
      </c>
      <c r="J43" s="146" t="s">
        <v>1479</v>
      </c>
      <c r="K43" s="146" t="s">
        <v>1479</v>
      </c>
      <c r="L43" s="146" t="s">
        <v>1479</v>
      </c>
      <c r="M43" s="146" t="s">
        <v>1479</v>
      </c>
      <c r="N43" s="316"/>
      <c r="O43" s="316"/>
      <c r="P43" s="302">
        <f t="shared" si="3"/>
        <v>0.91959798994974873</v>
      </c>
      <c r="Q43" s="302">
        <f t="shared" si="1"/>
        <v>0.8693467336683417</v>
      </c>
      <c r="R43" s="302">
        <f t="shared" si="2"/>
        <v>0.53266331658291455</v>
      </c>
    </row>
    <row r="44" spans="1:18" x14ac:dyDescent="0.2">
      <c r="A44" s="172">
        <v>692782</v>
      </c>
      <c r="B44" s="172"/>
      <c r="C44" s="173">
        <v>45861</v>
      </c>
      <c r="D44" s="279" t="s">
        <v>163</v>
      </c>
      <c r="E44" s="172" t="s">
        <v>162</v>
      </c>
      <c r="F44" s="172">
        <v>11</v>
      </c>
      <c r="G44" s="172">
        <v>68</v>
      </c>
      <c r="H44" s="172">
        <v>81</v>
      </c>
      <c r="I44" s="172">
        <v>5508</v>
      </c>
      <c r="J44" s="146" t="s">
        <v>1479</v>
      </c>
      <c r="K44" s="146" t="s">
        <v>1479</v>
      </c>
      <c r="L44" s="146" t="s">
        <v>1479</v>
      </c>
      <c r="M44" s="146" t="s">
        <v>1479</v>
      </c>
      <c r="N44" s="316"/>
      <c r="O44" s="316"/>
      <c r="P44" s="302">
        <f t="shared" si="3"/>
        <v>0.91959798994974873</v>
      </c>
      <c r="Q44" s="302">
        <f t="shared" si="1"/>
        <v>0.8693467336683417</v>
      </c>
      <c r="R44" s="302">
        <f t="shared" si="2"/>
        <v>0.53266331658291455</v>
      </c>
    </row>
    <row r="45" spans="1:18" x14ac:dyDescent="0.2">
      <c r="A45" s="172">
        <v>692836</v>
      </c>
      <c r="B45" s="172"/>
      <c r="C45" s="173">
        <v>45861</v>
      </c>
      <c r="D45" s="279" t="s">
        <v>163</v>
      </c>
      <c r="E45" s="172" t="s">
        <v>162</v>
      </c>
      <c r="F45" s="172">
        <v>13</v>
      </c>
      <c r="G45" s="172">
        <v>79</v>
      </c>
      <c r="H45" s="172">
        <v>55</v>
      </c>
      <c r="I45" s="172">
        <v>4345</v>
      </c>
      <c r="J45" s="146" t="s">
        <v>1479</v>
      </c>
      <c r="K45" s="146" t="s">
        <v>1479</v>
      </c>
      <c r="L45" s="146" t="s">
        <v>1479</v>
      </c>
      <c r="M45" s="146" t="s">
        <v>1479</v>
      </c>
      <c r="N45" s="316"/>
      <c r="O45" s="316"/>
      <c r="P45" s="302">
        <f t="shared" si="3"/>
        <v>0.91959798994974873</v>
      </c>
      <c r="Q45" s="302">
        <f t="shared" si="1"/>
        <v>0.8693467336683417</v>
      </c>
      <c r="R45" s="302">
        <f t="shared" si="2"/>
        <v>0.53266331658291455</v>
      </c>
    </row>
    <row r="46" spans="1:18" x14ac:dyDescent="0.2">
      <c r="A46" s="172">
        <v>692783</v>
      </c>
      <c r="B46" s="172"/>
      <c r="C46" s="173">
        <v>45861</v>
      </c>
      <c r="D46" s="279" t="s">
        <v>318</v>
      </c>
      <c r="E46" s="172" t="s">
        <v>162</v>
      </c>
      <c r="F46" s="237">
        <v>30</v>
      </c>
      <c r="G46" s="172">
        <v>179</v>
      </c>
      <c r="H46" s="172">
        <v>68</v>
      </c>
      <c r="I46" s="172">
        <v>12172</v>
      </c>
      <c r="J46" s="146" t="s">
        <v>1479</v>
      </c>
      <c r="K46" s="146" t="s">
        <v>1479</v>
      </c>
      <c r="L46" s="146" t="s">
        <v>1479</v>
      </c>
      <c r="M46" s="146" t="s">
        <v>1479</v>
      </c>
      <c r="N46" s="316"/>
      <c r="O46" s="316"/>
      <c r="P46" s="302">
        <f t="shared" si="3"/>
        <v>0.91959798994974873</v>
      </c>
      <c r="Q46" s="302">
        <f t="shared" si="1"/>
        <v>0.8693467336683417</v>
      </c>
      <c r="R46" s="302">
        <f t="shared" si="2"/>
        <v>0.53266331658291455</v>
      </c>
    </row>
    <row r="47" spans="1:18" x14ac:dyDescent="0.2">
      <c r="A47" s="172">
        <v>692835</v>
      </c>
      <c r="B47" s="172"/>
      <c r="C47" s="173">
        <v>45861</v>
      </c>
      <c r="D47" s="279" t="s">
        <v>211</v>
      </c>
      <c r="E47" s="172" t="s">
        <v>162</v>
      </c>
      <c r="F47" s="237">
        <v>39</v>
      </c>
      <c r="G47" s="172">
        <v>79</v>
      </c>
      <c r="H47" s="172">
        <v>55</v>
      </c>
      <c r="I47" s="172">
        <v>4345</v>
      </c>
      <c r="J47" s="146" t="s">
        <v>1479</v>
      </c>
      <c r="K47" s="146" t="s">
        <v>1479</v>
      </c>
      <c r="L47" s="146" t="s">
        <v>1479</v>
      </c>
      <c r="M47" s="146" t="s">
        <v>1479</v>
      </c>
      <c r="N47" s="316"/>
      <c r="O47" s="316"/>
      <c r="P47" s="302">
        <f t="shared" si="3"/>
        <v>0.91959798994974873</v>
      </c>
      <c r="Q47" s="302">
        <f t="shared" si="1"/>
        <v>0.8693467336683417</v>
      </c>
      <c r="R47" s="302">
        <f t="shared" si="2"/>
        <v>0.53266331658291455</v>
      </c>
    </row>
    <row r="48" spans="1:18" x14ac:dyDescent="0.2">
      <c r="A48" s="340">
        <v>753779</v>
      </c>
      <c r="B48" s="172"/>
      <c r="C48" s="173">
        <v>45801</v>
      </c>
      <c r="D48" s="280" t="s">
        <v>389</v>
      </c>
      <c r="E48" s="172" t="s">
        <v>1478</v>
      </c>
      <c r="F48" s="172">
        <v>312</v>
      </c>
      <c r="G48" s="172">
        <v>59</v>
      </c>
      <c r="H48" s="172">
        <v>70</v>
      </c>
      <c r="I48" s="172">
        <v>4168</v>
      </c>
      <c r="J48" s="146" t="s">
        <v>1479</v>
      </c>
      <c r="K48" s="146" t="s">
        <v>1479</v>
      </c>
      <c r="L48" s="146" t="s">
        <v>1479</v>
      </c>
      <c r="M48" s="146" t="s">
        <v>1479</v>
      </c>
      <c r="N48" s="317" t="s">
        <v>1479</v>
      </c>
      <c r="O48" s="317" t="s">
        <v>1486</v>
      </c>
      <c r="P48" s="302">
        <f t="shared" si="3"/>
        <v>0.91959798994974873</v>
      </c>
      <c r="Q48" s="302">
        <f t="shared" si="1"/>
        <v>0.8693467336683417</v>
      </c>
      <c r="R48" s="302">
        <f t="shared" si="2"/>
        <v>0.53266331658291455</v>
      </c>
    </row>
    <row r="49" spans="1:18" x14ac:dyDescent="0.2">
      <c r="A49" s="340">
        <v>753794</v>
      </c>
      <c r="B49" s="172"/>
      <c r="C49" s="173">
        <v>45801</v>
      </c>
      <c r="D49" s="280" t="s">
        <v>389</v>
      </c>
      <c r="E49" s="172" t="s">
        <v>1478</v>
      </c>
      <c r="F49" s="172">
        <v>311</v>
      </c>
      <c r="G49" s="172">
        <v>19</v>
      </c>
      <c r="H49" s="172">
        <v>14</v>
      </c>
      <c r="I49" s="172">
        <f>G49*H49</f>
        <v>266</v>
      </c>
      <c r="J49" s="146" t="s">
        <v>1479</v>
      </c>
      <c r="K49" s="146" t="s">
        <v>1479</v>
      </c>
      <c r="L49" s="146" t="s">
        <v>1479</v>
      </c>
      <c r="M49" s="146" t="s">
        <v>1479</v>
      </c>
      <c r="N49" s="317" t="s">
        <v>1479</v>
      </c>
      <c r="O49" s="317" t="s">
        <v>1484</v>
      </c>
      <c r="P49" s="302">
        <f t="shared" si="3"/>
        <v>0.91959798994974873</v>
      </c>
      <c r="Q49" s="302">
        <f t="shared" si="1"/>
        <v>0.8693467336683417</v>
      </c>
      <c r="R49" s="302">
        <f t="shared" si="2"/>
        <v>0.53266331658291455</v>
      </c>
    </row>
    <row r="50" spans="1:18" x14ac:dyDescent="0.2">
      <c r="A50" s="340">
        <v>753795</v>
      </c>
      <c r="B50" s="172"/>
      <c r="C50" s="173">
        <v>45801</v>
      </c>
      <c r="D50" s="280" t="s">
        <v>389</v>
      </c>
      <c r="E50" s="172" t="s">
        <v>1478</v>
      </c>
      <c r="F50" s="172">
        <v>311</v>
      </c>
      <c r="G50" s="172">
        <v>105</v>
      </c>
      <c r="H50" s="172">
        <v>115</v>
      </c>
      <c r="I50" s="172">
        <v>12087</v>
      </c>
      <c r="J50" s="146" t="s">
        <v>1479</v>
      </c>
      <c r="K50" s="146" t="s">
        <v>1479</v>
      </c>
      <c r="L50" s="146" t="s">
        <v>1479</v>
      </c>
      <c r="M50" s="146" t="s">
        <v>1479</v>
      </c>
      <c r="N50" s="317" t="s">
        <v>1479</v>
      </c>
      <c r="O50" s="317" t="s">
        <v>1486</v>
      </c>
      <c r="P50" s="302">
        <f t="shared" si="3"/>
        <v>0.91959798994974873</v>
      </c>
      <c r="Q50" s="302">
        <f t="shared" si="1"/>
        <v>0.8693467336683417</v>
      </c>
      <c r="R50" s="302">
        <f t="shared" si="2"/>
        <v>0.53266331658291455</v>
      </c>
    </row>
    <row r="51" spans="1:18" x14ac:dyDescent="0.2">
      <c r="A51" s="340">
        <v>692796</v>
      </c>
      <c r="B51" s="172"/>
      <c r="C51" s="173">
        <v>45861</v>
      </c>
      <c r="D51" s="280" t="s">
        <v>111</v>
      </c>
      <c r="E51" s="172" t="s">
        <v>1478</v>
      </c>
      <c r="F51" s="237">
        <v>80</v>
      </c>
      <c r="G51" s="172">
        <v>101</v>
      </c>
      <c r="H51" s="172">
        <v>71</v>
      </c>
      <c r="I51" s="172">
        <f>G51*H51</f>
        <v>7171</v>
      </c>
      <c r="J51" s="146" t="s">
        <v>1479</v>
      </c>
      <c r="K51" s="146" t="s">
        <v>1479</v>
      </c>
      <c r="L51" s="146" t="s">
        <v>1479</v>
      </c>
      <c r="M51" s="146" t="s">
        <v>1479</v>
      </c>
      <c r="N51" s="317" t="s">
        <v>1479</v>
      </c>
      <c r="O51" s="317"/>
      <c r="P51" s="302">
        <f t="shared" si="3"/>
        <v>0.91959798994974873</v>
      </c>
      <c r="Q51" s="302">
        <f t="shared" si="1"/>
        <v>0.8693467336683417</v>
      </c>
      <c r="R51" s="302">
        <f t="shared" si="2"/>
        <v>0.53266331658291455</v>
      </c>
    </row>
    <row r="52" spans="1:18" x14ac:dyDescent="0.2">
      <c r="A52" s="357">
        <v>692827</v>
      </c>
      <c r="B52" s="172"/>
      <c r="C52" s="173">
        <v>45861</v>
      </c>
      <c r="D52" s="280" t="s">
        <v>111</v>
      </c>
      <c r="E52" s="172" t="s">
        <v>1478</v>
      </c>
      <c r="F52" s="172">
        <v>90</v>
      </c>
      <c r="G52" s="172">
        <v>76</v>
      </c>
      <c r="H52" s="172">
        <v>69</v>
      </c>
      <c r="I52" s="172">
        <v>5244</v>
      </c>
      <c r="J52" s="146" t="s">
        <v>1479</v>
      </c>
      <c r="K52" s="146" t="s">
        <v>1479</v>
      </c>
      <c r="L52" s="146" t="s">
        <v>1479</v>
      </c>
      <c r="M52" s="146" t="s">
        <v>1479</v>
      </c>
      <c r="N52" s="317" t="s">
        <v>1479</v>
      </c>
      <c r="O52" s="317" t="s">
        <v>1479</v>
      </c>
      <c r="P52" s="302">
        <f t="shared" si="3"/>
        <v>0.91959798994974873</v>
      </c>
      <c r="Q52" s="302">
        <f t="shared" si="1"/>
        <v>0.8693467336683417</v>
      </c>
      <c r="R52" s="302">
        <f t="shared" si="2"/>
        <v>0.53266331658291455</v>
      </c>
    </row>
    <row r="53" spans="1:18" x14ac:dyDescent="0.2">
      <c r="A53" s="357">
        <v>692800</v>
      </c>
      <c r="B53" s="172"/>
      <c r="C53" s="173">
        <v>45861</v>
      </c>
      <c r="D53" s="280" t="s">
        <v>111</v>
      </c>
      <c r="E53" s="172" t="s">
        <v>1478</v>
      </c>
      <c r="F53" s="237">
        <v>83</v>
      </c>
      <c r="G53" s="172">
        <v>201</v>
      </c>
      <c r="H53" s="172">
        <v>76</v>
      </c>
      <c r="I53" s="172">
        <v>15276</v>
      </c>
      <c r="J53" s="146" t="s">
        <v>1479</v>
      </c>
      <c r="K53" s="146" t="s">
        <v>1479</v>
      </c>
      <c r="L53" s="146" t="s">
        <v>1479</v>
      </c>
      <c r="M53" s="146" t="s">
        <v>1479</v>
      </c>
      <c r="N53" s="317" t="s">
        <v>1479</v>
      </c>
      <c r="O53" s="317" t="s">
        <v>1479</v>
      </c>
      <c r="P53" s="302">
        <f t="shared" si="3"/>
        <v>0.91959798994974873</v>
      </c>
      <c r="Q53" s="302">
        <f t="shared" si="1"/>
        <v>0.8693467336683417</v>
      </c>
      <c r="R53" s="302">
        <f t="shared" si="2"/>
        <v>0.53266331658291455</v>
      </c>
    </row>
    <row r="54" spans="1:18" x14ac:dyDescent="0.2">
      <c r="A54" s="340">
        <v>725786</v>
      </c>
      <c r="B54" s="172">
        <v>725883</v>
      </c>
      <c r="C54" s="173">
        <v>46014</v>
      </c>
      <c r="D54" s="280" t="s">
        <v>111</v>
      </c>
      <c r="E54" s="172" t="s">
        <v>1478</v>
      </c>
      <c r="F54" s="237">
        <v>151</v>
      </c>
      <c r="G54" s="172">
        <v>85</v>
      </c>
      <c r="H54" s="172">
        <v>97.5</v>
      </c>
      <c r="I54" s="172">
        <v>8287.5</v>
      </c>
      <c r="J54" s="146" t="s">
        <v>1479</v>
      </c>
      <c r="K54" s="146" t="s">
        <v>1479</v>
      </c>
      <c r="M54" s="146" t="s">
        <v>1479</v>
      </c>
      <c r="N54" s="317" t="s">
        <v>1479</v>
      </c>
      <c r="O54" s="317"/>
      <c r="P54" s="302">
        <f t="shared" si="3"/>
        <v>0.91959798994974873</v>
      </c>
      <c r="Q54" s="302">
        <f t="shared" si="1"/>
        <v>0.8693467336683417</v>
      </c>
      <c r="R54" s="302">
        <f t="shared" si="2"/>
        <v>0.53266331658291455</v>
      </c>
    </row>
    <row r="55" spans="1:18" x14ac:dyDescent="0.2">
      <c r="A55" s="340">
        <v>725884</v>
      </c>
      <c r="B55" s="172">
        <v>725941</v>
      </c>
      <c r="C55" s="173">
        <v>46014</v>
      </c>
      <c r="D55" s="280" t="s">
        <v>111</v>
      </c>
      <c r="E55" s="172" t="s">
        <v>1478</v>
      </c>
      <c r="F55" s="237">
        <v>154</v>
      </c>
      <c r="G55" s="172">
        <v>55</v>
      </c>
      <c r="H55" s="172">
        <v>120</v>
      </c>
      <c r="I55" s="172">
        <v>6600</v>
      </c>
      <c r="J55" s="146" t="s">
        <v>1479</v>
      </c>
      <c r="K55" s="146" t="s">
        <v>1479</v>
      </c>
      <c r="M55" s="146" t="s">
        <v>1479</v>
      </c>
      <c r="N55" s="317" t="s">
        <v>1479</v>
      </c>
      <c r="O55" s="317" t="s">
        <v>1486</v>
      </c>
      <c r="P55" s="302">
        <f t="shared" si="3"/>
        <v>0.91959798994974873</v>
      </c>
      <c r="Q55" s="302">
        <f t="shared" si="1"/>
        <v>0.8693467336683417</v>
      </c>
      <c r="R55" s="302">
        <f t="shared" si="2"/>
        <v>0.53266331658291455</v>
      </c>
    </row>
    <row r="56" spans="1:18" x14ac:dyDescent="0.2">
      <c r="A56" s="340">
        <v>753786</v>
      </c>
      <c r="B56" s="172"/>
      <c r="C56" s="173">
        <v>45801</v>
      </c>
      <c r="D56" s="280" t="s">
        <v>111</v>
      </c>
      <c r="E56" s="172" t="s">
        <v>1478</v>
      </c>
      <c r="F56" s="172">
        <v>320</v>
      </c>
      <c r="G56" s="172">
        <v>85</v>
      </c>
      <c r="H56" s="172">
        <v>73</v>
      </c>
      <c r="I56" s="172">
        <f>G56*H56</f>
        <v>6205</v>
      </c>
      <c r="J56" s="146" t="s">
        <v>1479</v>
      </c>
      <c r="K56" s="146" t="s">
        <v>1479</v>
      </c>
      <c r="L56" s="146" t="s">
        <v>1479</v>
      </c>
      <c r="M56" s="146" t="s">
        <v>1479</v>
      </c>
      <c r="N56" s="317" t="s">
        <v>1479</v>
      </c>
      <c r="O56" s="317" t="s">
        <v>1484</v>
      </c>
      <c r="P56" s="302">
        <f t="shared" si="3"/>
        <v>0.91959798994974873</v>
      </c>
      <c r="Q56" s="302">
        <f t="shared" si="1"/>
        <v>0.8693467336683417</v>
      </c>
      <c r="R56" s="302">
        <f t="shared" si="2"/>
        <v>0.53266331658291455</v>
      </c>
    </row>
    <row r="57" spans="1:18" x14ac:dyDescent="0.2">
      <c r="A57" s="340">
        <v>753787</v>
      </c>
      <c r="B57" s="172"/>
      <c r="C57" s="173">
        <v>45801</v>
      </c>
      <c r="D57" s="280" t="s">
        <v>111</v>
      </c>
      <c r="E57" s="172" t="s">
        <v>1478</v>
      </c>
      <c r="F57" s="172">
        <v>320</v>
      </c>
      <c r="G57" s="172">
        <v>62</v>
      </c>
      <c r="H57" s="172">
        <v>131</v>
      </c>
      <c r="I57" s="172">
        <v>8120</v>
      </c>
      <c r="J57" s="146" t="s">
        <v>1479</v>
      </c>
      <c r="K57" s="146" t="s">
        <v>1479</v>
      </c>
      <c r="L57" s="146" t="s">
        <v>1479</v>
      </c>
      <c r="M57" s="146" t="s">
        <v>1479</v>
      </c>
      <c r="N57" s="317" t="s">
        <v>1479</v>
      </c>
      <c r="O57" s="317" t="s">
        <v>1484</v>
      </c>
      <c r="P57" s="302">
        <f t="shared" si="3"/>
        <v>0.91959798994974873</v>
      </c>
      <c r="Q57" s="302">
        <f t="shared" si="1"/>
        <v>0.8693467336683417</v>
      </c>
      <c r="R57" s="302">
        <f t="shared" si="2"/>
        <v>0.53266331658291455</v>
      </c>
    </row>
    <row r="58" spans="1:18" x14ac:dyDescent="0.2">
      <c r="A58" s="340">
        <v>753789</v>
      </c>
      <c r="B58" s="172"/>
      <c r="C58" s="173">
        <v>45801</v>
      </c>
      <c r="D58" s="280" t="s">
        <v>111</v>
      </c>
      <c r="E58" s="172" t="s">
        <v>1478</v>
      </c>
      <c r="F58" s="172" t="s">
        <v>541</v>
      </c>
      <c r="G58" s="172">
        <v>24</v>
      </c>
      <c r="H58" s="172">
        <v>21</v>
      </c>
      <c r="I58" s="172">
        <f>G58*H58</f>
        <v>504</v>
      </c>
      <c r="J58" s="146" t="s">
        <v>1479</v>
      </c>
      <c r="K58" s="146" t="s">
        <v>1479</v>
      </c>
      <c r="L58" s="146" t="s">
        <v>1479</v>
      </c>
      <c r="M58" s="146" t="s">
        <v>1479</v>
      </c>
      <c r="N58" s="317" t="s">
        <v>1479</v>
      </c>
      <c r="O58" s="317" t="s">
        <v>1484</v>
      </c>
      <c r="P58" s="302">
        <f t="shared" si="3"/>
        <v>0.91959798994974873</v>
      </c>
      <c r="Q58" s="302">
        <f t="shared" si="1"/>
        <v>0.8693467336683417</v>
      </c>
      <c r="R58" s="302">
        <f t="shared" si="2"/>
        <v>0.53266331658291455</v>
      </c>
    </row>
    <row r="59" spans="1:18" x14ac:dyDescent="0.2">
      <c r="A59" s="340">
        <v>753790</v>
      </c>
      <c r="B59" s="172"/>
      <c r="C59" s="173">
        <v>45801</v>
      </c>
      <c r="D59" s="280" t="s">
        <v>111</v>
      </c>
      <c r="E59" s="172" t="s">
        <v>1478</v>
      </c>
      <c r="F59" s="172" t="s">
        <v>541</v>
      </c>
      <c r="G59" s="172">
        <v>62</v>
      </c>
      <c r="H59" s="172">
        <v>141</v>
      </c>
      <c r="I59" s="172">
        <v>8728</v>
      </c>
      <c r="J59" s="146" t="s">
        <v>1479</v>
      </c>
      <c r="K59" s="146" t="s">
        <v>1479</v>
      </c>
      <c r="L59" s="146" t="s">
        <v>1479</v>
      </c>
      <c r="M59" s="146" t="s">
        <v>1479</v>
      </c>
      <c r="N59" s="317" t="s">
        <v>1479</v>
      </c>
      <c r="O59" s="317"/>
      <c r="P59" s="302">
        <f t="shared" si="3"/>
        <v>0.91959798994974873</v>
      </c>
      <c r="Q59" s="302">
        <f t="shared" si="1"/>
        <v>0.8693467336683417</v>
      </c>
      <c r="R59" s="302">
        <f t="shared" si="2"/>
        <v>0.53266331658291455</v>
      </c>
    </row>
    <row r="60" spans="1:18" x14ac:dyDescent="0.2">
      <c r="A60" s="340">
        <v>753791</v>
      </c>
      <c r="B60" s="172"/>
      <c r="C60" s="173">
        <v>45801</v>
      </c>
      <c r="D60" s="280" t="s">
        <v>111</v>
      </c>
      <c r="E60" s="172" t="s">
        <v>1478</v>
      </c>
      <c r="F60" s="237" t="s">
        <v>543</v>
      </c>
      <c r="G60" s="172">
        <v>24</v>
      </c>
      <c r="H60" s="172">
        <v>18</v>
      </c>
      <c r="I60" s="172">
        <f>G60*H60</f>
        <v>432</v>
      </c>
      <c r="J60" s="146" t="s">
        <v>1479</v>
      </c>
      <c r="K60" s="146" t="s">
        <v>1479</v>
      </c>
      <c r="L60" s="146" t="s">
        <v>1479</v>
      </c>
      <c r="M60" s="146" t="s">
        <v>1479</v>
      </c>
      <c r="N60" s="317" t="s">
        <v>1479</v>
      </c>
      <c r="O60" s="317" t="s">
        <v>1484</v>
      </c>
      <c r="P60" s="302">
        <f t="shared" si="3"/>
        <v>0.91959798994974873</v>
      </c>
      <c r="Q60" s="302">
        <f t="shared" si="1"/>
        <v>0.8693467336683417</v>
      </c>
      <c r="R60" s="302">
        <f t="shared" si="2"/>
        <v>0.53266331658291455</v>
      </c>
    </row>
    <row r="61" spans="1:18" x14ac:dyDescent="0.2">
      <c r="A61" s="340">
        <v>753792</v>
      </c>
      <c r="B61" s="172"/>
      <c r="C61" s="173">
        <v>45801</v>
      </c>
      <c r="D61" s="280" t="s">
        <v>111</v>
      </c>
      <c r="E61" s="172" t="s">
        <v>1478</v>
      </c>
      <c r="F61" s="237" t="s">
        <v>543</v>
      </c>
      <c r="G61" s="172">
        <v>49</v>
      </c>
      <c r="H61" s="172">
        <v>161</v>
      </c>
      <c r="I61" s="172">
        <v>7882</v>
      </c>
      <c r="J61" s="146" t="s">
        <v>1479</v>
      </c>
      <c r="K61" s="146" t="s">
        <v>1479</v>
      </c>
      <c r="L61" s="146" t="s">
        <v>1479</v>
      </c>
      <c r="M61" s="146" t="s">
        <v>1479</v>
      </c>
      <c r="N61" s="317" t="s">
        <v>1479</v>
      </c>
      <c r="O61" s="317"/>
      <c r="P61" s="302">
        <f t="shared" si="3"/>
        <v>0.91959798994974873</v>
      </c>
      <c r="Q61" s="302">
        <f t="shared" si="1"/>
        <v>0.8693467336683417</v>
      </c>
      <c r="R61" s="302">
        <f t="shared" si="2"/>
        <v>0.53266331658291455</v>
      </c>
    </row>
    <row r="62" spans="1:18" x14ac:dyDescent="0.2">
      <c r="A62" s="340">
        <v>753796</v>
      </c>
      <c r="B62" s="172"/>
      <c r="C62" s="173">
        <v>45801</v>
      </c>
      <c r="D62" s="280" t="s">
        <v>111</v>
      </c>
      <c r="E62" s="172" t="s">
        <v>1478</v>
      </c>
      <c r="F62" s="172">
        <v>319</v>
      </c>
      <c r="G62" s="172">
        <v>22</v>
      </c>
      <c r="H62" s="172">
        <v>15</v>
      </c>
      <c r="I62" s="172">
        <f>G62*H62</f>
        <v>330</v>
      </c>
      <c r="J62" s="146" t="s">
        <v>1479</v>
      </c>
      <c r="K62" s="146" t="s">
        <v>1479</v>
      </c>
      <c r="L62" s="146" t="s">
        <v>1479</v>
      </c>
      <c r="M62" s="146" t="s">
        <v>1479</v>
      </c>
      <c r="N62" s="317" t="s">
        <v>1479</v>
      </c>
      <c r="O62" s="317" t="s">
        <v>1484</v>
      </c>
      <c r="P62" s="302">
        <f t="shared" si="3"/>
        <v>0.91959798994974873</v>
      </c>
      <c r="Q62" s="302">
        <f t="shared" si="1"/>
        <v>0.8693467336683417</v>
      </c>
      <c r="R62" s="302">
        <f t="shared" si="2"/>
        <v>0.53266331658291455</v>
      </c>
    </row>
    <row r="63" spans="1:18" x14ac:dyDescent="0.2">
      <c r="A63" s="172">
        <v>692825</v>
      </c>
      <c r="B63" s="172"/>
      <c r="C63" s="173">
        <v>45861</v>
      </c>
      <c r="D63" s="279" t="s">
        <v>456</v>
      </c>
      <c r="E63" s="172" t="s">
        <v>162</v>
      </c>
      <c r="F63" s="237">
        <v>113</v>
      </c>
      <c r="G63" s="172">
        <v>46</v>
      </c>
      <c r="H63" s="172">
        <v>94</v>
      </c>
      <c r="I63" s="172">
        <v>4324</v>
      </c>
      <c r="J63" s="146" t="s">
        <v>1479</v>
      </c>
      <c r="K63" s="146" t="s">
        <v>1479</v>
      </c>
      <c r="L63" s="146" t="s">
        <v>1479</v>
      </c>
      <c r="M63" s="146" t="s">
        <v>1479</v>
      </c>
      <c r="N63" s="316"/>
      <c r="O63" s="316"/>
      <c r="P63" s="302">
        <f t="shared" si="3"/>
        <v>0.91959798994974873</v>
      </c>
      <c r="Q63" s="302">
        <f t="shared" si="1"/>
        <v>0.8693467336683417</v>
      </c>
      <c r="R63" s="302">
        <f t="shared" si="2"/>
        <v>0.53266331658291455</v>
      </c>
    </row>
    <row r="64" spans="1:18" x14ac:dyDescent="0.2">
      <c r="A64" s="358">
        <v>692794</v>
      </c>
      <c r="B64" s="172"/>
      <c r="C64" s="173">
        <v>45861</v>
      </c>
      <c r="D64" s="304" t="s">
        <v>197</v>
      </c>
      <c r="E64" s="172" t="s">
        <v>1488</v>
      </c>
      <c r="F64" s="237">
        <v>119</v>
      </c>
      <c r="G64" s="172">
        <v>101</v>
      </c>
      <c r="H64" s="172">
        <v>51</v>
      </c>
      <c r="I64" s="172">
        <v>5151</v>
      </c>
      <c r="J64" s="146" t="s">
        <v>1479</v>
      </c>
      <c r="K64" s="146" t="s">
        <v>1479</v>
      </c>
      <c r="L64" s="146" t="s">
        <v>1479</v>
      </c>
      <c r="M64" s="146" t="s">
        <v>1479</v>
      </c>
      <c r="N64" s="315" t="s">
        <v>1479</v>
      </c>
      <c r="O64" s="315" t="s">
        <v>1479</v>
      </c>
      <c r="P64" s="302">
        <f t="shared" si="3"/>
        <v>0.91959798994974873</v>
      </c>
      <c r="Q64" s="302">
        <f t="shared" si="1"/>
        <v>0.8693467336683417</v>
      </c>
      <c r="R64" s="302">
        <f t="shared" si="2"/>
        <v>0.53266331658291455</v>
      </c>
    </row>
    <row r="65" spans="1:18" x14ac:dyDescent="0.2">
      <c r="A65" s="358">
        <v>692788</v>
      </c>
      <c r="B65" s="172"/>
      <c r="C65" s="173">
        <v>45861</v>
      </c>
      <c r="D65" s="304" t="s">
        <v>188</v>
      </c>
      <c r="E65" s="172" t="s">
        <v>1488</v>
      </c>
      <c r="F65" s="172">
        <v>121</v>
      </c>
      <c r="G65" s="172">
        <v>101</v>
      </c>
      <c r="H65" s="172">
        <v>41</v>
      </c>
      <c r="I65" s="172">
        <v>4141</v>
      </c>
      <c r="J65" s="146" t="s">
        <v>1479</v>
      </c>
      <c r="K65" s="146" t="s">
        <v>1479</v>
      </c>
      <c r="L65" s="146" t="s">
        <v>1479</v>
      </c>
      <c r="M65" s="146" t="s">
        <v>1479</v>
      </c>
      <c r="N65" s="315" t="s">
        <v>1479</v>
      </c>
      <c r="O65" s="315" t="s">
        <v>1479</v>
      </c>
      <c r="P65" s="302">
        <f t="shared" si="3"/>
        <v>0.91959798994974873</v>
      </c>
      <c r="Q65" s="302">
        <f t="shared" si="1"/>
        <v>0.8693467336683417</v>
      </c>
      <c r="R65" s="302">
        <f t="shared" si="2"/>
        <v>0.53266331658291455</v>
      </c>
    </row>
    <row r="66" spans="1:18" x14ac:dyDescent="0.2">
      <c r="A66" s="358">
        <v>692818</v>
      </c>
      <c r="B66" s="172"/>
      <c r="C66" s="173">
        <v>45861</v>
      </c>
      <c r="D66" s="304" t="s">
        <v>188</v>
      </c>
      <c r="E66" s="172" t="s">
        <v>1488</v>
      </c>
      <c r="F66" s="237">
        <v>122</v>
      </c>
      <c r="G66" s="172">
        <v>86</v>
      </c>
      <c r="H66" s="172">
        <v>76</v>
      </c>
      <c r="I66" s="172">
        <v>6536</v>
      </c>
      <c r="J66" s="146" t="s">
        <v>1479</v>
      </c>
      <c r="K66" s="146" t="s">
        <v>1479</v>
      </c>
      <c r="L66" s="146" t="s">
        <v>1479</v>
      </c>
      <c r="M66" s="146" t="s">
        <v>1479</v>
      </c>
      <c r="N66" s="315" t="s">
        <v>1479</v>
      </c>
      <c r="O66" s="315" t="s">
        <v>1479</v>
      </c>
      <c r="P66" s="302">
        <f t="shared" ref="P66:P97" si="4">($S$2/$T$3)</f>
        <v>0.91959798994974873</v>
      </c>
      <c r="Q66" s="302">
        <f t="shared" si="1"/>
        <v>0.8693467336683417</v>
      </c>
      <c r="R66" s="302">
        <f t="shared" si="2"/>
        <v>0.53266331658291455</v>
      </c>
    </row>
    <row r="67" spans="1:18" x14ac:dyDescent="0.2">
      <c r="A67" s="358">
        <v>692791</v>
      </c>
      <c r="B67" s="172"/>
      <c r="C67" s="173">
        <v>45861</v>
      </c>
      <c r="D67" s="304" t="s">
        <v>173</v>
      </c>
      <c r="E67" s="172" t="s">
        <v>1488</v>
      </c>
      <c r="F67" s="172">
        <v>124</v>
      </c>
      <c r="G67" s="172">
        <v>76</v>
      </c>
      <c r="H67" s="172">
        <v>36</v>
      </c>
      <c r="I67" s="172">
        <v>2736</v>
      </c>
      <c r="J67" s="146" t="s">
        <v>1479</v>
      </c>
      <c r="K67" s="146" t="s">
        <v>1479</v>
      </c>
      <c r="L67" s="146" t="s">
        <v>1479</v>
      </c>
      <c r="M67" s="146" t="s">
        <v>1479</v>
      </c>
      <c r="N67" s="315" t="s">
        <v>1479</v>
      </c>
      <c r="O67" s="315" t="s">
        <v>1479</v>
      </c>
      <c r="P67" s="302">
        <f t="shared" si="4"/>
        <v>0.91959798994974873</v>
      </c>
      <c r="Q67" s="302">
        <f t="shared" ref="Q67:Q130" si="5">($T$2/$T$3)</f>
        <v>0.8693467336683417</v>
      </c>
      <c r="R67" s="302">
        <f t="shared" ref="R67:R130" si="6">($U$2/$T$3)</f>
        <v>0.53266331658291455</v>
      </c>
    </row>
    <row r="68" spans="1:18" x14ac:dyDescent="0.2">
      <c r="A68" s="358">
        <v>692790</v>
      </c>
      <c r="B68" s="172"/>
      <c r="C68" s="173">
        <v>45861</v>
      </c>
      <c r="D68" s="304" t="s">
        <v>480</v>
      </c>
      <c r="E68" s="172" t="s">
        <v>1488</v>
      </c>
      <c r="F68" s="237">
        <v>127</v>
      </c>
      <c r="G68" s="172">
        <v>76</v>
      </c>
      <c r="H68" s="172">
        <v>51</v>
      </c>
      <c r="I68" s="172">
        <v>3876</v>
      </c>
      <c r="J68" s="146" t="s">
        <v>1479</v>
      </c>
      <c r="K68" s="146" t="s">
        <v>1479</v>
      </c>
      <c r="L68" s="146" t="s">
        <v>1479</v>
      </c>
      <c r="M68" s="146" t="s">
        <v>1479</v>
      </c>
      <c r="N68" s="315" t="s">
        <v>1479</v>
      </c>
      <c r="O68" s="315" t="s">
        <v>1479</v>
      </c>
      <c r="P68" s="302">
        <f t="shared" si="4"/>
        <v>0.91959798994974873</v>
      </c>
      <c r="Q68" s="302">
        <f t="shared" si="5"/>
        <v>0.8693467336683417</v>
      </c>
      <c r="R68" s="302">
        <f t="shared" si="6"/>
        <v>0.53266331658291455</v>
      </c>
    </row>
    <row r="69" spans="1:18" x14ac:dyDescent="0.2">
      <c r="A69" s="358">
        <v>692801</v>
      </c>
      <c r="B69" s="172"/>
      <c r="C69" s="173">
        <v>45861</v>
      </c>
      <c r="D69" s="304" t="s">
        <v>480</v>
      </c>
      <c r="E69" s="172" t="s">
        <v>1488</v>
      </c>
      <c r="F69" s="237">
        <v>130</v>
      </c>
      <c r="G69" s="172">
        <v>91</v>
      </c>
      <c r="H69" s="172">
        <v>61</v>
      </c>
      <c r="I69" s="172">
        <v>5551</v>
      </c>
      <c r="J69" s="146" t="s">
        <v>1479</v>
      </c>
      <c r="K69" s="146" t="s">
        <v>1479</v>
      </c>
      <c r="L69" s="146" t="s">
        <v>1479</v>
      </c>
      <c r="M69" s="146" t="s">
        <v>1479</v>
      </c>
      <c r="N69" s="315" t="s">
        <v>1479</v>
      </c>
      <c r="O69" s="315" t="s">
        <v>1479</v>
      </c>
      <c r="P69" s="302">
        <f t="shared" si="4"/>
        <v>0.91959798994974873</v>
      </c>
      <c r="Q69" s="302">
        <f t="shared" si="5"/>
        <v>0.8693467336683417</v>
      </c>
      <c r="R69" s="302">
        <f t="shared" si="6"/>
        <v>0.53266331658291455</v>
      </c>
    </row>
    <row r="70" spans="1:18" x14ac:dyDescent="0.2">
      <c r="A70" s="358">
        <v>692789</v>
      </c>
      <c r="B70" s="172"/>
      <c r="C70" s="173">
        <v>45861</v>
      </c>
      <c r="D70" s="304" t="s">
        <v>489</v>
      </c>
      <c r="E70" s="172" t="s">
        <v>1488</v>
      </c>
      <c r="F70" s="237">
        <v>133</v>
      </c>
      <c r="G70" s="172">
        <v>76</v>
      </c>
      <c r="H70" s="172">
        <v>91</v>
      </c>
      <c r="I70" s="172">
        <v>6916</v>
      </c>
      <c r="J70" s="146" t="s">
        <v>1479</v>
      </c>
      <c r="K70" s="146" t="s">
        <v>1479</v>
      </c>
      <c r="L70" s="146" t="s">
        <v>1479</v>
      </c>
      <c r="M70" s="146" t="s">
        <v>1479</v>
      </c>
      <c r="N70" s="315" t="s">
        <v>1479</v>
      </c>
      <c r="O70" s="315" t="s">
        <v>1479</v>
      </c>
      <c r="P70" s="302">
        <f t="shared" si="4"/>
        <v>0.91959798994974873</v>
      </c>
      <c r="Q70" s="302">
        <f t="shared" si="5"/>
        <v>0.8693467336683417</v>
      </c>
      <c r="R70" s="302">
        <f t="shared" si="6"/>
        <v>0.53266331658291455</v>
      </c>
    </row>
    <row r="71" spans="1:18" x14ac:dyDescent="0.2">
      <c r="A71" s="358">
        <v>692805</v>
      </c>
      <c r="B71" s="172"/>
      <c r="C71" s="173">
        <v>45861</v>
      </c>
      <c r="D71" s="304" t="s">
        <v>489</v>
      </c>
      <c r="E71" s="172" t="s">
        <v>1488</v>
      </c>
      <c r="F71" s="172">
        <v>135</v>
      </c>
      <c r="G71" s="172">
        <v>101</v>
      </c>
      <c r="H71" s="172">
        <v>51</v>
      </c>
      <c r="I71" s="172">
        <f>G71*H71</f>
        <v>5151</v>
      </c>
      <c r="J71" s="146" t="s">
        <v>1479</v>
      </c>
      <c r="K71" s="146" t="s">
        <v>1479</v>
      </c>
      <c r="L71" s="146" t="s">
        <v>1479</v>
      </c>
      <c r="M71" s="146" t="s">
        <v>1479</v>
      </c>
      <c r="N71" s="315" t="s">
        <v>1479</v>
      </c>
      <c r="O71" s="315" t="s">
        <v>1479</v>
      </c>
      <c r="P71" s="302">
        <f t="shared" si="4"/>
        <v>0.91959798994974873</v>
      </c>
      <c r="Q71" s="302">
        <f t="shared" si="5"/>
        <v>0.8693467336683417</v>
      </c>
      <c r="R71" s="302">
        <f t="shared" si="6"/>
        <v>0.53266331658291455</v>
      </c>
    </row>
    <row r="72" spans="1:18" x14ac:dyDescent="0.2">
      <c r="A72" s="358">
        <v>692778</v>
      </c>
      <c r="B72" s="172"/>
      <c r="C72" s="173">
        <v>45861</v>
      </c>
      <c r="D72" s="304" t="s">
        <v>188</v>
      </c>
      <c r="E72" s="172" t="s">
        <v>1488</v>
      </c>
      <c r="F72" s="172">
        <v>141</v>
      </c>
      <c r="G72" s="172">
        <v>41</v>
      </c>
      <c r="H72" s="172">
        <v>126</v>
      </c>
      <c r="I72" s="172">
        <v>5166</v>
      </c>
      <c r="J72" s="146" t="s">
        <v>1479</v>
      </c>
      <c r="K72" s="146" t="s">
        <v>1479</v>
      </c>
      <c r="L72" s="146" t="s">
        <v>1479</v>
      </c>
      <c r="M72" s="146" t="s">
        <v>1479</v>
      </c>
      <c r="N72" s="315" t="s">
        <v>1479</v>
      </c>
      <c r="O72" s="315" t="s">
        <v>1479</v>
      </c>
      <c r="P72" s="302">
        <f t="shared" si="4"/>
        <v>0.91959798994974873</v>
      </c>
      <c r="Q72" s="302">
        <f t="shared" si="5"/>
        <v>0.8693467336683417</v>
      </c>
      <c r="R72" s="302">
        <f t="shared" si="6"/>
        <v>0.53266331658291455</v>
      </c>
    </row>
    <row r="73" spans="1:18" x14ac:dyDescent="0.2">
      <c r="A73" s="356">
        <v>692779</v>
      </c>
      <c r="B73" s="172"/>
      <c r="C73" s="173">
        <v>45861</v>
      </c>
      <c r="D73" s="304" t="s">
        <v>1489</v>
      </c>
      <c r="E73" s="172" t="s">
        <v>1488</v>
      </c>
      <c r="F73" s="172"/>
      <c r="G73" s="172">
        <v>63</v>
      </c>
      <c r="H73" s="172">
        <v>41</v>
      </c>
      <c r="I73" s="172">
        <v>2583</v>
      </c>
      <c r="J73" s="146" t="s">
        <v>1479</v>
      </c>
      <c r="K73" s="146" t="s">
        <v>1479</v>
      </c>
      <c r="L73" s="146" t="s">
        <v>1479</v>
      </c>
      <c r="M73" s="146" t="s">
        <v>1479</v>
      </c>
      <c r="N73" s="315" t="s">
        <v>1479</v>
      </c>
      <c r="O73" s="315" t="s">
        <v>1482</v>
      </c>
      <c r="P73" s="302">
        <f t="shared" si="4"/>
        <v>0.91959798994974873</v>
      </c>
      <c r="Q73" s="302">
        <f t="shared" si="5"/>
        <v>0.8693467336683417</v>
      </c>
      <c r="R73" s="302">
        <f t="shared" si="6"/>
        <v>0.53266331658291455</v>
      </c>
    </row>
    <row r="74" spans="1:18" x14ac:dyDescent="0.2">
      <c r="A74" s="358">
        <v>692792</v>
      </c>
      <c r="B74" s="172"/>
      <c r="C74" s="173">
        <v>45861</v>
      </c>
      <c r="D74" s="304" t="s">
        <v>188</v>
      </c>
      <c r="E74" s="172" t="s">
        <v>1488</v>
      </c>
      <c r="F74" s="237">
        <v>144</v>
      </c>
      <c r="G74" s="172">
        <v>101</v>
      </c>
      <c r="H74" s="172">
        <v>51</v>
      </c>
      <c r="I74" s="172">
        <v>5151</v>
      </c>
      <c r="J74" s="146" t="s">
        <v>1479</v>
      </c>
      <c r="K74" s="146" t="s">
        <v>1479</v>
      </c>
      <c r="L74" s="146" t="s">
        <v>1479</v>
      </c>
      <c r="M74" s="146" t="s">
        <v>1479</v>
      </c>
      <c r="N74" s="315" t="s">
        <v>1479</v>
      </c>
      <c r="O74" s="315" t="s">
        <v>1479</v>
      </c>
      <c r="P74" s="302">
        <f t="shared" si="4"/>
        <v>0.91959798994974873</v>
      </c>
      <c r="Q74" s="302">
        <f t="shared" si="5"/>
        <v>0.8693467336683417</v>
      </c>
      <c r="R74" s="302">
        <f t="shared" si="6"/>
        <v>0.53266331658291455</v>
      </c>
    </row>
    <row r="75" spans="1:18" x14ac:dyDescent="0.2">
      <c r="A75" s="356">
        <v>692793</v>
      </c>
      <c r="B75" s="172"/>
      <c r="C75" s="173">
        <v>45861</v>
      </c>
      <c r="D75" s="304" t="s">
        <v>1490</v>
      </c>
      <c r="E75" s="172" t="s">
        <v>1488</v>
      </c>
      <c r="F75" s="172"/>
      <c r="G75" s="172">
        <v>7</v>
      </c>
      <c r="H75" s="172">
        <v>51</v>
      </c>
      <c r="I75" s="172">
        <v>357</v>
      </c>
      <c r="J75" s="146" t="s">
        <v>1479</v>
      </c>
      <c r="K75" s="146" t="s">
        <v>1479</v>
      </c>
      <c r="L75" s="146" t="s">
        <v>1479</v>
      </c>
      <c r="M75" s="146" t="s">
        <v>1479</v>
      </c>
      <c r="N75" s="315" t="s">
        <v>1479</v>
      </c>
      <c r="O75" s="315" t="s">
        <v>1262</v>
      </c>
      <c r="P75" s="302">
        <f t="shared" si="4"/>
        <v>0.91959798994974873</v>
      </c>
      <c r="Q75" s="302">
        <f t="shared" si="5"/>
        <v>0.8693467336683417</v>
      </c>
      <c r="R75" s="302">
        <f t="shared" si="6"/>
        <v>0.53266331658291455</v>
      </c>
    </row>
    <row r="76" spans="1:18" x14ac:dyDescent="0.2">
      <c r="A76" s="356">
        <v>692806</v>
      </c>
      <c r="B76" s="172"/>
      <c r="C76" s="173">
        <v>45861</v>
      </c>
      <c r="D76" s="304" t="s">
        <v>188</v>
      </c>
      <c r="E76" s="172" t="s">
        <v>1488</v>
      </c>
      <c r="F76" s="172">
        <v>145</v>
      </c>
      <c r="G76" s="172">
        <v>101</v>
      </c>
      <c r="H76" s="172">
        <v>51</v>
      </c>
      <c r="I76" s="172">
        <v>5151</v>
      </c>
      <c r="J76" s="146" t="s">
        <v>1479</v>
      </c>
      <c r="K76" s="146" t="s">
        <v>1479</v>
      </c>
      <c r="L76" s="146" t="s">
        <v>1479</v>
      </c>
      <c r="M76" s="146" t="s">
        <v>1479</v>
      </c>
      <c r="N76" s="315" t="s">
        <v>1479</v>
      </c>
      <c r="O76" s="315" t="s">
        <v>1262</v>
      </c>
      <c r="P76" s="302">
        <f t="shared" si="4"/>
        <v>0.91959798994974873</v>
      </c>
      <c r="Q76" s="302">
        <f t="shared" si="5"/>
        <v>0.8693467336683417</v>
      </c>
      <c r="R76" s="302">
        <f t="shared" si="6"/>
        <v>0.53266331658291455</v>
      </c>
    </row>
    <row r="77" spans="1:18" x14ac:dyDescent="0.2">
      <c r="A77" s="358">
        <v>692784</v>
      </c>
      <c r="B77" s="172"/>
      <c r="C77" s="173">
        <v>45861</v>
      </c>
      <c r="D77" s="304" t="s">
        <v>480</v>
      </c>
      <c r="E77" s="172" t="s">
        <v>1488</v>
      </c>
      <c r="F77" s="237">
        <v>147</v>
      </c>
      <c r="G77" s="172">
        <v>101</v>
      </c>
      <c r="H77" s="172">
        <v>51</v>
      </c>
      <c r="I77" s="172">
        <v>5151</v>
      </c>
      <c r="J77" s="146" t="s">
        <v>1479</v>
      </c>
      <c r="K77" s="146" t="s">
        <v>1479</v>
      </c>
      <c r="L77" s="146" t="s">
        <v>1479</v>
      </c>
      <c r="M77" s="146" t="s">
        <v>1479</v>
      </c>
      <c r="N77" s="315" t="s">
        <v>1479</v>
      </c>
      <c r="O77" s="315" t="s">
        <v>1479</v>
      </c>
      <c r="P77" s="302">
        <f t="shared" si="4"/>
        <v>0.91959798994974873</v>
      </c>
      <c r="Q77" s="302">
        <f t="shared" si="5"/>
        <v>0.8693467336683417</v>
      </c>
      <c r="R77" s="302">
        <f t="shared" si="6"/>
        <v>0.53266331658291455</v>
      </c>
    </row>
    <row r="78" spans="1:18" x14ac:dyDescent="0.2">
      <c r="A78" s="358">
        <v>692785</v>
      </c>
      <c r="B78" s="172"/>
      <c r="C78" s="173">
        <v>45861</v>
      </c>
      <c r="D78" s="304" t="s">
        <v>489</v>
      </c>
      <c r="E78" s="172" t="s">
        <v>1488</v>
      </c>
      <c r="F78" s="172">
        <v>154</v>
      </c>
      <c r="G78" s="172">
        <v>101</v>
      </c>
      <c r="H78" s="172">
        <v>51</v>
      </c>
      <c r="I78" s="172">
        <v>5151</v>
      </c>
      <c r="J78" s="146" t="s">
        <v>1479</v>
      </c>
      <c r="K78" s="146" t="s">
        <v>1479</v>
      </c>
      <c r="L78" s="146" t="s">
        <v>1479</v>
      </c>
      <c r="M78" s="146" t="s">
        <v>1479</v>
      </c>
      <c r="N78" s="315" t="s">
        <v>1479</v>
      </c>
      <c r="O78" s="315" t="s">
        <v>1479</v>
      </c>
      <c r="P78" s="302">
        <f t="shared" si="4"/>
        <v>0.91959798994974873</v>
      </c>
      <c r="Q78" s="302">
        <f t="shared" si="5"/>
        <v>0.8693467336683417</v>
      </c>
      <c r="R78" s="302">
        <f t="shared" si="6"/>
        <v>0.53266331658291455</v>
      </c>
    </row>
    <row r="79" spans="1:18" x14ac:dyDescent="0.2">
      <c r="A79" s="358">
        <v>692776</v>
      </c>
      <c r="B79" s="172"/>
      <c r="C79" s="173">
        <v>45861</v>
      </c>
      <c r="D79" s="304" t="s">
        <v>173</v>
      </c>
      <c r="E79" s="172" t="s">
        <v>1488</v>
      </c>
      <c r="F79" s="172">
        <v>158</v>
      </c>
      <c r="G79" s="172">
        <v>71</v>
      </c>
      <c r="H79" s="172">
        <v>36</v>
      </c>
      <c r="I79" s="172">
        <f>G79*H79</f>
        <v>2556</v>
      </c>
      <c r="J79" s="146" t="s">
        <v>1479</v>
      </c>
      <c r="K79" s="146" t="s">
        <v>1479</v>
      </c>
      <c r="L79" s="146" t="s">
        <v>1479</v>
      </c>
      <c r="M79" s="146" t="s">
        <v>1479</v>
      </c>
      <c r="N79" s="315" t="s">
        <v>1479</v>
      </c>
      <c r="O79" s="315" t="s">
        <v>1479</v>
      </c>
      <c r="P79" s="302">
        <f t="shared" si="4"/>
        <v>0.91959798994974873</v>
      </c>
      <c r="Q79" s="302">
        <f t="shared" si="5"/>
        <v>0.8693467336683417</v>
      </c>
      <c r="R79" s="302">
        <f t="shared" si="6"/>
        <v>0.53266331658291455</v>
      </c>
    </row>
    <row r="80" spans="1:18" x14ac:dyDescent="0.2">
      <c r="A80" s="358">
        <v>692787</v>
      </c>
      <c r="B80" s="172"/>
      <c r="C80" s="173">
        <v>45861</v>
      </c>
      <c r="D80" s="304" t="s">
        <v>173</v>
      </c>
      <c r="E80" s="172" t="s">
        <v>1488</v>
      </c>
      <c r="F80" s="172">
        <v>161</v>
      </c>
      <c r="G80" s="172">
        <v>101</v>
      </c>
      <c r="H80" s="172">
        <v>51</v>
      </c>
      <c r="I80" s="172">
        <v>5151</v>
      </c>
      <c r="J80" s="146" t="s">
        <v>1479</v>
      </c>
      <c r="K80" s="146" t="s">
        <v>1479</v>
      </c>
      <c r="L80" s="146" t="s">
        <v>1479</v>
      </c>
      <c r="M80" s="146" t="s">
        <v>1479</v>
      </c>
      <c r="N80" s="315" t="s">
        <v>1479</v>
      </c>
      <c r="O80" s="315" t="s">
        <v>1479</v>
      </c>
      <c r="P80" s="302">
        <f t="shared" si="4"/>
        <v>0.91959798994974873</v>
      </c>
      <c r="Q80" s="302">
        <f t="shared" si="5"/>
        <v>0.8693467336683417</v>
      </c>
      <c r="R80" s="302">
        <f t="shared" si="6"/>
        <v>0.53266331658291455</v>
      </c>
    </row>
    <row r="81" spans="1:18" x14ac:dyDescent="0.2">
      <c r="A81" s="358">
        <v>692786</v>
      </c>
      <c r="B81" s="172"/>
      <c r="C81" s="173">
        <v>45861</v>
      </c>
      <c r="D81" s="304" t="s">
        <v>197</v>
      </c>
      <c r="E81" s="172" t="s">
        <v>1488</v>
      </c>
      <c r="F81" s="172">
        <v>171</v>
      </c>
      <c r="G81" s="172">
        <v>101</v>
      </c>
      <c r="H81" s="172">
        <v>51</v>
      </c>
      <c r="I81" s="172">
        <v>5151</v>
      </c>
      <c r="J81" s="146" t="s">
        <v>1479</v>
      </c>
      <c r="K81" s="146" t="s">
        <v>1479</v>
      </c>
      <c r="L81" s="146" t="s">
        <v>1479</v>
      </c>
      <c r="M81" s="146" t="s">
        <v>1479</v>
      </c>
      <c r="N81" s="315" t="s">
        <v>1479</v>
      </c>
      <c r="O81" s="315" t="s">
        <v>1479</v>
      </c>
      <c r="P81" s="302">
        <f t="shared" si="4"/>
        <v>0.91959798994974873</v>
      </c>
      <c r="Q81" s="302">
        <f t="shared" si="5"/>
        <v>0.8693467336683417</v>
      </c>
      <c r="R81" s="302">
        <f t="shared" si="6"/>
        <v>0.53266331658291455</v>
      </c>
    </row>
    <row r="82" spans="1:18" x14ac:dyDescent="0.2">
      <c r="A82" s="358">
        <v>692780</v>
      </c>
      <c r="B82" s="172"/>
      <c r="C82" s="173">
        <v>45861</v>
      </c>
      <c r="D82" s="304" t="s">
        <v>197</v>
      </c>
      <c r="E82" s="172" t="s">
        <v>1488</v>
      </c>
      <c r="F82" s="172">
        <v>174</v>
      </c>
      <c r="G82" s="172">
        <v>126</v>
      </c>
      <c r="H82" s="172">
        <v>51</v>
      </c>
      <c r="I82" s="172">
        <v>6426</v>
      </c>
      <c r="J82" s="146" t="s">
        <v>1479</v>
      </c>
      <c r="K82" s="146" t="s">
        <v>1479</v>
      </c>
      <c r="L82" s="146" t="s">
        <v>1479</v>
      </c>
      <c r="M82" s="146" t="s">
        <v>1479</v>
      </c>
      <c r="N82" s="315" t="s">
        <v>1479</v>
      </c>
      <c r="O82" s="315" t="s">
        <v>1479</v>
      </c>
      <c r="P82" s="302">
        <f t="shared" si="4"/>
        <v>0.91959798994974873</v>
      </c>
      <c r="Q82" s="302">
        <f t="shared" si="5"/>
        <v>0.8693467336683417</v>
      </c>
      <c r="R82" s="302">
        <f t="shared" si="6"/>
        <v>0.53266331658291455</v>
      </c>
    </row>
    <row r="83" spans="1:18" x14ac:dyDescent="0.2">
      <c r="A83" s="357">
        <v>753797</v>
      </c>
      <c r="B83" s="172"/>
      <c r="C83" s="173">
        <v>45801</v>
      </c>
      <c r="D83" s="280" t="s">
        <v>111</v>
      </c>
      <c r="E83" s="172" t="s">
        <v>1478</v>
      </c>
      <c r="F83" s="172">
        <v>319</v>
      </c>
      <c r="G83" s="172">
        <v>105</v>
      </c>
      <c r="H83" s="172">
        <v>80</v>
      </c>
      <c r="I83" s="172">
        <v>8417</v>
      </c>
      <c r="J83" s="146" t="s">
        <v>1479</v>
      </c>
      <c r="K83" s="146" t="s">
        <v>1479</v>
      </c>
      <c r="L83" s="146" t="s">
        <v>1479</v>
      </c>
      <c r="M83" s="146" t="s">
        <v>1479</v>
      </c>
      <c r="N83" s="317" t="s">
        <v>1479</v>
      </c>
      <c r="O83" s="317" t="s">
        <v>1479</v>
      </c>
      <c r="P83" s="302">
        <f t="shared" si="4"/>
        <v>0.91959798994974873</v>
      </c>
      <c r="Q83" s="302">
        <f t="shared" si="5"/>
        <v>0.8693467336683417</v>
      </c>
      <c r="R83" s="302">
        <f t="shared" si="6"/>
        <v>0.53266331658291455</v>
      </c>
    </row>
    <row r="84" spans="1:18" x14ac:dyDescent="0.2">
      <c r="A84" s="340">
        <v>692762</v>
      </c>
      <c r="B84" s="172"/>
      <c r="C84" s="173">
        <v>45861</v>
      </c>
      <c r="D84" s="280" t="s">
        <v>1491</v>
      </c>
      <c r="E84" s="172" t="s">
        <v>1478</v>
      </c>
      <c r="F84" s="237">
        <v>73</v>
      </c>
      <c r="G84" s="172">
        <v>26</v>
      </c>
      <c r="H84" s="172">
        <v>51</v>
      </c>
      <c r="I84" s="172">
        <f>G84*H84</f>
        <v>1326</v>
      </c>
      <c r="J84" s="146" t="s">
        <v>1479</v>
      </c>
      <c r="K84" s="146" t="s">
        <v>1479</v>
      </c>
      <c r="L84" s="146" t="s">
        <v>1479</v>
      </c>
      <c r="M84" s="146" t="s">
        <v>1479</v>
      </c>
      <c r="N84" s="317" t="s">
        <v>1479</v>
      </c>
      <c r="O84" s="317" t="s">
        <v>1484</v>
      </c>
      <c r="P84" s="302">
        <f t="shared" si="4"/>
        <v>0.91959798994974873</v>
      </c>
      <c r="Q84" s="302">
        <f t="shared" si="5"/>
        <v>0.8693467336683417</v>
      </c>
      <c r="R84" s="302">
        <f t="shared" si="6"/>
        <v>0.53266331658291455</v>
      </c>
    </row>
    <row r="85" spans="1:18" x14ac:dyDescent="0.2">
      <c r="A85" s="340">
        <v>692820</v>
      </c>
      <c r="B85" s="172"/>
      <c r="C85" s="173">
        <v>45861</v>
      </c>
      <c r="D85" s="280" t="s">
        <v>1491</v>
      </c>
      <c r="E85" s="172" t="s">
        <v>1478</v>
      </c>
      <c r="F85" s="172">
        <v>64</v>
      </c>
      <c r="G85" s="172">
        <v>98</v>
      </c>
      <c r="H85" s="172">
        <v>35</v>
      </c>
      <c r="I85" s="172">
        <v>3430</v>
      </c>
      <c r="J85" s="146" t="s">
        <v>1479</v>
      </c>
      <c r="K85" s="146" t="s">
        <v>1479</v>
      </c>
      <c r="L85" s="146" t="s">
        <v>1479</v>
      </c>
      <c r="M85" s="146" t="s">
        <v>1479</v>
      </c>
      <c r="N85" s="317" t="s">
        <v>1479</v>
      </c>
      <c r="O85" s="317" t="s">
        <v>1479</v>
      </c>
      <c r="P85" s="302">
        <f t="shared" si="4"/>
        <v>0.91959798994974873</v>
      </c>
      <c r="Q85" s="302">
        <f t="shared" si="5"/>
        <v>0.8693467336683417</v>
      </c>
      <c r="R85" s="302">
        <f t="shared" si="6"/>
        <v>0.53266331658291455</v>
      </c>
    </row>
    <row r="86" spans="1:18" x14ac:dyDescent="0.2">
      <c r="A86" s="357">
        <v>692821</v>
      </c>
      <c r="B86" s="172"/>
      <c r="C86" s="173">
        <v>45861</v>
      </c>
      <c r="D86" s="280" t="s">
        <v>1491</v>
      </c>
      <c r="E86" s="172" t="s">
        <v>1478</v>
      </c>
      <c r="F86" s="172">
        <v>69</v>
      </c>
      <c r="G86" s="172">
        <v>73</v>
      </c>
      <c r="H86" s="172">
        <v>105</v>
      </c>
      <c r="I86" s="172">
        <v>7665</v>
      </c>
      <c r="J86" s="146" t="s">
        <v>1479</v>
      </c>
      <c r="K86" s="146" t="s">
        <v>1479</v>
      </c>
      <c r="L86" s="146" t="s">
        <v>1479</v>
      </c>
      <c r="M86" s="146" t="s">
        <v>1479</v>
      </c>
      <c r="N86" s="317" t="s">
        <v>1479</v>
      </c>
      <c r="O86" s="317" t="s">
        <v>1479</v>
      </c>
      <c r="P86" s="302">
        <f t="shared" si="4"/>
        <v>0.91959798994974873</v>
      </c>
      <c r="Q86" s="302">
        <f t="shared" si="5"/>
        <v>0.8693467336683417</v>
      </c>
      <c r="R86" s="302">
        <f t="shared" si="6"/>
        <v>0.53266331658291455</v>
      </c>
    </row>
    <row r="87" spans="1:18" x14ac:dyDescent="0.2">
      <c r="A87" s="340">
        <v>725323</v>
      </c>
      <c r="B87" s="172">
        <v>725336</v>
      </c>
      <c r="C87" s="173">
        <v>46014</v>
      </c>
      <c r="D87" s="280" t="s">
        <v>1491</v>
      </c>
      <c r="E87" s="172" t="s">
        <v>1478</v>
      </c>
      <c r="F87" s="237">
        <v>77</v>
      </c>
      <c r="G87" s="172">
        <v>80</v>
      </c>
      <c r="H87" s="172">
        <v>80</v>
      </c>
      <c r="I87" s="172">
        <v>6400</v>
      </c>
      <c r="J87" s="146" t="s">
        <v>1479</v>
      </c>
      <c r="K87" s="146" t="s">
        <v>1479</v>
      </c>
      <c r="L87" s="146" t="s">
        <v>1479</v>
      </c>
      <c r="M87" s="146" t="s">
        <v>1479</v>
      </c>
      <c r="N87" s="317" t="s">
        <v>1479</v>
      </c>
      <c r="O87" s="317"/>
      <c r="P87" s="302">
        <f t="shared" si="4"/>
        <v>0.91959798994974873</v>
      </c>
      <c r="Q87" s="302">
        <f t="shared" si="5"/>
        <v>0.8693467336683417</v>
      </c>
      <c r="R87" s="302">
        <f t="shared" si="6"/>
        <v>0.53266331658291455</v>
      </c>
    </row>
    <row r="88" spans="1:18" x14ac:dyDescent="0.2">
      <c r="A88" s="340">
        <v>725339</v>
      </c>
      <c r="B88" s="172">
        <v>725395</v>
      </c>
      <c r="C88" s="173">
        <v>46014</v>
      </c>
      <c r="D88" s="280" t="s">
        <v>1491</v>
      </c>
      <c r="E88" s="172" t="s">
        <v>1478</v>
      </c>
      <c r="F88" s="237">
        <v>77</v>
      </c>
      <c r="G88" s="172">
        <v>80</v>
      </c>
      <c r="H88" s="172">
        <v>53</v>
      </c>
      <c r="I88" s="172">
        <v>4240</v>
      </c>
      <c r="J88" s="146" t="s">
        <v>1479</v>
      </c>
      <c r="K88" s="146" t="s">
        <v>1479</v>
      </c>
      <c r="L88" s="146" t="s">
        <v>1479</v>
      </c>
      <c r="M88" s="146" t="s">
        <v>1479</v>
      </c>
      <c r="N88" s="317" t="s">
        <v>1479</v>
      </c>
      <c r="O88" s="317" t="s">
        <v>1479</v>
      </c>
      <c r="P88" s="302">
        <f t="shared" si="4"/>
        <v>0.91959798994974873</v>
      </c>
      <c r="Q88" s="302">
        <f t="shared" si="5"/>
        <v>0.8693467336683417</v>
      </c>
      <c r="R88" s="302">
        <f t="shared" si="6"/>
        <v>0.53266331658291455</v>
      </c>
    </row>
    <row r="89" spans="1:18" x14ac:dyDescent="0.2">
      <c r="A89" s="357">
        <v>753828</v>
      </c>
      <c r="B89" s="172"/>
      <c r="C89" s="173">
        <v>45801</v>
      </c>
      <c r="D89" s="280" t="s">
        <v>1491</v>
      </c>
      <c r="E89" s="172" t="s">
        <v>1478</v>
      </c>
      <c r="F89" s="172" t="s">
        <v>403</v>
      </c>
      <c r="G89" s="172">
        <v>57</v>
      </c>
      <c r="H89" s="172">
        <v>108</v>
      </c>
      <c r="I89" s="172">
        <v>6176</v>
      </c>
      <c r="J89" s="146" t="s">
        <v>1479</v>
      </c>
      <c r="K89" s="146" t="s">
        <v>1479</v>
      </c>
      <c r="L89" s="146" t="s">
        <v>1479</v>
      </c>
      <c r="M89" s="146" t="s">
        <v>1479</v>
      </c>
      <c r="N89" s="317" t="s">
        <v>1479</v>
      </c>
      <c r="O89" s="317" t="s">
        <v>1479</v>
      </c>
      <c r="P89" s="302">
        <f t="shared" si="4"/>
        <v>0.91959798994974873</v>
      </c>
      <c r="Q89" s="302">
        <f t="shared" si="5"/>
        <v>0.8693467336683417</v>
      </c>
      <c r="R89" s="302">
        <f t="shared" si="6"/>
        <v>0.53266331658291455</v>
      </c>
    </row>
    <row r="90" spans="1:18" x14ac:dyDescent="0.2">
      <c r="A90" s="357">
        <v>753829</v>
      </c>
      <c r="B90" s="172"/>
      <c r="C90" s="173">
        <v>45801</v>
      </c>
      <c r="D90" s="280" t="s">
        <v>1491</v>
      </c>
      <c r="E90" s="172" t="s">
        <v>1478</v>
      </c>
      <c r="F90" s="172" t="s">
        <v>412</v>
      </c>
      <c r="G90" s="172">
        <v>52</v>
      </c>
      <c r="H90" s="172">
        <v>145</v>
      </c>
      <c r="I90" s="172">
        <v>7468</v>
      </c>
      <c r="J90" s="146" t="s">
        <v>1479</v>
      </c>
      <c r="K90" s="146" t="s">
        <v>1479</v>
      </c>
      <c r="L90" s="146" t="s">
        <v>1479</v>
      </c>
      <c r="M90" s="146" t="s">
        <v>1479</v>
      </c>
      <c r="N90" s="317" t="s">
        <v>1479</v>
      </c>
      <c r="O90" s="317" t="s">
        <v>1479</v>
      </c>
      <c r="P90" s="302">
        <f t="shared" si="4"/>
        <v>0.91959798994974873</v>
      </c>
      <c r="Q90" s="302">
        <f t="shared" si="5"/>
        <v>0.8693467336683417</v>
      </c>
      <c r="R90" s="302">
        <f t="shared" si="6"/>
        <v>0.53266331658291455</v>
      </c>
    </row>
    <row r="91" spans="1:18" x14ac:dyDescent="0.2">
      <c r="A91" s="340">
        <v>753830</v>
      </c>
      <c r="B91" s="172"/>
      <c r="C91" s="173">
        <v>45801</v>
      </c>
      <c r="D91" s="280" t="s">
        <v>1491</v>
      </c>
      <c r="E91" s="172" t="s">
        <v>1478</v>
      </c>
      <c r="F91" s="172" t="s">
        <v>413</v>
      </c>
      <c r="G91" s="172">
        <v>57</v>
      </c>
      <c r="H91" s="172">
        <v>145</v>
      </c>
      <c r="I91" s="172">
        <v>8193</v>
      </c>
      <c r="J91" s="146" t="s">
        <v>1479</v>
      </c>
      <c r="K91" s="146" t="s">
        <v>1479</v>
      </c>
      <c r="L91" s="146" t="s">
        <v>1479</v>
      </c>
      <c r="M91" s="146" t="s">
        <v>1479</v>
      </c>
      <c r="N91" s="317" t="s">
        <v>1479</v>
      </c>
      <c r="O91" s="317" t="s">
        <v>1484</v>
      </c>
      <c r="P91" s="302">
        <f t="shared" si="4"/>
        <v>0.91959798994974873</v>
      </c>
      <c r="Q91" s="302">
        <f t="shared" si="5"/>
        <v>0.8693467336683417</v>
      </c>
      <c r="R91" s="302">
        <f t="shared" si="6"/>
        <v>0.53266331658291455</v>
      </c>
    </row>
    <row r="92" spans="1:18" x14ac:dyDescent="0.2">
      <c r="A92" s="356">
        <v>810533</v>
      </c>
      <c r="B92" s="172"/>
      <c r="C92" s="173">
        <v>45713</v>
      </c>
      <c r="D92" s="305" t="s">
        <v>1492</v>
      </c>
      <c r="E92" s="261" t="s">
        <v>864</v>
      </c>
      <c r="F92" s="261">
        <v>382</v>
      </c>
      <c r="G92" s="172"/>
      <c r="H92" s="172"/>
      <c r="I92" s="172"/>
      <c r="J92" s="146" t="s">
        <v>1479</v>
      </c>
      <c r="K92" s="146" t="s">
        <v>1479</v>
      </c>
      <c r="L92" s="146" t="s">
        <v>1479</v>
      </c>
      <c r="M92" s="146" t="s">
        <v>1479</v>
      </c>
      <c r="N92" s="337" t="s">
        <v>1479</v>
      </c>
      <c r="O92" s="337" t="s">
        <v>1493</v>
      </c>
      <c r="P92" s="302">
        <f t="shared" si="4"/>
        <v>0.91959798994974873</v>
      </c>
      <c r="Q92" s="302">
        <f t="shared" si="5"/>
        <v>0.8693467336683417</v>
      </c>
      <c r="R92" s="302">
        <f t="shared" si="6"/>
        <v>0.53266331658291455</v>
      </c>
    </row>
    <row r="93" spans="1:18" x14ac:dyDescent="0.2">
      <c r="A93" s="172">
        <v>810534</v>
      </c>
      <c r="B93" s="172"/>
      <c r="C93" s="173">
        <v>45713</v>
      </c>
      <c r="D93" s="308" t="s">
        <v>1494</v>
      </c>
      <c r="E93" s="176" t="s">
        <v>731</v>
      </c>
      <c r="F93" s="176">
        <v>155</v>
      </c>
      <c r="G93" s="172"/>
      <c r="H93" s="172"/>
      <c r="I93" s="172"/>
      <c r="J93" s="146" t="s">
        <v>1479</v>
      </c>
      <c r="K93" s="146" t="s">
        <v>1479</v>
      </c>
      <c r="L93" s="146" t="s">
        <v>1479</v>
      </c>
      <c r="M93" s="146" t="s">
        <v>1479</v>
      </c>
      <c r="N93" s="338"/>
      <c r="O93" s="338"/>
      <c r="P93" s="302">
        <f t="shared" si="4"/>
        <v>0.91959798994974873</v>
      </c>
      <c r="Q93" s="302">
        <f t="shared" si="5"/>
        <v>0.8693467336683417</v>
      </c>
      <c r="R93" s="302">
        <f t="shared" si="6"/>
        <v>0.53266331658291455</v>
      </c>
    </row>
    <row r="94" spans="1:18" x14ac:dyDescent="0.2">
      <c r="A94" s="172">
        <v>810535</v>
      </c>
      <c r="B94" s="172"/>
      <c r="C94" s="173">
        <v>45713</v>
      </c>
      <c r="D94" s="308" t="s">
        <v>1494</v>
      </c>
      <c r="E94" s="176" t="s">
        <v>731</v>
      </c>
      <c r="F94" s="176">
        <v>155</v>
      </c>
      <c r="G94" s="172"/>
      <c r="H94" s="172"/>
      <c r="I94" s="172"/>
      <c r="J94" s="146" t="s">
        <v>1479</v>
      </c>
      <c r="K94" s="146" t="s">
        <v>1479</v>
      </c>
      <c r="L94" s="146" t="s">
        <v>1479</v>
      </c>
      <c r="M94" s="146" t="s">
        <v>1479</v>
      </c>
      <c r="N94" s="338"/>
      <c r="O94" s="338"/>
      <c r="P94" s="302">
        <f t="shared" si="4"/>
        <v>0.91959798994974873</v>
      </c>
      <c r="Q94" s="302">
        <f t="shared" si="5"/>
        <v>0.8693467336683417</v>
      </c>
      <c r="R94" s="302">
        <f t="shared" si="6"/>
        <v>0.53266331658291455</v>
      </c>
    </row>
    <row r="95" spans="1:18" x14ac:dyDescent="0.2">
      <c r="A95" s="172">
        <v>810536</v>
      </c>
      <c r="B95" s="172"/>
      <c r="C95" s="173">
        <v>45713</v>
      </c>
      <c r="D95" s="308" t="s">
        <v>1494</v>
      </c>
      <c r="E95" s="176" t="s">
        <v>731</v>
      </c>
      <c r="F95" s="176">
        <v>155</v>
      </c>
      <c r="G95" s="172"/>
      <c r="H95" s="172"/>
      <c r="I95" s="172"/>
      <c r="J95" s="146" t="s">
        <v>1479</v>
      </c>
      <c r="K95" s="146" t="s">
        <v>1479</v>
      </c>
      <c r="L95" s="146" t="s">
        <v>1479</v>
      </c>
      <c r="M95" s="146" t="s">
        <v>1479</v>
      </c>
      <c r="N95" s="338"/>
      <c r="O95" s="338"/>
      <c r="P95" s="302">
        <f t="shared" si="4"/>
        <v>0.91959798994974873</v>
      </c>
      <c r="Q95" s="302">
        <f t="shared" si="5"/>
        <v>0.8693467336683417</v>
      </c>
      <c r="R95" s="302">
        <f t="shared" si="6"/>
        <v>0.53266331658291455</v>
      </c>
    </row>
    <row r="96" spans="1:18" x14ac:dyDescent="0.2">
      <c r="A96" s="172">
        <v>810537</v>
      </c>
      <c r="B96" s="172"/>
      <c r="C96" s="173">
        <v>45713</v>
      </c>
      <c r="D96" s="308" t="s">
        <v>1495</v>
      </c>
      <c r="E96" s="176" t="s">
        <v>731</v>
      </c>
      <c r="F96" s="176">
        <v>201</v>
      </c>
      <c r="G96" s="172"/>
      <c r="H96" s="172"/>
      <c r="I96" s="172"/>
      <c r="J96" s="146" t="s">
        <v>1479</v>
      </c>
      <c r="K96" s="146" t="s">
        <v>1479</v>
      </c>
      <c r="L96" s="146" t="s">
        <v>1479</v>
      </c>
      <c r="M96" s="146" t="s">
        <v>1479</v>
      </c>
      <c r="N96" s="338"/>
      <c r="O96" s="338"/>
      <c r="P96" s="302">
        <f t="shared" si="4"/>
        <v>0.91959798994974873</v>
      </c>
      <c r="Q96" s="302">
        <f t="shared" si="5"/>
        <v>0.8693467336683417</v>
      </c>
      <c r="R96" s="302">
        <f t="shared" si="6"/>
        <v>0.53266331658291455</v>
      </c>
    </row>
    <row r="97" spans="1:18" x14ac:dyDescent="0.2">
      <c r="A97" s="172">
        <v>810538</v>
      </c>
      <c r="B97" s="172"/>
      <c r="C97" s="173">
        <v>45713</v>
      </c>
      <c r="D97" s="308" t="s">
        <v>1496</v>
      </c>
      <c r="E97" s="176" t="s">
        <v>731</v>
      </c>
      <c r="F97" s="176">
        <v>158</v>
      </c>
      <c r="G97" s="172"/>
      <c r="H97" s="172"/>
      <c r="I97" s="172"/>
      <c r="J97" s="146" t="s">
        <v>1479</v>
      </c>
      <c r="K97" s="146" t="s">
        <v>1479</v>
      </c>
      <c r="L97" s="146" t="s">
        <v>1479</v>
      </c>
      <c r="M97" s="146" t="s">
        <v>1479</v>
      </c>
      <c r="N97" s="338"/>
      <c r="O97" s="338"/>
      <c r="P97" s="302">
        <f t="shared" si="4"/>
        <v>0.91959798994974873</v>
      </c>
      <c r="Q97" s="302">
        <f t="shared" si="5"/>
        <v>0.8693467336683417</v>
      </c>
      <c r="R97" s="302">
        <f t="shared" si="6"/>
        <v>0.53266331658291455</v>
      </c>
    </row>
    <row r="98" spans="1:18" x14ac:dyDescent="0.2">
      <c r="A98" s="356">
        <v>810540</v>
      </c>
      <c r="B98" s="172"/>
      <c r="C98" s="173">
        <v>45713</v>
      </c>
      <c r="D98" s="306" t="s">
        <v>1497</v>
      </c>
      <c r="E98" s="261" t="s">
        <v>864</v>
      </c>
      <c r="F98" s="176">
        <v>415</v>
      </c>
      <c r="G98" s="172">
        <v>69</v>
      </c>
      <c r="H98" s="172">
        <v>106</v>
      </c>
      <c r="I98" s="172">
        <v>7314</v>
      </c>
      <c r="J98" s="146" t="s">
        <v>1479</v>
      </c>
      <c r="K98" s="146" t="s">
        <v>1479</v>
      </c>
      <c r="L98" s="146" t="s">
        <v>1479</v>
      </c>
      <c r="M98" s="146" t="s">
        <v>1479</v>
      </c>
      <c r="N98" s="337" t="s">
        <v>1479</v>
      </c>
      <c r="O98" s="337" t="s">
        <v>1479</v>
      </c>
      <c r="P98" s="302">
        <f t="shared" ref="P98:P129" si="7">($S$2/$T$3)</f>
        <v>0.91959798994974873</v>
      </c>
      <c r="Q98" s="302">
        <f t="shared" si="5"/>
        <v>0.8693467336683417</v>
      </c>
      <c r="R98" s="302">
        <f t="shared" si="6"/>
        <v>0.53266331658291455</v>
      </c>
    </row>
    <row r="99" spans="1:18" x14ac:dyDescent="0.2">
      <c r="A99" s="356">
        <v>810541</v>
      </c>
      <c r="B99" s="172"/>
      <c r="C99" s="173">
        <v>45713</v>
      </c>
      <c r="D99" s="306" t="s">
        <v>1498</v>
      </c>
      <c r="E99" s="261" t="s">
        <v>864</v>
      </c>
      <c r="F99" s="283">
        <v>400</v>
      </c>
      <c r="G99" s="172">
        <v>70</v>
      </c>
      <c r="H99" s="172">
        <v>110</v>
      </c>
      <c r="I99" s="172">
        <v>7700</v>
      </c>
      <c r="J99" s="146" t="s">
        <v>1479</v>
      </c>
      <c r="K99" s="146" t="s">
        <v>1479</v>
      </c>
      <c r="L99" s="146" t="s">
        <v>1479</v>
      </c>
      <c r="M99" s="146" t="s">
        <v>1479</v>
      </c>
      <c r="N99" s="337" t="s">
        <v>1479</v>
      </c>
      <c r="O99" s="337" t="s">
        <v>1479</v>
      </c>
      <c r="P99" s="302">
        <f t="shared" si="7"/>
        <v>0.91959798994974873</v>
      </c>
      <c r="Q99" s="302">
        <f t="shared" si="5"/>
        <v>0.8693467336683417</v>
      </c>
      <c r="R99" s="302">
        <f t="shared" si="6"/>
        <v>0.53266331658291455</v>
      </c>
    </row>
    <row r="100" spans="1:18" x14ac:dyDescent="0.2">
      <c r="A100" s="356">
        <v>810542</v>
      </c>
      <c r="B100" s="172"/>
      <c r="C100" s="173">
        <v>45713</v>
      </c>
      <c r="D100" s="307" t="s">
        <v>1498</v>
      </c>
      <c r="E100" s="261" t="s">
        <v>864</v>
      </c>
      <c r="F100" s="237">
        <v>401</v>
      </c>
      <c r="G100" s="172">
        <v>54</v>
      </c>
      <c r="H100" s="172">
        <v>110</v>
      </c>
      <c r="I100" s="172">
        <v>5940</v>
      </c>
      <c r="J100" s="146" t="s">
        <v>1479</v>
      </c>
      <c r="K100" s="146" t="s">
        <v>1479</v>
      </c>
      <c r="L100" s="146" t="s">
        <v>1479</v>
      </c>
      <c r="M100" s="146" t="s">
        <v>1479</v>
      </c>
      <c r="N100" s="337" t="s">
        <v>1479</v>
      </c>
      <c r="O100" s="337" t="s">
        <v>1479</v>
      </c>
      <c r="P100" s="302">
        <f t="shared" si="7"/>
        <v>0.91959798994974873</v>
      </c>
      <c r="Q100" s="302">
        <f t="shared" si="5"/>
        <v>0.8693467336683417</v>
      </c>
      <c r="R100" s="302">
        <f t="shared" si="6"/>
        <v>0.53266331658291455</v>
      </c>
    </row>
    <row r="101" spans="1:18" x14ac:dyDescent="0.2">
      <c r="A101" s="356">
        <v>810543</v>
      </c>
      <c r="B101" s="172"/>
      <c r="C101" s="173">
        <v>45713</v>
      </c>
      <c r="D101" s="306" t="s">
        <v>1499</v>
      </c>
      <c r="E101" s="261" t="s">
        <v>864</v>
      </c>
      <c r="F101" s="176">
        <v>403</v>
      </c>
      <c r="G101" s="172">
        <v>71</v>
      </c>
      <c r="H101" s="172">
        <v>110</v>
      </c>
      <c r="I101" s="172">
        <v>7810</v>
      </c>
      <c r="J101" s="146" t="s">
        <v>1479</v>
      </c>
      <c r="K101" s="146" t="s">
        <v>1479</v>
      </c>
      <c r="L101" s="146" t="s">
        <v>1479</v>
      </c>
      <c r="M101" s="146" t="s">
        <v>1479</v>
      </c>
      <c r="N101" s="337" t="s">
        <v>1479</v>
      </c>
      <c r="O101" s="337" t="s">
        <v>1479</v>
      </c>
      <c r="P101" s="302">
        <f t="shared" si="7"/>
        <v>0.91959798994974873</v>
      </c>
      <c r="Q101" s="302">
        <f t="shared" si="5"/>
        <v>0.8693467336683417</v>
      </c>
      <c r="R101" s="302">
        <f t="shared" si="6"/>
        <v>0.53266331658291455</v>
      </c>
    </row>
    <row r="102" spans="1:18" x14ac:dyDescent="0.2">
      <c r="A102" s="356">
        <v>810544</v>
      </c>
      <c r="B102" s="172"/>
      <c r="C102" s="173">
        <v>45713</v>
      </c>
      <c r="D102" s="306" t="s">
        <v>1499</v>
      </c>
      <c r="E102" s="261" t="s">
        <v>864</v>
      </c>
      <c r="F102" s="176">
        <v>404</v>
      </c>
      <c r="G102" s="172">
        <v>45</v>
      </c>
      <c r="H102" s="172">
        <v>190</v>
      </c>
      <c r="I102" s="172">
        <v>8550</v>
      </c>
      <c r="J102" s="146" t="s">
        <v>1479</v>
      </c>
      <c r="K102" s="146" t="s">
        <v>1479</v>
      </c>
      <c r="L102" s="146" t="s">
        <v>1479</v>
      </c>
      <c r="M102" s="146" t="s">
        <v>1479</v>
      </c>
      <c r="N102" s="337" t="s">
        <v>1479</v>
      </c>
      <c r="O102" s="337" t="s">
        <v>1500</v>
      </c>
      <c r="P102" s="302">
        <f t="shared" si="7"/>
        <v>0.91959798994974873</v>
      </c>
      <c r="Q102" s="302">
        <f t="shared" si="5"/>
        <v>0.8693467336683417</v>
      </c>
      <c r="R102" s="302">
        <f t="shared" si="6"/>
        <v>0.53266331658291455</v>
      </c>
    </row>
    <row r="103" spans="1:18" x14ac:dyDescent="0.2">
      <c r="A103" s="356">
        <v>810545</v>
      </c>
      <c r="B103" s="172"/>
      <c r="C103" s="173">
        <v>45713</v>
      </c>
      <c r="D103" s="306" t="s">
        <v>1501</v>
      </c>
      <c r="E103" s="261" t="s">
        <v>864</v>
      </c>
      <c r="F103" s="283">
        <v>405</v>
      </c>
      <c r="G103" s="172">
        <v>42</v>
      </c>
      <c r="H103" s="172">
        <v>124</v>
      </c>
      <c r="I103" s="172">
        <v>5208</v>
      </c>
      <c r="J103" s="146" t="s">
        <v>1479</v>
      </c>
      <c r="K103" s="146" t="s">
        <v>1479</v>
      </c>
      <c r="L103" s="146" t="s">
        <v>1479</v>
      </c>
      <c r="M103" s="146" t="s">
        <v>1479</v>
      </c>
      <c r="N103" s="337" t="s">
        <v>1479</v>
      </c>
      <c r="O103" s="337" t="s">
        <v>1479</v>
      </c>
      <c r="P103" s="302">
        <f t="shared" si="7"/>
        <v>0.91959798994974873</v>
      </c>
      <c r="Q103" s="302">
        <f t="shared" si="5"/>
        <v>0.8693467336683417</v>
      </c>
      <c r="R103" s="302">
        <f t="shared" si="6"/>
        <v>0.53266331658291455</v>
      </c>
    </row>
    <row r="104" spans="1:18" x14ac:dyDescent="0.2">
      <c r="A104" s="356">
        <v>810546</v>
      </c>
      <c r="B104" s="172"/>
      <c r="C104" s="173">
        <v>45713</v>
      </c>
      <c r="D104" s="306" t="s">
        <v>1501</v>
      </c>
      <c r="E104" s="261" t="s">
        <v>864</v>
      </c>
      <c r="F104" s="176">
        <v>406</v>
      </c>
      <c r="G104" s="172">
        <v>47</v>
      </c>
      <c r="H104" s="172">
        <v>149</v>
      </c>
      <c r="I104" s="172">
        <v>7003</v>
      </c>
      <c r="J104" s="146" t="s">
        <v>1479</v>
      </c>
      <c r="K104" s="146" t="s">
        <v>1479</v>
      </c>
      <c r="L104" s="146" t="s">
        <v>1479</v>
      </c>
      <c r="M104" s="146" t="s">
        <v>1479</v>
      </c>
      <c r="N104" s="337" t="s">
        <v>1479</v>
      </c>
      <c r="O104" s="337" t="s">
        <v>1479</v>
      </c>
      <c r="P104" s="302">
        <f t="shared" si="7"/>
        <v>0.91959798994974873</v>
      </c>
      <c r="Q104" s="302">
        <f t="shared" si="5"/>
        <v>0.8693467336683417</v>
      </c>
      <c r="R104" s="302">
        <f t="shared" si="6"/>
        <v>0.53266331658291455</v>
      </c>
    </row>
    <row r="105" spans="1:18" x14ac:dyDescent="0.2">
      <c r="A105" s="356">
        <v>810547</v>
      </c>
      <c r="B105" s="172"/>
      <c r="C105" s="173">
        <v>45713</v>
      </c>
      <c r="D105" s="306" t="s">
        <v>1502</v>
      </c>
      <c r="E105" s="261" t="s">
        <v>864</v>
      </c>
      <c r="F105" s="283">
        <v>407</v>
      </c>
      <c r="G105" s="172">
        <v>40</v>
      </c>
      <c r="H105" s="172">
        <v>149</v>
      </c>
      <c r="I105" s="172">
        <v>5960</v>
      </c>
      <c r="J105" s="146" t="s">
        <v>1479</v>
      </c>
      <c r="K105" s="146" t="s">
        <v>1479</v>
      </c>
      <c r="L105" s="146" t="s">
        <v>1479</v>
      </c>
      <c r="M105" s="146" t="s">
        <v>1479</v>
      </c>
      <c r="N105" s="337" t="s">
        <v>1479</v>
      </c>
      <c r="O105" s="337" t="s">
        <v>1480</v>
      </c>
      <c r="P105" s="302">
        <f t="shared" si="7"/>
        <v>0.91959798994974873</v>
      </c>
      <c r="Q105" s="302">
        <f t="shared" si="5"/>
        <v>0.8693467336683417</v>
      </c>
      <c r="R105" s="302">
        <f t="shared" si="6"/>
        <v>0.53266331658291455</v>
      </c>
    </row>
    <row r="106" spans="1:18" x14ac:dyDescent="0.2">
      <c r="A106" s="172">
        <v>810548</v>
      </c>
      <c r="B106" s="172"/>
      <c r="C106" s="173">
        <v>45713</v>
      </c>
      <c r="D106" s="308" t="s">
        <v>1503</v>
      </c>
      <c r="E106" s="176" t="s">
        <v>731</v>
      </c>
      <c r="F106" s="172"/>
      <c r="G106" s="172">
        <v>201</v>
      </c>
      <c r="H106" s="172">
        <v>401</v>
      </c>
      <c r="I106" s="172">
        <v>80601</v>
      </c>
      <c r="J106" s="146" t="s">
        <v>1479</v>
      </c>
      <c r="K106" s="146" t="s">
        <v>1479</v>
      </c>
      <c r="L106" s="146" t="s">
        <v>1479</v>
      </c>
      <c r="M106" s="146" t="s">
        <v>1479</v>
      </c>
      <c r="N106" s="338"/>
      <c r="O106" s="338"/>
      <c r="P106" s="302">
        <f t="shared" si="7"/>
        <v>0.91959798994974873</v>
      </c>
      <c r="Q106" s="302">
        <f t="shared" si="5"/>
        <v>0.8693467336683417</v>
      </c>
      <c r="R106" s="302">
        <f t="shared" si="6"/>
        <v>0.53266331658291455</v>
      </c>
    </row>
    <row r="107" spans="1:18" x14ac:dyDescent="0.2">
      <c r="A107" s="172">
        <v>810549</v>
      </c>
      <c r="B107" s="172"/>
      <c r="C107" s="173">
        <v>45713</v>
      </c>
      <c r="D107" s="308" t="s">
        <v>1504</v>
      </c>
      <c r="E107" s="176" t="s">
        <v>731</v>
      </c>
      <c r="F107" s="172"/>
      <c r="G107" s="172">
        <v>201</v>
      </c>
      <c r="H107" s="172">
        <v>251</v>
      </c>
      <c r="I107" s="172">
        <v>50451</v>
      </c>
      <c r="J107" s="146" t="s">
        <v>1479</v>
      </c>
      <c r="K107" s="146" t="s">
        <v>1479</v>
      </c>
      <c r="L107" s="146" t="s">
        <v>1479</v>
      </c>
      <c r="M107" s="146" t="s">
        <v>1479</v>
      </c>
      <c r="N107" s="338"/>
      <c r="O107" s="338"/>
      <c r="P107" s="302">
        <f t="shared" si="7"/>
        <v>0.91959798994974873</v>
      </c>
      <c r="Q107" s="302">
        <f t="shared" si="5"/>
        <v>0.8693467336683417</v>
      </c>
      <c r="R107" s="302">
        <f t="shared" si="6"/>
        <v>0.53266331658291455</v>
      </c>
    </row>
    <row r="108" spans="1:18" x14ac:dyDescent="0.2">
      <c r="A108" s="172">
        <v>810550</v>
      </c>
      <c r="B108" s="172"/>
      <c r="C108" s="173">
        <v>45713</v>
      </c>
      <c r="D108" s="308" t="s">
        <v>1505</v>
      </c>
      <c r="E108" s="176" t="s">
        <v>731</v>
      </c>
      <c r="F108" s="172"/>
      <c r="G108" s="172">
        <v>276</v>
      </c>
      <c r="H108" s="172">
        <v>426</v>
      </c>
      <c r="I108" s="172">
        <v>117577</v>
      </c>
      <c r="J108" s="146" t="s">
        <v>1479</v>
      </c>
      <c r="K108" s="146" t="s">
        <v>1479</v>
      </c>
      <c r="L108" s="146" t="s">
        <v>1479</v>
      </c>
      <c r="M108" s="146" t="s">
        <v>1479</v>
      </c>
      <c r="N108" s="338"/>
      <c r="O108" s="338"/>
      <c r="P108" s="302">
        <f t="shared" si="7"/>
        <v>0.91959798994974873</v>
      </c>
      <c r="Q108" s="302">
        <f t="shared" si="5"/>
        <v>0.8693467336683417</v>
      </c>
      <c r="R108" s="302">
        <f t="shared" si="6"/>
        <v>0.53266331658291455</v>
      </c>
    </row>
    <row r="109" spans="1:18" x14ac:dyDescent="0.2">
      <c r="A109" s="172">
        <v>810551</v>
      </c>
      <c r="B109" s="172"/>
      <c r="C109" s="173">
        <v>45713</v>
      </c>
      <c r="D109" s="308" t="s">
        <v>1506</v>
      </c>
      <c r="E109" s="176" t="s">
        <v>731</v>
      </c>
      <c r="F109" s="172"/>
      <c r="G109" s="172">
        <v>301</v>
      </c>
      <c r="H109" s="172">
        <v>301</v>
      </c>
      <c r="I109" s="172">
        <v>90602</v>
      </c>
      <c r="J109" s="146" t="s">
        <v>1479</v>
      </c>
      <c r="K109" s="146" t="s">
        <v>1479</v>
      </c>
      <c r="L109" s="146" t="s">
        <v>1479</v>
      </c>
      <c r="M109" s="146" t="s">
        <v>1479</v>
      </c>
      <c r="N109" s="338"/>
      <c r="O109" s="338"/>
      <c r="P109" s="302">
        <f t="shared" si="7"/>
        <v>0.91959798994974873</v>
      </c>
      <c r="Q109" s="302">
        <f t="shared" si="5"/>
        <v>0.8693467336683417</v>
      </c>
      <c r="R109" s="302">
        <f t="shared" si="6"/>
        <v>0.53266331658291455</v>
      </c>
    </row>
    <row r="110" spans="1:18" x14ac:dyDescent="0.2">
      <c r="A110" s="356">
        <v>810552</v>
      </c>
      <c r="B110" s="172"/>
      <c r="C110" s="173">
        <v>45713</v>
      </c>
      <c r="D110" s="306" t="s">
        <v>1502</v>
      </c>
      <c r="E110" s="261" t="s">
        <v>864</v>
      </c>
      <c r="F110" s="267">
        <v>408</v>
      </c>
      <c r="G110" s="172">
        <v>50</v>
      </c>
      <c r="H110" s="172">
        <v>154</v>
      </c>
      <c r="I110" s="172">
        <v>7905</v>
      </c>
      <c r="J110" s="146" t="s">
        <v>1479</v>
      </c>
      <c r="K110" s="146" t="s">
        <v>1479</v>
      </c>
      <c r="L110" s="146" t="s">
        <v>1479</v>
      </c>
      <c r="M110" s="146" t="s">
        <v>1479</v>
      </c>
      <c r="N110" s="337" t="s">
        <v>1479</v>
      </c>
      <c r="O110" s="337" t="s">
        <v>1479</v>
      </c>
      <c r="P110" s="302">
        <f t="shared" si="7"/>
        <v>0.91959798994974873</v>
      </c>
      <c r="Q110" s="302">
        <f t="shared" si="5"/>
        <v>0.8693467336683417</v>
      </c>
      <c r="R110" s="302">
        <f t="shared" si="6"/>
        <v>0.53266331658291455</v>
      </c>
    </row>
    <row r="111" spans="1:18" x14ac:dyDescent="0.2">
      <c r="A111" s="356">
        <v>810553</v>
      </c>
      <c r="B111" s="172"/>
      <c r="C111" s="173">
        <v>45713</v>
      </c>
      <c r="D111" s="306" t="s">
        <v>1502</v>
      </c>
      <c r="E111" s="261" t="s">
        <v>864</v>
      </c>
      <c r="F111" s="261">
        <v>409</v>
      </c>
      <c r="G111" s="172">
        <v>68.2</v>
      </c>
      <c r="H111" s="172">
        <v>154</v>
      </c>
      <c r="I111" s="172">
        <v>10695</v>
      </c>
      <c r="J111" s="146" t="s">
        <v>1479</v>
      </c>
      <c r="K111" s="146" t="s">
        <v>1479</v>
      </c>
      <c r="L111" s="146" t="s">
        <v>1479</v>
      </c>
      <c r="M111" s="146" t="s">
        <v>1479</v>
      </c>
      <c r="N111" s="337" t="s">
        <v>1479</v>
      </c>
      <c r="O111" s="337" t="s">
        <v>1479</v>
      </c>
      <c r="P111" s="302">
        <f t="shared" si="7"/>
        <v>0.91959798994974873</v>
      </c>
      <c r="Q111" s="302">
        <f t="shared" si="5"/>
        <v>0.8693467336683417</v>
      </c>
      <c r="R111" s="302">
        <f t="shared" si="6"/>
        <v>0.53266331658291455</v>
      </c>
    </row>
    <row r="112" spans="1:18" x14ac:dyDescent="0.2">
      <c r="A112" s="356">
        <v>810554</v>
      </c>
      <c r="B112" s="172"/>
      <c r="C112" s="173">
        <v>45713</v>
      </c>
      <c r="D112" s="306" t="s">
        <v>1507</v>
      </c>
      <c r="E112" s="261" t="s">
        <v>864</v>
      </c>
      <c r="F112" s="261">
        <v>409</v>
      </c>
      <c r="G112" s="172">
        <v>68.2</v>
      </c>
      <c r="H112" s="172">
        <v>77.45</v>
      </c>
      <c r="I112" s="172">
        <v>5382</v>
      </c>
      <c r="J112" s="146" t="s">
        <v>1479</v>
      </c>
      <c r="K112" s="146" t="s">
        <v>1479</v>
      </c>
      <c r="L112" s="146" t="s">
        <v>1479</v>
      </c>
      <c r="M112" s="146" t="s">
        <v>1479</v>
      </c>
      <c r="N112" s="337" t="s">
        <v>1479</v>
      </c>
      <c r="O112" s="337" t="s">
        <v>1479</v>
      </c>
      <c r="P112" s="302">
        <f t="shared" si="7"/>
        <v>0.91959798994974873</v>
      </c>
      <c r="Q112" s="302">
        <f t="shared" si="5"/>
        <v>0.8693467336683417</v>
      </c>
      <c r="R112" s="302">
        <f t="shared" si="6"/>
        <v>0.53266331658291455</v>
      </c>
    </row>
    <row r="113" spans="1:18" x14ac:dyDescent="0.2">
      <c r="A113" s="356">
        <v>810555</v>
      </c>
      <c r="B113" s="172"/>
      <c r="C113" s="173">
        <v>45713</v>
      </c>
      <c r="D113" s="306" t="s">
        <v>1507</v>
      </c>
      <c r="E113" s="261" t="s">
        <v>864</v>
      </c>
      <c r="F113" s="267">
        <v>410</v>
      </c>
      <c r="G113" s="172">
        <v>58.5</v>
      </c>
      <c r="H113" s="172">
        <v>125.4</v>
      </c>
      <c r="I113" s="172">
        <v>7434</v>
      </c>
      <c r="J113" s="146" t="s">
        <v>1479</v>
      </c>
      <c r="K113" s="146" t="s">
        <v>1479</v>
      </c>
      <c r="L113" s="146" t="s">
        <v>1479</v>
      </c>
      <c r="M113" s="146" t="s">
        <v>1479</v>
      </c>
      <c r="N113" s="337" t="s">
        <v>1479</v>
      </c>
      <c r="O113" s="337" t="s">
        <v>1479</v>
      </c>
      <c r="P113" s="302">
        <f t="shared" si="7"/>
        <v>0.91959798994974873</v>
      </c>
      <c r="Q113" s="302">
        <f t="shared" si="5"/>
        <v>0.8693467336683417</v>
      </c>
      <c r="R113" s="302">
        <f t="shared" si="6"/>
        <v>0.53266331658291455</v>
      </c>
    </row>
    <row r="114" spans="1:18" x14ac:dyDescent="0.2">
      <c r="A114" s="356">
        <v>810556</v>
      </c>
      <c r="B114" s="172"/>
      <c r="C114" s="173">
        <v>45713</v>
      </c>
      <c r="D114" s="307" t="s">
        <v>1508</v>
      </c>
      <c r="E114" s="261" t="s">
        <v>864</v>
      </c>
      <c r="F114" s="267">
        <v>411</v>
      </c>
      <c r="G114" s="172">
        <v>61.95</v>
      </c>
      <c r="H114" s="172">
        <v>169.45</v>
      </c>
      <c r="I114" s="172">
        <v>10540</v>
      </c>
      <c r="J114" s="146" t="s">
        <v>1479</v>
      </c>
      <c r="K114" s="146" t="s">
        <v>1479</v>
      </c>
      <c r="L114" s="146" t="s">
        <v>1479</v>
      </c>
      <c r="M114" s="146" t="s">
        <v>1479</v>
      </c>
      <c r="N114" s="337" t="s">
        <v>1479</v>
      </c>
      <c r="O114" s="337" t="s">
        <v>1479</v>
      </c>
      <c r="P114" s="302">
        <f t="shared" si="7"/>
        <v>0.91959798994974873</v>
      </c>
      <c r="Q114" s="302">
        <f t="shared" si="5"/>
        <v>0.8693467336683417</v>
      </c>
      <c r="R114" s="302">
        <f t="shared" si="6"/>
        <v>0.53266331658291455</v>
      </c>
    </row>
    <row r="115" spans="1:18" x14ac:dyDescent="0.2">
      <c r="A115" s="356">
        <v>810557</v>
      </c>
      <c r="B115" s="172"/>
      <c r="C115" s="173">
        <v>45713</v>
      </c>
      <c r="D115" s="307" t="s">
        <v>1509</v>
      </c>
      <c r="E115" s="261" t="s">
        <v>864</v>
      </c>
      <c r="F115" s="267">
        <v>413</v>
      </c>
      <c r="G115" s="172">
        <v>32.65</v>
      </c>
      <c r="H115" s="172">
        <v>164.05</v>
      </c>
      <c r="I115" s="172">
        <v>5445</v>
      </c>
      <c r="J115" s="146" t="s">
        <v>1479</v>
      </c>
      <c r="K115" s="146" t="s">
        <v>1479</v>
      </c>
      <c r="L115" s="146" t="s">
        <v>1479</v>
      </c>
      <c r="M115" s="146" t="s">
        <v>1479</v>
      </c>
      <c r="N115" s="337" t="s">
        <v>1479</v>
      </c>
      <c r="O115" s="337" t="s">
        <v>1479</v>
      </c>
      <c r="P115" s="302">
        <f t="shared" si="7"/>
        <v>0.91959798994974873</v>
      </c>
      <c r="Q115" s="302">
        <f t="shared" si="5"/>
        <v>0.8693467336683417</v>
      </c>
      <c r="R115" s="302">
        <f t="shared" si="6"/>
        <v>0.53266331658291455</v>
      </c>
    </row>
    <row r="116" spans="1:18" x14ac:dyDescent="0.2">
      <c r="A116" s="356">
        <v>810558</v>
      </c>
      <c r="B116" s="172"/>
      <c r="C116" s="173">
        <v>45713</v>
      </c>
      <c r="D116" s="307" t="s">
        <v>1509</v>
      </c>
      <c r="E116" s="261" t="s">
        <v>864</v>
      </c>
      <c r="F116" s="261">
        <v>414</v>
      </c>
      <c r="G116" s="172">
        <v>54.65</v>
      </c>
      <c r="H116" s="172">
        <v>91.75</v>
      </c>
      <c r="I116" s="172">
        <v>5060</v>
      </c>
      <c r="J116" s="146" t="s">
        <v>1479</v>
      </c>
      <c r="K116" s="146" t="s">
        <v>1479</v>
      </c>
      <c r="L116" s="146" t="s">
        <v>1479</v>
      </c>
      <c r="M116" s="146" t="s">
        <v>1479</v>
      </c>
      <c r="N116" s="337" t="s">
        <v>1484</v>
      </c>
      <c r="O116" s="337" t="s">
        <v>1484</v>
      </c>
      <c r="P116" s="302">
        <f t="shared" si="7"/>
        <v>0.91959798994974873</v>
      </c>
      <c r="Q116" s="302">
        <f t="shared" si="5"/>
        <v>0.8693467336683417</v>
      </c>
      <c r="R116" s="302">
        <f t="shared" si="6"/>
        <v>0.53266331658291455</v>
      </c>
    </row>
    <row r="117" spans="1:18" x14ac:dyDescent="0.2">
      <c r="A117" s="356">
        <v>810559</v>
      </c>
      <c r="B117" s="172"/>
      <c r="C117" s="173">
        <v>45713</v>
      </c>
      <c r="D117" s="307" t="s">
        <v>1509</v>
      </c>
      <c r="E117" s="261" t="s">
        <v>864</v>
      </c>
      <c r="F117" s="261">
        <v>414</v>
      </c>
      <c r="G117" s="172">
        <v>54.6</v>
      </c>
      <c r="H117" s="172">
        <v>91.75</v>
      </c>
      <c r="I117" s="172">
        <v>5060</v>
      </c>
      <c r="J117" s="146" t="s">
        <v>1479</v>
      </c>
      <c r="K117" s="146" t="s">
        <v>1479</v>
      </c>
      <c r="L117" s="146" t="s">
        <v>1479</v>
      </c>
      <c r="M117" s="146" t="s">
        <v>1479</v>
      </c>
      <c r="N117" s="337" t="s">
        <v>1479</v>
      </c>
      <c r="O117" s="337" t="s">
        <v>1479</v>
      </c>
      <c r="P117" s="302">
        <f t="shared" si="7"/>
        <v>0.91959798994974873</v>
      </c>
      <c r="Q117" s="302">
        <f t="shared" si="5"/>
        <v>0.8693467336683417</v>
      </c>
      <c r="R117" s="302">
        <f t="shared" si="6"/>
        <v>0.53266331658291455</v>
      </c>
    </row>
    <row r="118" spans="1:18" x14ac:dyDescent="0.2">
      <c r="A118" s="356">
        <v>810560</v>
      </c>
      <c r="B118" s="172"/>
      <c r="C118" s="173">
        <v>45713</v>
      </c>
      <c r="D118" s="307" t="s">
        <v>1509</v>
      </c>
      <c r="E118" s="261" t="s">
        <v>864</v>
      </c>
      <c r="F118" s="261">
        <v>414</v>
      </c>
      <c r="G118" s="172">
        <v>77.849999999999994</v>
      </c>
      <c r="H118" s="172">
        <v>68.95</v>
      </c>
      <c r="I118" s="172">
        <v>5382</v>
      </c>
      <c r="J118" s="146" t="s">
        <v>1479</v>
      </c>
      <c r="K118" s="146" t="s">
        <v>1479</v>
      </c>
      <c r="L118" s="146" t="s">
        <v>1479</v>
      </c>
      <c r="M118" s="146" t="s">
        <v>1479</v>
      </c>
      <c r="N118" s="337" t="s">
        <v>1479</v>
      </c>
      <c r="O118" s="337" t="s">
        <v>1479</v>
      </c>
      <c r="P118" s="302">
        <f t="shared" si="7"/>
        <v>0.91959798994974873</v>
      </c>
      <c r="Q118" s="302">
        <f t="shared" si="5"/>
        <v>0.8693467336683417</v>
      </c>
      <c r="R118" s="302">
        <f t="shared" si="6"/>
        <v>0.53266331658291455</v>
      </c>
    </row>
    <row r="119" spans="1:18" x14ac:dyDescent="0.2">
      <c r="A119" s="356">
        <v>810561</v>
      </c>
      <c r="B119" s="172"/>
      <c r="C119" s="173">
        <v>45713</v>
      </c>
      <c r="D119" s="307" t="s">
        <v>1510</v>
      </c>
      <c r="E119" s="261" t="s">
        <v>864</v>
      </c>
      <c r="F119" s="267">
        <v>418</v>
      </c>
      <c r="G119" s="172">
        <v>45</v>
      </c>
      <c r="H119" s="172">
        <v>112</v>
      </c>
      <c r="I119" s="172">
        <v>5040</v>
      </c>
      <c r="J119" s="146" t="s">
        <v>1479</v>
      </c>
      <c r="K119" s="146" t="s">
        <v>1479</v>
      </c>
      <c r="L119" s="146" t="s">
        <v>1479</v>
      </c>
      <c r="M119" s="146" t="s">
        <v>1479</v>
      </c>
      <c r="N119" s="337" t="s">
        <v>1479</v>
      </c>
      <c r="O119" s="337" t="s">
        <v>1479</v>
      </c>
      <c r="P119" s="302">
        <f t="shared" si="7"/>
        <v>0.91959798994974873</v>
      </c>
      <c r="Q119" s="302">
        <f t="shared" si="5"/>
        <v>0.8693467336683417</v>
      </c>
      <c r="R119" s="302">
        <f t="shared" si="6"/>
        <v>0.53266331658291455</v>
      </c>
    </row>
    <row r="120" spans="1:18" x14ac:dyDescent="0.2">
      <c r="A120" s="356">
        <v>810562</v>
      </c>
      <c r="B120" s="172"/>
      <c r="C120" s="173">
        <v>45713</v>
      </c>
      <c r="D120" s="307" t="s">
        <v>1510</v>
      </c>
      <c r="E120" s="261" t="s">
        <v>864</v>
      </c>
      <c r="F120" s="267">
        <v>418</v>
      </c>
      <c r="G120" s="172">
        <v>45</v>
      </c>
      <c r="H120" s="172">
        <v>62</v>
      </c>
      <c r="I120" s="172">
        <v>2790</v>
      </c>
      <c r="J120" s="146" t="s">
        <v>1479</v>
      </c>
      <c r="K120" s="146" t="s">
        <v>1479</v>
      </c>
      <c r="L120" s="146" t="s">
        <v>1479</v>
      </c>
      <c r="M120" s="146" t="s">
        <v>1479</v>
      </c>
      <c r="N120" s="337" t="s">
        <v>1479</v>
      </c>
      <c r="O120" s="337" t="s">
        <v>1479</v>
      </c>
      <c r="P120" s="302">
        <f t="shared" si="7"/>
        <v>0.91959798994974873</v>
      </c>
      <c r="Q120" s="302">
        <f t="shared" si="5"/>
        <v>0.8693467336683417</v>
      </c>
      <c r="R120" s="302">
        <f t="shared" si="6"/>
        <v>0.53266331658291455</v>
      </c>
    </row>
    <row r="121" spans="1:18" x14ac:dyDescent="0.2">
      <c r="A121" s="356">
        <v>810563</v>
      </c>
      <c r="B121" s="172"/>
      <c r="C121" s="173">
        <v>45713</v>
      </c>
      <c r="D121" s="307" t="s">
        <v>1510</v>
      </c>
      <c r="E121" s="261" t="s">
        <v>864</v>
      </c>
      <c r="F121" s="267">
        <v>418</v>
      </c>
      <c r="G121" s="172">
        <v>11</v>
      </c>
      <c r="H121" s="172">
        <v>101</v>
      </c>
      <c r="I121" s="172">
        <v>1111</v>
      </c>
      <c r="J121" s="146" t="s">
        <v>1479</v>
      </c>
      <c r="K121" s="146" t="s">
        <v>1479</v>
      </c>
      <c r="L121" s="146" t="s">
        <v>1479</v>
      </c>
      <c r="M121" s="146" t="s">
        <v>1479</v>
      </c>
      <c r="N121" s="337" t="s">
        <v>1511</v>
      </c>
      <c r="O121" s="337" t="s">
        <v>1511</v>
      </c>
      <c r="P121" s="302">
        <f t="shared" si="7"/>
        <v>0.91959798994974873</v>
      </c>
      <c r="Q121" s="302">
        <f t="shared" si="5"/>
        <v>0.8693467336683417</v>
      </c>
      <c r="R121" s="302">
        <f t="shared" si="6"/>
        <v>0.53266331658291455</v>
      </c>
    </row>
    <row r="122" spans="1:18" x14ac:dyDescent="0.2">
      <c r="A122" s="356">
        <v>810564</v>
      </c>
      <c r="B122" s="172"/>
      <c r="C122" s="173">
        <v>45713</v>
      </c>
      <c r="D122" s="307" t="s">
        <v>1510</v>
      </c>
      <c r="E122" s="261" t="s">
        <v>864</v>
      </c>
      <c r="F122" s="267">
        <v>420</v>
      </c>
      <c r="G122" s="172">
        <v>43</v>
      </c>
      <c r="H122" s="172">
        <v>116</v>
      </c>
      <c r="I122" s="172">
        <v>4988</v>
      </c>
      <c r="J122" s="146" t="s">
        <v>1479</v>
      </c>
      <c r="K122" s="146" t="s">
        <v>1479</v>
      </c>
      <c r="L122" s="146" t="s">
        <v>1479</v>
      </c>
      <c r="M122" s="146" t="s">
        <v>1479</v>
      </c>
      <c r="N122" s="337" t="s">
        <v>1479</v>
      </c>
      <c r="O122" s="337" t="s">
        <v>1479</v>
      </c>
      <c r="P122" s="302">
        <f t="shared" si="7"/>
        <v>0.91959798994974873</v>
      </c>
      <c r="Q122" s="302">
        <f t="shared" si="5"/>
        <v>0.8693467336683417</v>
      </c>
      <c r="R122" s="302">
        <f t="shared" si="6"/>
        <v>0.53266331658291455</v>
      </c>
    </row>
    <row r="123" spans="1:18" x14ac:dyDescent="0.2">
      <c r="A123" s="172">
        <v>810565</v>
      </c>
      <c r="B123" s="172"/>
      <c r="C123" s="173">
        <v>45713</v>
      </c>
      <c r="D123" s="309" t="s">
        <v>1512</v>
      </c>
      <c r="E123" s="172" t="s">
        <v>1513</v>
      </c>
      <c r="F123" s="172"/>
      <c r="G123" s="172">
        <v>76</v>
      </c>
      <c r="H123" s="172">
        <v>76</v>
      </c>
      <c r="I123" s="172">
        <f t="shared" ref="I123:I137" si="8">G123*H123</f>
        <v>5776</v>
      </c>
      <c r="J123" s="146" t="s">
        <v>1479</v>
      </c>
      <c r="K123" s="146" t="s">
        <v>1479</v>
      </c>
      <c r="L123" s="146" t="s">
        <v>1479</v>
      </c>
      <c r="M123" s="146" t="s">
        <v>1479</v>
      </c>
      <c r="N123" s="338"/>
      <c r="O123" s="338"/>
      <c r="P123" s="302">
        <f t="shared" si="7"/>
        <v>0.91959798994974873</v>
      </c>
      <c r="Q123" s="302">
        <f t="shared" si="5"/>
        <v>0.8693467336683417</v>
      </c>
      <c r="R123" s="302">
        <f t="shared" si="6"/>
        <v>0.53266331658291455</v>
      </c>
    </row>
    <row r="124" spans="1:18" x14ac:dyDescent="0.2">
      <c r="A124" s="172">
        <v>810566</v>
      </c>
      <c r="B124" s="172"/>
      <c r="C124" s="173">
        <v>45713</v>
      </c>
      <c r="D124" s="309" t="s">
        <v>1512</v>
      </c>
      <c r="E124" s="172" t="s">
        <v>1513</v>
      </c>
      <c r="F124" s="172"/>
      <c r="G124" s="172">
        <v>76</v>
      </c>
      <c r="H124" s="172">
        <v>76</v>
      </c>
      <c r="I124" s="172">
        <f t="shared" si="8"/>
        <v>5776</v>
      </c>
      <c r="J124" s="146" t="s">
        <v>1479</v>
      </c>
      <c r="K124" s="146" t="s">
        <v>1479</v>
      </c>
      <c r="L124" s="146" t="s">
        <v>1479</v>
      </c>
      <c r="M124" s="146" t="s">
        <v>1479</v>
      </c>
      <c r="N124" s="338"/>
      <c r="O124" s="338"/>
      <c r="P124" s="302">
        <f t="shared" si="7"/>
        <v>0.91959798994974873</v>
      </c>
      <c r="Q124" s="302">
        <f t="shared" si="5"/>
        <v>0.8693467336683417</v>
      </c>
      <c r="R124" s="302">
        <f t="shared" si="6"/>
        <v>0.53266331658291455</v>
      </c>
    </row>
    <row r="125" spans="1:18" x14ac:dyDescent="0.2">
      <c r="A125" s="172">
        <v>810567</v>
      </c>
      <c r="B125" s="172"/>
      <c r="C125" s="173">
        <v>45713</v>
      </c>
      <c r="D125" s="309" t="s">
        <v>1512</v>
      </c>
      <c r="E125" s="172" t="s">
        <v>1513</v>
      </c>
      <c r="F125" s="172"/>
      <c r="G125" s="172">
        <v>76</v>
      </c>
      <c r="H125" s="172">
        <v>76</v>
      </c>
      <c r="I125" s="172">
        <f t="shared" si="8"/>
        <v>5776</v>
      </c>
      <c r="J125" s="146" t="s">
        <v>1479</v>
      </c>
      <c r="K125" s="146" t="s">
        <v>1479</v>
      </c>
      <c r="L125" s="146" t="s">
        <v>1479</v>
      </c>
      <c r="M125" s="146" t="s">
        <v>1479</v>
      </c>
      <c r="N125" s="338"/>
      <c r="O125" s="338"/>
      <c r="P125" s="302">
        <f t="shared" si="7"/>
        <v>0.91959798994974873</v>
      </c>
      <c r="Q125" s="302">
        <f t="shared" si="5"/>
        <v>0.8693467336683417</v>
      </c>
      <c r="R125" s="302">
        <f t="shared" si="6"/>
        <v>0.53266331658291455</v>
      </c>
    </row>
    <row r="126" spans="1:18" x14ac:dyDescent="0.2">
      <c r="A126" s="172">
        <v>810568</v>
      </c>
      <c r="B126" s="172"/>
      <c r="C126" s="173">
        <v>45713</v>
      </c>
      <c r="D126" s="309" t="s">
        <v>1512</v>
      </c>
      <c r="E126" s="172" t="s">
        <v>1513</v>
      </c>
      <c r="F126" s="172"/>
      <c r="G126" s="172">
        <v>76</v>
      </c>
      <c r="H126" s="172">
        <v>76</v>
      </c>
      <c r="I126" s="172">
        <f t="shared" si="8"/>
        <v>5776</v>
      </c>
      <c r="J126" s="146" t="s">
        <v>1479</v>
      </c>
      <c r="K126" s="146" t="s">
        <v>1479</v>
      </c>
      <c r="L126" s="146" t="s">
        <v>1479</v>
      </c>
      <c r="M126" s="146" t="s">
        <v>1479</v>
      </c>
      <c r="N126" s="338"/>
      <c r="O126" s="338"/>
      <c r="P126" s="302">
        <f t="shared" si="7"/>
        <v>0.91959798994974873</v>
      </c>
      <c r="Q126" s="302">
        <f t="shared" si="5"/>
        <v>0.8693467336683417</v>
      </c>
      <c r="R126" s="302">
        <f t="shared" si="6"/>
        <v>0.53266331658291455</v>
      </c>
    </row>
    <row r="127" spans="1:18" x14ac:dyDescent="0.2">
      <c r="A127" s="172">
        <v>810569</v>
      </c>
      <c r="B127" s="172"/>
      <c r="C127" s="173">
        <v>45713</v>
      </c>
      <c r="D127" s="309" t="s">
        <v>1514</v>
      </c>
      <c r="E127" s="172" t="s">
        <v>1513</v>
      </c>
      <c r="F127" s="172"/>
      <c r="G127" s="172">
        <v>101</v>
      </c>
      <c r="H127" s="172">
        <v>101</v>
      </c>
      <c r="I127" s="172">
        <f t="shared" si="8"/>
        <v>10201</v>
      </c>
      <c r="J127" s="146" t="s">
        <v>1479</v>
      </c>
      <c r="K127" s="146" t="s">
        <v>1479</v>
      </c>
      <c r="L127" s="146" t="s">
        <v>1479</v>
      </c>
      <c r="M127" s="146" t="s">
        <v>1479</v>
      </c>
      <c r="N127" s="338"/>
      <c r="O127" s="338"/>
      <c r="P127" s="302">
        <f t="shared" si="7"/>
        <v>0.91959798994974873</v>
      </c>
      <c r="Q127" s="302">
        <f t="shared" si="5"/>
        <v>0.8693467336683417</v>
      </c>
      <c r="R127" s="302">
        <f t="shared" si="6"/>
        <v>0.53266331658291455</v>
      </c>
    </row>
    <row r="128" spans="1:18" x14ac:dyDescent="0.2">
      <c r="A128" s="172">
        <v>810570</v>
      </c>
      <c r="B128" s="172"/>
      <c r="C128" s="173">
        <v>45713</v>
      </c>
      <c r="D128" s="309" t="s">
        <v>1514</v>
      </c>
      <c r="E128" s="172" t="s">
        <v>1513</v>
      </c>
      <c r="F128" s="172"/>
      <c r="G128" s="172">
        <v>76</v>
      </c>
      <c r="H128" s="172">
        <v>101</v>
      </c>
      <c r="I128" s="172">
        <f t="shared" si="8"/>
        <v>7676</v>
      </c>
      <c r="J128" s="146" t="s">
        <v>1479</v>
      </c>
      <c r="K128" s="146" t="s">
        <v>1479</v>
      </c>
      <c r="L128" s="146" t="s">
        <v>1479</v>
      </c>
      <c r="M128" s="146" t="s">
        <v>1479</v>
      </c>
      <c r="N128" s="338"/>
      <c r="O128" s="338"/>
      <c r="P128" s="302">
        <f t="shared" si="7"/>
        <v>0.91959798994974873</v>
      </c>
      <c r="Q128" s="302">
        <f t="shared" si="5"/>
        <v>0.8693467336683417</v>
      </c>
      <c r="R128" s="302">
        <f t="shared" si="6"/>
        <v>0.53266331658291455</v>
      </c>
    </row>
    <row r="129" spans="1:18" x14ac:dyDescent="0.2">
      <c r="A129" s="172">
        <v>810571</v>
      </c>
      <c r="B129" s="172"/>
      <c r="C129" s="173">
        <v>45713</v>
      </c>
      <c r="D129" s="309" t="s">
        <v>1514</v>
      </c>
      <c r="E129" s="172" t="s">
        <v>1513</v>
      </c>
      <c r="F129" s="172"/>
      <c r="G129" s="172">
        <v>101</v>
      </c>
      <c r="H129" s="172">
        <v>101</v>
      </c>
      <c r="I129" s="172">
        <f t="shared" si="8"/>
        <v>10201</v>
      </c>
      <c r="J129" s="146" t="s">
        <v>1479</v>
      </c>
      <c r="K129" s="146" t="s">
        <v>1479</v>
      </c>
      <c r="L129" s="146" t="s">
        <v>1479</v>
      </c>
      <c r="M129" s="146" t="s">
        <v>1479</v>
      </c>
      <c r="N129" s="338"/>
      <c r="O129" s="338"/>
      <c r="P129" s="302">
        <f t="shared" si="7"/>
        <v>0.91959798994974873</v>
      </c>
      <c r="Q129" s="302">
        <f t="shared" si="5"/>
        <v>0.8693467336683417</v>
      </c>
      <c r="R129" s="302">
        <f t="shared" si="6"/>
        <v>0.53266331658291455</v>
      </c>
    </row>
    <row r="130" spans="1:18" x14ac:dyDescent="0.2">
      <c r="A130" s="172">
        <v>810572</v>
      </c>
      <c r="B130" s="172"/>
      <c r="C130" s="173">
        <v>45713</v>
      </c>
      <c r="D130" s="309" t="s">
        <v>1514</v>
      </c>
      <c r="E130" s="172" t="s">
        <v>1513</v>
      </c>
      <c r="F130" s="172"/>
      <c r="G130" s="172">
        <v>101</v>
      </c>
      <c r="H130" s="172">
        <v>101</v>
      </c>
      <c r="I130" s="172">
        <f t="shared" si="8"/>
        <v>10201</v>
      </c>
      <c r="J130" s="146" t="s">
        <v>1479</v>
      </c>
      <c r="K130" s="146" t="s">
        <v>1479</v>
      </c>
      <c r="L130" s="146" t="s">
        <v>1479</v>
      </c>
      <c r="M130" s="146" t="s">
        <v>1479</v>
      </c>
      <c r="N130" s="338"/>
      <c r="O130" s="338"/>
      <c r="P130" s="302">
        <f t="shared" ref="P130:P161" si="9">($S$2/$T$3)</f>
        <v>0.91959798994974873</v>
      </c>
      <c r="Q130" s="302">
        <f t="shared" si="5"/>
        <v>0.8693467336683417</v>
      </c>
      <c r="R130" s="302">
        <f t="shared" si="6"/>
        <v>0.53266331658291455</v>
      </c>
    </row>
    <row r="131" spans="1:18" x14ac:dyDescent="0.2">
      <c r="A131" s="172">
        <v>810573</v>
      </c>
      <c r="B131" s="172"/>
      <c r="C131" s="173">
        <v>45713</v>
      </c>
      <c r="D131" s="309" t="s">
        <v>1515</v>
      </c>
      <c r="E131" s="172" t="s">
        <v>1513</v>
      </c>
      <c r="F131" s="172"/>
      <c r="G131" s="172">
        <v>101</v>
      </c>
      <c r="H131" s="172">
        <v>101</v>
      </c>
      <c r="I131" s="172">
        <f t="shared" si="8"/>
        <v>10201</v>
      </c>
      <c r="J131" s="146" t="s">
        <v>1479</v>
      </c>
      <c r="K131" s="146" t="s">
        <v>1479</v>
      </c>
      <c r="L131" s="146" t="s">
        <v>1479</v>
      </c>
      <c r="M131" s="146" t="s">
        <v>1479</v>
      </c>
      <c r="N131" s="338"/>
      <c r="O131" s="338"/>
      <c r="P131" s="302">
        <f t="shared" si="9"/>
        <v>0.91959798994974873</v>
      </c>
      <c r="Q131" s="302">
        <f t="shared" ref="Q131:Q194" si="10">($T$2/$T$3)</f>
        <v>0.8693467336683417</v>
      </c>
      <c r="R131" s="302">
        <f t="shared" ref="R131:R194" si="11">($U$2/$T$3)</f>
        <v>0.53266331658291455</v>
      </c>
    </row>
    <row r="132" spans="1:18" x14ac:dyDescent="0.2">
      <c r="A132" s="172">
        <v>810574</v>
      </c>
      <c r="B132" s="172"/>
      <c r="C132" s="173">
        <v>45713</v>
      </c>
      <c r="D132" s="309" t="s">
        <v>1515</v>
      </c>
      <c r="E132" s="172" t="s">
        <v>1513</v>
      </c>
      <c r="F132" s="172"/>
      <c r="G132" s="172">
        <v>101</v>
      </c>
      <c r="H132" s="172">
        <v>101</v>
      </c>
      <c r="I132" s="172">
        <f t="shared" si="8"/>
        <v>10201</v>
      </c>
      <c r="J132" s="146" t="s">
        <v>1479</v>
      </c>
      <c r="K132" s="146" t="s">
        <v>1479</v>
      </c>
      <c r="L132" s="146" t="s">
        <v>1479</v>
      </c>
      <c r="M132" s="146" t="s">
        <v>1479</v>
      </c>
      <c r="N132" s="338"/>
      <c r="O132" s="338"/>
      <c r="P132" s="302">
        <f t="shared" si="9"/>
        <v>0.91959798994974873</v>
      </c>
      <c r="Q132" s="302">
        <f t="shared" si="10"/>
        <v>0.8693467336683417</v>
      </c>
      <c r="R132" s="302">
        <f t="shared" si="11"/>
        <v>0.53266331658291455</v>
      </c>
    </row>
    <row r="133" spans="1:18" x14ac:dyDescent="0.2">
      <c r="A133" s="172">
        <v>810575</v>
      </c>
      <c r="B133" s="172"/>
      <c r="C133" s="173">
        <v>45713</v>
      </c>
      <c r="D133" s="309" t="s">
        <v>1506</v>
      </c>
      <c r="E133" s="172" t="s">
        <v>731</v>
      </c>
      <c r="F133" s="172"/>
      <c r="G133" s="172">
        <v>76</v>
      </c>
      <c r="H133" s="172">
        <v>101</v>
      </c>
      <c r="I133" s="172">
        <f t="shared" si="8"/>
        <v>7676</v>
      </c>
      <c r="J133" s="146" t="s">
        <v>1479</v>
      </c>
      <c r="K133" s="146" t="s">
        <v>1479</v>
      </c>
      <c r="L133" s="146" t="s">
        <v>1479</v>
      </c>
      <c r="M133" s="146" t="s">
        <v>1479</v>
      </c>
      <c r="N133" s="338"/>
      <c r="O133" s="338"/>
      <c r="P133" s="302">
        <f t="shared" si="9"/>
        <v>0.91959798994974873</v>
      </c>
      <c r="Q133" s="302">
        <f t="shared" si="10"/>
        <v>0.8693467336683417</v>
      </c>
      <c r="R133" s="302">
        <f t="shared" si="11"/>
        <v>0.53266331658291455</v>
      </c>
    </row>
    <row r="134" spans="1:18" x14ac:dyDescent="0.2">
      <c r="A134" s="172">
        <v>810576</v>
      </c>
      <c r="B134" s="172"/>
      <c r="C134" s="173">
        <v>45713</v>
      </c>
      <c r="D134" s="309" t="s">
        <v>1506</v>
      </c>
      <c r="E134" s="172" t="s">
        <v>731</v>
      </c>
      <c r="F134" s="172"/>
      <c r="G134" s="172">
        <v>76</v>
      </c>
      <c r="H134" s="172">
        <v>101</v>
      </c>
      <c r="I134" s="172">
        <f t="shared" si="8"/>
        <v>7676</v>
      </c>
      <c r="J134" s="146" t="s">
        <v>1479</v>
      </c>
      <c r="K134" s="146" t="s">
        <v>1479</v>
      </c>
      <c r="L134" s="146" t="s">
        <v>1479</v>
      </c>
      <c r="M134" s="146" t="s">
        <v>1479</v>
      </c>
      <c r="N134" s="338"/>
      <c r="O134" s="338"/>
      <c r="P134" s="302">
        <f t="shared" si="9"/>
        <v>0.91959798994974873</v>
      </c>
      <c r="Q134" s="302">
        <f t="shared" si="10"/>
        <v>0.8693467336683417</v>
      </c>
      <c r="R134" s="302">
        <f t="shared" si="11"/>
        <v>0.53266331658291455</v>
      </c>
    </row>
    <row r="135" spans="1:18" x14ac:dyDescent="0.2">
      <c r="A135" s="172">
        <v>810577</v>
      </c>
      <c r="B135" s="172"/>
      <c r="C135" s="173">
        <v>45713</v>
      </c>
      <c r="D135" s="309" t="s">
        <v>1506</v>
      </c>
      <c r="E135" s="172" t="s">
        <v>731</v>
      </c>
      <c r="F135" s="172"/>
      <c r="G135" s="172">
        <v>76</v>
      </c>
      <c r="H135" s="172">
        <v>101</v>
      </c>
      <c r="I135" s="172">
        <f t="shared" si="8"/>
        <v>7676</v>
      </c>
      <c r="J135" s="146" t="s">
        <v>1479</v>
      </c>
      <c r="K135" s="146" t="s">
        <v>1479</v>
      </c>
      <c r="L135" s="146" t="s">
        <v>1479</v>
      </c>
      <c r="M135" s="146" t="s">
        <v>1479</v>
      </c>
      <c r="N135" s="338"/>
      <c r="O135" s="338"/>
      <c r="P135" s="302">
        <f t="shared" si="9"/>
        <v>0.91959798994974873</v>
      </c>
      <c r="Q135" s="302">
        <f t="shared" si="10"/>
        <v>0.8693467336683417</v>
      </c>
      <c r="R135" s="302">
        <f t="shared" si="11"/>
        <v>0.53266331658291455</v>
      </c>
    </row>
    <row r="136" spans="1:18" x14ac:dyDescent="0.2">
      <c r="A136" s="172">
        <v>810578</v>
      </c>
      <c r="B136" s="172"/>
      <c r="C136" s="173">
        <v>45713</v>
      </c>
      <c r="D136" s="309" t="s">
        <v>1506</v>
      </c>
      <c r="E136" s="172" t="s">
        <v>731</v>
      </c>
      <c r="F136" s="172"/>
      <c r="G136" s="172">
        <v>76</v>
      </c>
      <c r="H136" s="172">
        <v>101</v>
      </c>
      <c r="I136" s="172">
        <f t="shared" si="8"/>
        <v>7676</v>
      </c>
      <c r="J136" s="146" t="s">
        <v>1479</v>
      </c>
      <c r="K136" s="146" t="s">
        <v>1479</v>
      </c>
      <c r="L136" s="146" t="s">
        <v>1479</v>
      </c>
      <c r="M136" s="146" t="s">
        <v>1479</v>
      </c>
      <c r="N136" s="338"/>
      <c r="O136" s="338"/>
      <c r="P136" s="302">
        <f t="shared" si="9"/>
        <v>0.91959798994974873</v>
      </c>
      <c r="Q136" s="302">
        <f t="shared" si="10"/>
        <v>0.8693467336683417</v>
      </c>
      <c r="R136" s="302">
        <f t="shared" si="11"/>
        <v>0.53266331658291455</v>
      </c>
    </row>
    <row r="137" spans="1:18" x14ac:dyDescent="0.2">
      <c r="A137" s="172">
        <v>810583</v>
      </c>
      <c r="B137" s="172"/>
      <c r="C137" s="173">
        <v>45713</v>
      </c>
      <c r="D137" s="352" t="s">
        <v>1516</v>
      </c>
      <c r="E137" s="172" t="s">
        <v>1517</v>
      </c>
      <c r="F137" s="172">
        <v>1</v>
      </c>
      <c r="G137" s="172">
        <v>11</v>
      </c>
      <c r="H137" s="172">
        <v>11</v>
      </c>
      <c r="I137" s="172">
        <f t="shared" si="8"/>
        <v>121</v>
      </c>
      <c r="J137" s="146" t="s">
        <v>1479</v>
      </c>
      <c r="K137" s="146" t="s">
        <v>1479</v>
      </c>
      <c r="L137" s="146" t="s">
        <v>1479</v>
      </c>
      <c r="M137" s="146" t="s">
        <v>1479</v>
      </c>
      <c r="P137" s="302">
        <f t="shared" si="9"/>
        <v>0.91959798994974873</v>
      </c>
      <c r="Q137" s="302">
        <f t="shared" si="10"/>
        <v>0.8693467336683417</v>
      </c>
      <c r="R137" s="302">
        <f t="shared" si="11"/>
        <v>0.53266331658291455</v>
      </c>
    </row>
    <row r="138" spans="1:18" x14ac:dyDescent="0.2">
      <c r="A138" s="172">
        <v>810584</v>
      </c>
      <c r="B138" s="172"/>
      <c r="C138" s="173">
        <v>45713</v>
      </c>
      <c r="D138" s="352" t="s">
        <v>1516</v>
      </c>
      <c r="E138" s="172" t="s">
        <v>1517</v>
      </c>
      <c r="F138" s="172">
        <v>2</v>
      </c>
      <c r="G138" s="172">
        <v>11</v>
      </c>
      <c r="H138" s="172">
        <v>36</v>
      </c>
      <c r="I138" s="172">
        <v>396</v>
      </c>
      <c r="J138" s="146" t="s">
        <v>1479</v>
      </c>
      <c r="K138" s="146" t="s">
        <v>1479</v>
      </c>
      <c r="L138" s="146" t="s">
        <v>1479</v>
      </c>
      <c r="M138" s="146" t="s">
        <v>1479</v>
      </c>
      <c r="P138" s="302">
        <f t="shared" si="9"/>
        <v>0.91959798994974873</v>
      </c>
      <c r="Q138" s="302">
        <f t="shared" si="10"/>
        <v>0.8693467336683417</v>
      </c>
      <c r="R138" s="302">
        <f t="shared" si="11"/>
        <v>0.53266331658291455</v>
      </c>
    </row>
    <row r="139" spans="1:18" x14ac:dyDescent="0.2">
      <c r="A139" s="172">
        <v>810585</v>
      </c>
      <c r="B139" s="172"/>
      <c r="C139" s="173">
        <v>45713</v>
      </c>
      <c r="D139" s="352" t="s">
        <v>1516</v>
      </c>
      <c r="E139" s="172" t="s">
        <v>1517</v>
      </c>
      <c r="F139" s="172">
        <v>3</v>
      </c>
      <c r="G139" s="172">
        <v>11</v>
      </c>
      <c r="H139" s="172">
        <v>36</v>
      </c>
      <c r="I139" s="172">
        <v>396</v>
      </c>
      <c r="J139" s="146" t="s">
        <v>1479</v>
      </c>
      <c r="K139" s="146" t="s">
        <v>1479</v>
      </c>
      <c r="L139" s="146" t="s">
        <v>1479</v>
      </c>
      <c r="M139" s="146" t="s">
        <v>1479</v>
      </c>
      <c r="P139" s="302">
        <f t="shared" si="9"/>
        <v>0.91959798994974873</v>
      </c>
      <c r="Q139" s="302">
        <f t="shared" si="10"/>
        <v>0.8693467336683417</v>
      </c>
      <c r="R139" s="302">
        <f t="shared" si="11"/>
        <v>0.53266331658291455</v>
      </c>
    </row>
    <row r="140" spans="1:18" x14ac:dyDescent="0.2">
      <c r="A140" s="172">
        <v>810586</v>
      </c>
      <c r="B140" s="172"/>
      <c r="C140" s="173">
        <v>45713</v>
      </c>
      <c r="D140" s="352" t="s">
        <v>1516</v>
      </c>
      <c r="E140" s="172" t="s">
        <v>1517</v>
      </c>
      <c r="F140" s="172">
        <v>4</v>
      </c>
      <c r="G140" s="172">
        <v>13</v>
      </c>
      <c r="H140" s="172">
        <v>36</v>
      </c>
      <c r="I140" s="172">
        <v>468</v>
      </c>
      <c r="J140" s="146" t="s">
        <v>1479</v>
      </c>
      <c r="K140" s="146" t="s">
        <v>1479</v>
      </c>
      <c r="L140" s="146" t="s">
        <v>1479</v>
      </c>
      <c r="M140" s="146" t="s">
        <v>1479</v>
      </c>
      <c r="P140" s="302">
        <f t="shared" si="9"/>
        <v>0.91959798994974873</v>
      </c>
      <c r="Q140" s="302">
        <f t="shared" si="10"/>
        <v>0.8693467336683417</v>
      </c>
      <c r="R140" s="302">
        <f t="shared" si="11"/>
        <v>0.53266331658291455</v>
      </c>
    </row>
    <row r="141" spans="1:18" x14ac:dyDescent="0.2">
      <c r="A141" s="172">
        <v>810588</v>
      </c>
      <c r="B141" s="172"/>
      <c r="C141" s="173">
        <v>45713</v>
      </c>
      <c r="D141" s="352" t="s">
        <v>1518</v>
      </c>
      <c r="E141" s="172" t="s">
        <v>1517</v>
      </c>
      <c r="F141" s="172">
        <v>5</v>
      </c>
      <c r="G141" s="172">
        <v>14</v>
      </c>
      <c r="H141" s="172">
        <v>27</v>
      </c>
      <c r="I141" s="172">
        <v>378</v>
      </c>
      <c r="J141" s="146" t="s">
        <v>1479</v>
      </c>
      <c r="K141" s="146" t="s">
        <v>1479</v>
      </c>
      <c r="L141" s="146" t="s">
        <v>1479</v>
      </c>
      <c r="M141" s="146" t="s">
        <v>1479</v>
      </c>
      <c r="P141" s="302">
        <f t="shared" si="9"/>
        <v>0.91959798994974873</v>
      </c>
      <c r="Q141" s="302">
        <f t="shared" si="10"/>
        <v>0.8693467336683417</v>
      </c>
      <c r="R141" s="302">
        <f t="shared" si="11"/>
        <v>0.53266331658291455</v>
      </c>
    </row>
    <row r="142" spans="1:18" x14ac:dyDescent="0.2">
      <c r="A142" s="172">
        <v>810589</v>
      </c>
      <c r="B142" s="172"/>
      <c r="C142" s="173">
        <v>45713</v>
      </c>
      <c r="D142" s="352" t="s">
        <v>1518</v>
      </c>
      <c r="E142" s="172" t="s">
        <v>1517</v>
      </c>
      <c r="F142" s="172">
        <v>6</v>
      </c>
      <c r="G142" s="172">
        <v>14</v>
      </c>
      <c r="H142" s="172">
        <v>27</v>
      </c>
      <c r="I142" s="172">
        <v>378</v>
      </c>
      <c r="J142" s="146" t="s">
        <v>1479</v>
      </c>
      <c r="K142" s="146" t="s">
        <v>1479</v>
      </c>
      <c r="L142" s="146" t="s">
        <v>1479</v>
      </c>
      <c r="M142" s="146" t="s">
        <v>1479</v>
      </c>
      <c r="P142" s="302">
        <f t="shared" si="9"/>
        <v>0.91959798994974873</v>
      </c>
      <c r="Q142" s="302">
        <f t="shared" si="10"/>
        <v>0.8693467336683417</v>
      </c>
      <c r="R142" s="302">
        <f t="shared" si="11"/>
        <v>0.53266331658291455</v>
      </c>
    </row>
    <row r="143" spans="1:18" x14ac:dyDescent="0.2">
      <c r="A143" s="172">
        <v>810590</v>
      </c>
      <c r="B143" s="172"/>
      <c r="C143" s="173">
        <v>45713</v>
      </c>
      <c r="D143" s="352" t="s">
        <v>1519</v>
      </c>
      <c r="E143" s="172" t="s">
        <v>1517</v>
      </c>
      <c r="F143" s="172">
        <v>7</v>
      </c>
      <c r="G143" s="172">
        <v>11</v>
      </c>
      <c r="H143" s="172">
        <v>27</v>
      </c>
      <c r="I143" s="172">
        <v>297</v>
      </c>
      <c r="J143" s="146" t="s">
        <v>1479</v>
      </c>
      <c r="K143" s="146" t="s">
        <v>1479</v>
      </c>
      <c r="L143" s="146" t="s">
        <v>1479</v>
      </c>
      <c r="M143" s="146" t="s">
        <v>1479</v>
      </c>
      <c r="P143" s="302">
        <f t="shared" si="9"/>
        <v>0.91959798994974873</v>
      </c>
      <c r="Q143" s="302">
        <f t="shared" si="10"/>
        <v>0.8693467336683417</v>
      </c>
      <c r="R143" s="302">
        <f t="shared" si="11"/>
        <v>0.53266331658291455</v>
      </c>
    </row>
    <row r="144" spans="1:18" x14ac:dyDescent="0.2">
      <c r="A144" s="172">
        <v>810591</v>
      </c>
      <c r="B144" s="172"/>
      <c r="C144" s="173">
        <v>45713</v>
      </c>
      <c r="D144" s="352" t="s">
        <v>1519</v>
      </c>
      <c r="E144" s="172" t="s">
        <v>1517</v>
      </c>
      <c r="F144" s="172">
        <v>7</v>
      </c>
      <c r="G144" s="172">
        <v>11</v>
      </c>
      <c r="H144" s="172">
        <v>27</v>
      </c>
      <c r="I144" s="172">
        <v>297</v>
      </c>
      <c r="J144" s="146" t="s">
        <v>1479</v>
      </c>
      <c r="K144" s="146" t="s">
        <v>1479</v>
      </c>
      <c r="L144" s="146" t="s">
        <v>1479</v>
      </c>
      <c r="M144" s="146" t="s">
        <v>1479</v>
      </c>
      <c r="P144" s="302">
        <f t="shared" si="9"/>
        <v>0.91959798994974873</v>
      </c>
      <c r="Q144" s="302">
        <f t="shared" si="10"/>
        <v>0.8693467336683417</v>
      </c>
      <c r="R144" s="302">
        <f t="shared" si="11"/>
        <v>0.53266331658291455</v>
      </c>
    </row>
    <row r="145" spans="1:18" x14ac:dyDescent="0.2">
      <c r="A145" s="172">
        <v>810592</v>
      </c>
      <c r="B145" s="172"/>
      <c r="C145" s="173">
        <v>45713</v>
      </c>
      <c r="D145" s="352" t="s">
        <v>1520</v>
      </c>
      <c r="E145" s="172" t="s">
        <v>1517</v>
      </c>
      <c r="F145" s="172">
        <v>8</v>
      </c>
      <c r="G145" s="172">
        <v>11</v>
      </c>
      <c r="H145" s="172">
        <v>27</v>
      </c>
      <c r="I145" s="172">
        <v>297</v>
      </c>
      <c r="J145" s="146" t="s">
        <v>1479</v>
      </c>
      <c r="K145" s="146" t="s">
        <v>1479</v>
      </c>
      <c r="L145" s="146" t="s">
        <v>1479</v>
      </c>
      <c r="M145" s="146" t="s">
        <v>1479</v>
      </c>
      <c r="P145" s="302">
        <f t="shared" si="9"/>
        <v>0.91959798994974873</v>
      </c>
      <c r="Q145" s="302">
        <f t="shared" si="10"/>
        <v>0.8693467336683417</v>
      </c>
      <c r="R145" s="302">
        <f t="shared" si="11"/>
        <v>0.53266331658291455</v>
      </c>
    </row>
    <row r="146" spans="1:18" x14ac:dyDescent="0.2">
      <c r="A146" s="172">
        <v>810593</v>
      </c>
      <c r="B146" s="172"/>
      <c r="C146" s="173">
        <v>45713</v>
      </c>
      <c r="D146" s="352" t="s">
        <v>1520</v>
      </c>
      <c r="E146" s="172" t="s">
        <v>1517</v>
      </c>
      <c r="F146" s="172">
        <v>9</v>
      </c>
      <c r="G146" s="172">
        <v>11</v>
      </c>
      <c r="H146" s="172">
        <v>27</v>
      </c>
      <c r="I146" s="172">
        <v>297</v>
      </c>
      <c r="J146" s="146" t="s">
        <v>1479</v>
      </c>
      <c r="K146" s="146" t="s">
        <v>1479</v>
      </c>
      <c r="L146" s="146" t="s">
        <v>1479</v>
      </c>
      <c r="M146" s="146" t="s">
        <v>1479</v>
      </c>
      <c r="P146" s="302">
        <f t="shared" si="9"/>
        <v>0.91959798994974873</v>
      </c>
      <c r="Q146" s="302">
        <f t="shared" si="10"/>
        <v>0.8693467336683417</v>
      </c>
      <c r="R146" s="302">
        <f t="shared" si="11"/>
        <v>0.53266331658291455</v>
      </c>
    </row>
    <row r="147" spans="1:18" x14ac:dyDescent="0.2">
      <c r="A147" s="172">
        <v>810594</v>
      </c>
      <c r="B147" s="172"/>
      <c r="C147" s="173">
        <v>45713</v>
      </c>
      <c r="D147" s="172" t="s">
        <v>1521</v>
      </c>
      <c r="E147" s="172" t="s">
        <v>1522</v>
      </c>
      <c r="F147" s="172">
        <v>1</v>
      </c>
      <c r="G147" s="172">
        <v>40</v>
      </c>
      <c r="H147" s="172">
        <v>61</v>
      </c>
      <c r="I147" s="172">
        <v>2440</v>
      </c>
      <c r="J147" s="146" t="s">
        <v>1479</v>
      </c>
      <c r="K147" s="146" t="s">
        <v>1479</v>
      </c>
      <c r="L147" s="146" t="s">
        <v>1479</v>
      </c>
      <c r="M147" s="146" t="s">
        <v>1479</v>
      </c>
      <c r="P147" s="302">
        <f t="shared" si="9"/>
        <v>0.91959798994974873</v>
      </c>
      <c r="Q147" s="302">
        <f t="shared" si="10"/>
        <v>0.8693467336683417</v>
      </c>
      <c r="R147" s="302">
        <f t="shared" si="11"/>
        <v>0.53266331658291455</v>
      </c>
    </row>
    <row r="148" spans="1:18" x14ac:dyDescent="0.2">
      <c r="A148" s="172">
        <v>810595</v>
      </c>
      <c r="B148" s="172"/>
      <c r="C148" s="173">
        <v>45713</v>
      </c>
      <c r="D148" s="172" t="s">
        <v>1521</v>
      </c>
      <c r="E148" s="172" t="s">
        <v>1522</v>
      </c>
      <c r="F148" s="172">
        <v>1</v>
      </c>
      <c r="G148" s="172">
        <v>40</v>
      </c>
      <c r="H148" s="172">
        <v>61</v>
      </c>
      <c r="I148" s="172">
        <v>2440</v>
      </c>
      <c r="J148" s="146" t="s">
        <v>1479</v>
      </c>
      <c r="K148" s="146" t="s">
        <v>1479</v>
      </c>
      <c r="L148" s="146" t="s">
        <v>1479</v>
      </c>
      <c r="M148" s="146" t="s">
        <v>1479</v>
      </c>
      <c r="P148" s="302">
        <f t="shared" si="9"/>
        <v>0.91959798994974873</v>
      </c>
      <c r="Q148" s="302">
        <f t="shared" si="10"/>
        <v>0.8693467336683417</v>
      </c>
      <c r="R148" s="302">
        <f t="shared" si="11"/>
        <v>0.53266331658291455</v>
      </c>
    </row>
    <row r="149" spans="1:18" x14ac:dyDescent="0.2">
      <c r="A149" s="172">
        <v>810596</v>
      </c>
      <c r="B149" s="172"/>
      <c r="C149" s="173">
        <v>45713</v>
      </c>
      <c r="D149" s="172" t="s">
        <v>1521</v>
      </c>
      <c r="E149" s="172" t="s">
        <v>1522</v>
      </c>
      <c r="F149" s="172">
        <v>1</v>
      </c>
      <c r="G149" s="172">
        <v>40</v>
      </c>
      <c r="H149" s="172">
        <v>61</v>
      </c>
      <c r="I149" s="172">
        <v>2440</v>
      </c>
      <c r="J149" s="146" t="s">
        <v>1523</v>
      </c>
      <c r="L149" s="146" t="s">
        <v>1479</v>
      </c>
      <c r="M149" s="146" t="s">
        <v>1479</v>
      </c>
      <c r="P149" s="302">
        <f t="shared" si="9"/>
        <v>0.91959798994974873</v>
      </c>
      <c r="Q149" s="302">
        <f t="shared" si="10"/>
        <v>0.8693467336683417</v>
      </c>
      <c r="R149" s="302">
        <f t="shared" si="11"/>
        <v>0.53266331658291455</v>
      </c>
    </row>
    <row r="150" spans="1:18" x14ac:dyDescent="0.2">
      <c r="A150" s="172">
        <v>810597</v>
      </c>
      <c r="B150" s="172"/>
      <c r="C150" s="173">
        <v>45713</v>
      </c>
      <c r="D150" s="172" t="s">
        <v>1524</v>
      </c>
      <c r="E150" s="172" t="s">
        <v>1522</v>
      </c>
      <c r="F150" s="172">
        <v>2</v>
      </c>
      <c r="G150" s="172">
        <v>40</v>
      </c>
      <c r="H150" s="172">
        <v>61</v>
      </c>
      <c r="I150" s="172">
        <v>2440</v>
      </c>
      <c r="J150" s="146" t="s">
        <v>1479</v>
      </c>
      <c r="K150" s="146" t="s">
        <v>1479</v>
      </c>
      <c r="L150" s="146" t="s">
        <v>1479</v>
      </c>
      <c r="M150" s="146" t="s">
        <v>1479</v>
      </c>
      <c r="P150" s="302">
        <f t="shared" si="9"/>
        <v>0.91959798994974873</v>
      </c>
      <c r="Q150" s="302">
        <f t="shared" si="10"/>
        <v>0.8693467336683417</v>
      </c>
      <c r="R150" s="302">
        <f t="shared" si="11"/>
        <v>0.53266331658291455</v>
      </c>
    </row>
    <row r="151" spans="1:18" x14ac:dyDescent="0.2">
      <c r="A151" s="172">
        <v>810598</v>
      </c>
      <c r="B151" s="172"/>
      <c r="C151" s="173">
        <v>45713</v>
      </c>
      <c r="D151" s="172" t="s">
        <v>1524</v>
      </c>
      <c r="E151" s="172" t="s">
        <v>1522</v>
      </c>
      <c r="F151" s="172">
        <v>2</v>
      </c>
      <c r="G151" s="172">
        <v>40</v>
      </c>
      <c r="H151" s="172">
        <v>61</v>
      </c>
      <c r="I151" s="172">
        <v>2440</v>
      </c>
      <c r="J151" s="146" t="s">
        <v>1479</v>
      </c>
      <c r="K151" s="146" t="s">
        <v>1479</v>
      </c>
      <c r="L151" s="146" t="s">
        <v>1479</v>
      </c>
      <c r="M151" s="146" t="s">
        <v>1479</v>
      </c>
      <c r="P151" s="302">
        <f t="shared" si="9"/>
        <v>0.91959798994974873</v>
      </c>
      <c r="Q151" s="302">
        <f t="shared" si="10"/>
        <v>0.8693467336683417</v>
      </c>
      <c r="R151" s="302">
        <f t="shared" si="11"/>
        <v>0.53266331658291455</v>
      </c>
    </row>
    <row r="152" spans="1:18" x14ac:dyDescent="0.2">
      <c r="A152" s="172">
        <v>810599</v>
      </c>
      <c r="B152" s="172"/>
      <c r="C152" s="173">
        <v>45713</v>
      </c>
      <c r="D152" s="172" t="s">
        <v>1524</v>
      </c>
      <c r="E152" s="172" t="s">
        <v>1522</v>
      </c>
      <c r="F152" s="172">
        <v>2</v>
      </c>
      <c r="G152" s="172">
        <v>40</v>
      </c>
      <c r="H152" s="172">
        <v>61</v>
      </c>
      <c r="I152" s="172">
        <v>2440</v>
      </c>
      <c r="J152" s="146" t="s">
        <v>1479</v>
      </c>
      <c r="K152" s="146" t="s">
        <v>1479</v>
      </c>
      <c r="L152" s="146" t="s">
        <v>1479</v>
      </c>
      <c r="M152" s="146" t="s">
        <v>1479</v>
      </c>
      <c r="P152" s="302">
        <f t="shared" si="9"/>
        <v>0.91959798994974873</v>
      </c>
      <c r="Q152" s="302">
        <f t="shared" si="10"/>
        <v>0.8693467336683417</v>
      </c>
      <c r="R152" s="302">
        <f t="shared" si="11"/>
        <v>0.53266331658291455</v>
      </c>
    </row>
    <row r="153" spans="1:18" x14ac:dyDescent="0.2">
      <c r="A153" s="172">
        <v>810600</v>
      </c>
      <c r="B153" s="172"/>
      <c r="C153" s="173">
        <v>45713</v>
      </c>
      <c r="D153" s="172" t="s">
        <v>1525</v>
      </c>
      <c r="E153" s="172" t="s">
        <v>1522</v>
      </c>
      <c r="F153" s="172">
        <v>3</v>
      </c>
      <c r="G153" s="172">
        <v>40</v>
      </c>
      <c r="H153" s="172">
        <v>61</v>
      </c>
      <c r="I153" s="172">
        <v>2440</v>
      </c>
      <c r="J153" s="146" t="s">
        <v>1479</v>
      </c>
      <c r="K153" s="146" t="s">
        <v>1479</v>
      </c>
      <c r="L153" s="146" t="s">
        <v>1479</v>
      </c>
      <c r="M153" s="146" t="s">
        <v>1479</v>
      </c>
      <c r="P153" s="302">
        <f t="shared" si="9"/>
        <v>0.91959798994974873</v>
      </c>
      <c r="Q153" s="302">
        <f t="shared" si="10"/>
        <v>0.8693467336683417</v>
      </c>
      <c r="R153" s="302">
        <f t="shared" si="11"/>
        <v>0.53266331658291455</v>
      </c>
    </row>
    <row r="154" spans="1:18" x14ac:dyDescent="0.2">
      <c r="A154" s="172">
        <v>810601</v>
      </c>
      <c r="B154" s="172"/>
      <c r="C154" s="173">
        <v>45713</v>
      </c>
      <c r="D154" s="172" t="s">
        <v>1525</v>
      </c>
      <c r="E154" s="172" t="s">
        <v>1522</v>
      </c>
      <c r="F154" s="172">
        <v>3</v>
      </c>
      <c r="G154" s="172">
        <v>40</v>
      </c>
      <c r="H154" s="172">
        <v>61</v>
      </c>
      <c r="I154" s="172">
        <v>2440</v>
      </c>
      <c r="J154" s="146" t="s">
        <v>1479</v>
      </c>
      <c r="K154" s="146" t="s">
        <v>1479</v>
      </c>
      <c r="L154" s="146" t="s">
        <v>1479</v>
      </c>
      <c r="M154" s="146" t="s">
        <v>1479</v>
      </c>
      <c r="P154" s="302">
        <f t="shared" si="9"/>
        <v>0.91959798994974873</v>
      </c>
      <c r="Q154" s="302">
        <f t="shared" si="10"/>
        <v>0.8693467336683417</v>
      </c>
      <c r="R154" s="302">
        <f t="shared" si="11"/>
        <v>0.53266331658291455</v>
      </c>
    </row>
    <row r="155" spans="1:18" x14ac:dyDescent="0.2">
      <c r="A155" s="172">
        <v>810602</v>
      </c>
      <c r="B155" s="172"/>
      <c r="C155" s="173">
        <v>45713</v>
      </c>
      <c r="D155" s="172" t="s">
        <v>1525</v>
      </c>
      <c r="E155" s="172" t="s">
        <v>1522</v>
      </c>
      <c r="F155" s="172">
        <v>3</v>
      </c>
      <c r="G155" s="172">
        <v>40</v>
      </c>
      <c r="H155" s="172">
        <v>61</v>
      </c>
      <c r="I155" s="172">
        <v>2440</v>
      </c>
      <c r="J155" s="146" t="s">
        <v>1479</v>
      </c>
      <c r="K155" s="146" t="s">
        <v>1479</v>
      </c>
      <c r="L155" s="146" t="s">
        <v>1479</v>
      </c>
      <c r="M155" s="146" t="s">
        <v>1479</v>
      </c>
      <c r="P155" s="302">
        <f t="shared" si="9"/>
        <v>0.91959798994974873</v>
      </c>
      <c r="Q155" s="302">
        <f t="shared" si="10"/>
        <v>0.8693467336683417</v>
      </c>
      <c r="R155" s="302">
        <f t="shared" si="11"/>
        <v>0.53266331658291455</v>
      </c>
    </row>
    <row r="156" spans="1:18" x14ac:dyDescent="0.2">
      <c r="A156" s="172">
        <v>810604</v>
      </c>
      <c r="B156" s="172"/>
      <c r="C156" s="173">
        <v>45713</v>
      </c>
      <c r="D156" s="172" t="s">
        <v>1526</v>
      </c>
      <c r="E156" s="172" t="s">
        <v>1522</v>
      </c>
      <c r="F156" s="172">
        <v>4</v>
      </c>
      <c r="G156" s="172">
        <v>40</v>
      </c>
      <c r="H156" s="172">
        <v>61</v>
      </c>
      <c r="I156" s="172">
        <v>2440</v>
      </c>
      <c r="J156" s="146" t="s">
        <v>1479</v>
      </c>
      <c r="K156" s="146" t="s">
        <v>1479</v>
      </c>
      <c r="L156" s="146" t="s">
        <v>1479</v>
      </c>
      <c r="M156" s="146" t="s">
        <v>1479</v>
      </c>
      <c r="P156" s="302">
        <f t="shared" si="9"/>
        <v>0.91959798994974873</v>
      </c>
      <c r="Q156" s="302">
        <f t="shared" si="10"/>
        <v>0.8693467336683417</v>
      </c>
      <c r="R156" s="302">
        <f t="shared" si="11"/>
        <v>0.53266331658291455</v>
      </c>
    </row>
    <row r="157" spans="1:18" x14ac:dyDescent="0.2">
      <c r="A157" s="172">
        <v>810605</v>
      </c>
      <c r="B157" s="172"/>
      <c r="C157" s="173">
        <v>45713</v>
      </c>
      <c r="D157" s="172" t="s">
        <v>1526</v>
      </c>
      <c r="E157" s="172" t="s">
        <v>1522</v>
      </c>
      <c r="F157" s="172">
        <v>4</v>
      </c>
      <c r="G157" s="172">
        <v>40</v>
      </c>
      <c r="H157" s="172">
        <v>61</v>
      </c>
      <c r="I157" s="172">
        <v>2440</v>
      </c>
      <c r="J157" s="146" t="s">
        <v>1479</v>
      </c>
      <c r="K157" s="146" t="s">
        <v>1479</v>
      </c>
      <c r="L157" s="146" t="s">
        <v>1479</v>
      </c>
      <c r="M157" s="146" t="s">
        <v>1479</v>
      </c>
      <c r="P157" s="302">
        <f t="shared" si="9"/>
        <v>0.91959798994974873</v>
      </c>
      <c r="Q157" s="302">
        <f t="shared" si="10"/>
        <v>0.8693467336683417</v>
      </c>
      <c r="R157" s="302">
        <f t="shared" si="11"/>
        <v>0.53266331658291455</v>
      </c>
    </row>
    <row r="158" spans="1:18" x14ac:dyDescent="0.2">
      <c r="A158" s="172">
        <v>810606</v>
      </c>
      <c r="B158" s="172"/>
      <c r="C158" s="173">
        <v>45713</v>
      </c>
      <c r="D158" s="172" t="s">
        <v>1526</v>
      </c>
      <c r="E158" s="172" t="s">
        <v>1522</v>
      </c>
      <c r="F158" s="172">
        <v>4</v>
      </c>
      <c r="G158" s="172">
        <v>40</v>
      </c>
      <c r="H158" s="172">
        <v>61</v>
      </c>
      <c r="I158" s="172">
        <v>2440</v>
      </c>
      <c r="J158" s="146" t="s">
        <v>1479</v>
      </c>
      <c r="K158" s="146" t="s">
        <v>1479</v>
      </c>
      <c r="L158" s="146" t="s">
        <v>1479</v>
      </c>
      <c r="M158" s="146" t="s">
        <v>1479</v>
      </c>
      <c r="P158" s="302">
        <f t="shared" si="9"/>
        <v>0.91959798994974873</v>
      </c>
      <c r="Q158" s="302">
        <f t="shared" si="10"/>
        <v>0.8693467336683417</v>
      </c>
      <c r="R158" s="302">
        <f t="shared" si="11"/>
        <v>0.53266331658291455</v>
      </c>
    </row>
    <row r="159" spans="1:18" x14ac:dyDescent="0.2">
      <c r="A159" s="172">
        <v>810607</v>
      </c>
      <c r="B159" s="172"/>
      <c r="C159" s="173">
        <v>45713</v>
      </c>
      <c r="D159" s="172" t="s">
        <v>1527</v>
      </c>
      <c r="E159" s="172" t="s">
        <v>999</v>
      </c>
      <c r="F159" s="172">
        <v>421</v>
      </c>
      <c r="G159" s="172">
        <v>61</v>
      </c>
      <c r="H159" s="172">
        <v>101</v>
      </c>
      <c r="I159" s="172">
        <f t="shared" ref="I159:I168" si="12">G159*H159</f>
        <v>6161</v>
      </c>
      <c r="J159" s="146" t="s">
        <v>1479</v>
      </c>
      <c r="K159" s="146" t="s">
        <v>1479</v>
      </c>
      <c r="L159" s="146" t="s">
        <v>1479</v>
      </c>
      <c r="M159" s="146" t="s">
        <v>1479</v>
      </c>
      <c r="P159" s="302">
        <f t="shared" si="9"/>
        <v>0.91959798994974873</v>
      </c>
      <c r="Q159" s="302">
        <f t="shared" si="10"/>
        <v>0.8693467336683417</v>
      </c>
      <c r="R159" s="302">
        <f t="shared" si="11"/>
        <v>0.53266331658291455</v>
      </c>
    </row>
    <row r="160" spans="1:18" x14ac:dyDescent="0.2">
      <c r="A160" s="172">
        <v>810608</v>
      </c>
      <c r="B160" s="172"/>
      <c r="C160" s="173">
        <v>45713</v>
      </c>
      <c r="D160" s="172" t="s">
        <v>1528</v>
      </c>
      <c r="E160" s="172" t="s">
        <v>999</v>
      </c>
      <c r="F160" s="172">
        <v>423</v>
      </c>
      <c r="G160" s="172">
        <v>56</v>
      </c>
      <c r="H160" s="172">
        <v>101</v>
      </c>
      <c r="I160" s="172">
        <f t="shared" si="12"/>
        <v>5656</v>
      </c>
      <c r="J160" s="146" t="s">
        <v>1479</v>
      </c>
      <c r="K160" s="146" t="s">
        <v>1479</v>
      </c>
      <c r="L160" s="146" t="s">
        <v>1479</v>
      </c>
      <c r="M160" s="146" t="s">
        <v>1479</v>
      </c>
      <c r="P160" s="302">
        <f t="shared" si="9"/>
        <v>0.91959798994974873</v>
      </c>
      <c r="Q160" s="302">
        <f t="shared" si="10"/>
        <v>0.8693467336683417</v>
      </c>
      <c r="R160" s="302">
        <f t="shared" si="11"/>
        <v>0.53266331658291455</v>
      </c>
    </row>
    <row r="161" spans="1:18" x14ac:dyDescent="0.2">
      <c r="A161" s="172">
        <v>810609</v>
      </c>
      <c r="B161" s="172"/>
      <c r="C161" s="173">
        <v>45713</v>
      </c>
      <c r="D161" s="172" t="s">
        <v>1527</v>
      </c>
      <c r="E161" s="172" t="s">
        <v>999</v>
      </c>
      <c r="F161" s="172">
        <v>430</v>
      </c>
      <c r="G161" s="172">
        <v>96</v>
      </c>
      <c r="H161" s="172">
        <v>71</v>
      </c>
      <c r="I161" s="172">
        <f t="shared" si="12"/>
        <v>6816</v>
      </c>
      <c r="J161" s="146" t="s">
        <v>1479</v>
      </c>
      <c r="K161" s="146" t="s">
        <v>1479</v>
      </c>
      <c r="L161" s="146" t="s">
        <v>1479</v>
      </c>
      <c r="M161" s="146" t="s">
        <v>1479</v>
      </c>
      <c r="P161" s="302">
        <f t="shared" si="9"/>
        <v>0.91959798994974873</v>
      </c>
      <c r="Q161" s="302">
        <f t="shared" si="10"/>
        <v>0.8693467336683417</v>
      </c>
      <c r="R161" s="302">
        <f t="shared" si="11"/>
        <v>0.53266331658291455</v>
      </c>
    </row>
    <row r="162" spans="1:18" x14ac:dyDescent="0.2">
      <c r="A162" s="172">
        <v>810610</v>
      </c>
      <c r="B162" s="172"/>
      <c r="C162" s="173">
        <v>45713</v>
      </c>
      <c r="D162" s="172" t="s">
        <v>1529</v>
      </c>
      <c r="E162" s="172" t="s">
        <v>999</v>
      </c>
      <c r="F162" s="172">
        <v>427</v>
      </c>
      <c r="G162" s="172">
        <v>56</v>
      </c>
      <c r="H162" s="172">
        <v>121</v>
      </c>
      <c r="I162" s="172">
        <f t="shared" si="12"/>
        <v>6776</v>
      </c>
      <c r="J162" s="146" t="s">
        <v>1479</v>
      </c>
      <c r="K162" s="146" t="s">
        <v>1479</v>
      </c>
      <c r="L162" s="146" t="s">
        <v>1479</v>
      </c>
      <c r="M162" s="146" t="s">
        <v>1479</v>
      </c>
      <c r="P162" s="302">
        <f t="shared" ref="P162:P193" si="13">($S$2/$T$3)</f>
        <v>0.91959798994974873</v>
      </c>
      <c r="Q162" s="302">
        <f t="shared" si="10"/>
        <v>0.8693467336683417</v>
      </c>
      <c r="R162" s="302">
        <f t="shared" si="11"/>
        <v>0.53266331658291455</v>
      </c>
    </row>
    <row r="163" spans="1:18" x14ac:dyDescent="0.2">
      <c r="A163" s="172">
        <v>810611</v>
      </c>
      <c r="B163" s="172"/>
      <c r="C163" s="173">
        <v>45713</v>
      </c>
      <c r="D163" s="172" t="s">
        <v>1530</v>
      </c>
      <c r="E163" s="172" t="s">
        <v>999</v>
      </c>
      <c r="F163" s="172">
        <v>425</v>
      </c>
      <c r="G163" s="172">
        <v>51</v>
      </c>
      <c r="H163" s="172">
        <v>101</v>
      </c>
      <c r="I163" s="172">
        <f t="shared" si="12"/>
        <v>5151</v>
      </c>
      <c r="J163" s="146" t="s">
        <v>1479</v>
      </c>
      <c r="K163" s="146" t="s">
        <v>1479</v>
      </c>
      <c r="L163" s="146" t="s">
        <v>1479</v>
      </c>
      <c r="M163" s="146" t="s">
        <v>1479</v>
      </c>
      <c r="P163" s="302">
        <f t="shared" si="13"/>
        <v>0.91959798994974873</v>
      </c>
      <c r="Q163" s="302">
        <f t="shared" si="10"/>
        <v>0.8693467336683417</v>
      </c>
      <c r="R163" s="302">
        <f t="shared" si="11"/>
        <v>0.53266331658291455</v>
      </c>
    </row>
    <row r="164" spans="1:18" x14ac:dyDescent="0.2">
      <c r="A164" s="172">
        <v>810612</v>
      </c>
      <c r="B164" s="172"/>
      <c r="C164" s="173">
        <v>45713</v>
      </c>
      <c r="D164" s="172" t="s">
        <v>1528</v>
      </c>
      <c r="E164" s="172" t="s">
        <v>999</v>
      </c>
      <c r="F164" s="172">
        <v>432</v>
      </c>
      <c r="G164" s="172">
        <v>71</v>
      </c>
      <c r="H164" s="172">
        <v>51</v>
      </c>
      <c r="I164" s="172">
        <f t="shared" si="12"/>
        <v>3621</v>
      </c>
      <c r="J164" s="146" t="s">
        <v>1479</v>
      </c>
      <c r="K164" s="146" t="s">
        <v>1479</v>
      </c>
      <c r="L164" s="146" t="s">
        <v>1479</v>
      </c>
      <c r="M164" s="146" t="s">
        <v>1479</v>
      </c>
      <c r="P164" s="302">
        <f t="shared" si="13"/>
        <v>0.91959798994974873</v>
      </c>
      <c r="Q164" s="302">
        <f t="shared" si="10"/>
        <v>0.8693467336683417</v>
      </c>
      <c r="R164" s="302">
        <f t="shared" si="11"/>
        <v>0.53266331658291455</v>
      </c>
    </row>
    <row r="165" spans="1:18" x14ac:dyDescent="0.2">
      <c r="A165" s="172">
        <v>810613</v>
      </c>
      <c r="B165" s="172"/>
      <c r="C165" s="173">
        <v>45713</v>
      </c>
      <c r="D165" s="172" t="s">
        <v>1530</v>
      </c>
      <c r="E165" s="172" t="s">
        <v>999</v>
      </c>
      <c r="F165" s="172">
        <v>433</v>
      </c>
      <c r="G165" s="172">
        <v>56</v>
      </c>
      <c r="H165" s="172">
        <v>51</v>
      </c>
      <c r="I165" s="172">
        <f t="shared" si="12"/>
        <v>2856</v>
      </c>
      <c r="J165" s="146" t="s">
        <v>1479</v>
      </c>
      <c r="K165" s="146" t="s">
        <v>1479</v>
      </c>
      <c r="L165" s="146" t="s">
        <v>1479</v>
      </c>
      <c r="M165" s="146" t="s">
        <v>1479</v>
      </c>
      <c r="P165" s="302">
        <f t="shared" si="13"/>
        <v>0.91959798994974873</v>
      </c>
      <c r="Q165" s="302">
        <f t="shared" si="10"/>
        <v>0.8693467336683417</v>
      </c>
      <c r="R165" s="302">
        <f t="shared" si="11"/>
        <v>0.53266331658291455</v>
      </c>
    </row>
    <row r="166" spans="1:18" x14ac:dyDescent="0.2">
      <c r="A166" s="172">
        <v>810614</v>
      </c>
      <c r="B166" s="172"/>
      <c r="C166" s="173">
        <v>45713</v>
      </c>
      <c r="D166" s="172" t="s">
        <v>1529</v>
      </c>
      <c r="E166" s="172" t="s">
        <v>999</v>
      </c>
      <c r="F166" s="172">
        <v>435</v>
      </c>
      <c r="G166" s="172">
        <v>71</v>
      </c>
      <c r="H166" s="172">
        <v>51</v>
      </c>
      <c r="I166" s="172">
        <f t="shared" si="12"/>
        <v>3621</v>
      </c>
      <c r="J166" s="146" t="s">
        <v>1479</v>
      </c>
      <c r="K166" s="146" t="s">
        <v>1479</v>
      </c>
      <c r="L166" s="146" t="s">
        <v>1479</v>
      </c>
      <c r="M166" s="146" t="s">
        <v>1479</v>
      </c>
      <c r="P166" s="302">
        <f t="shared" si="13"/>
        <v>0.91959798994974873</v>
      </c>
      <c r="Q166" s="302">
        <f t="shared" si="10"/>
        <v>0.8693467336683417</v>
      </c>
      <c r="R166" s="302">
        <f t="shared" si="11"/>
        <v>0.53266331658291455</v>
      </c>
    </row>
    <row r="167" spans="1:18" x14ac:dyDescent="0.2">
      <c r="A167" s="172">
        <v>810615</v>
      </c>
      <c r="B167" s="172"/>
      <c r="C167" s="173">
        <v>45713</v>
      </c>
      <c r="D167" s="172" t="s">
        <v>1527</v>
      </c>
      <c r="E167" s="172" t="s">
        <v>999</v>
      </c>
      <c r="F167" s="172">
        <v>421</v>
      </c>
      <c r="G167" s="172">
        <v>61</v>
      </c>
      <c r="H167" s="172">
        <v>101</v>
      </c>
      <c r="I167" s="172">
        <f t="shared" si="12"/>
        <v>6161</v>
      </c>
      <c r="J167" s="146" t="s">
        <v>1479</v>
      </c>
      <c r="K167" s="146" t="s">
        <v>1479</v>
      </c>
      <c r="L167" s="146" t="s">
        <v>1479</v>
      </c>
      <c r="M167" s="146" t="s">
        <v>1479</v>
      </c>
      <c r="P167" s="302">
        <f t="shared" si="13"/>
        <v>0.91959798994974873</v>
      </c>
      <c r="Q167" s="302">
        <f t="shared" si="10"/>
        <v>0.8693467336683417</v>
      </c>
      <c r="R167" s="302">
        <f t="shared" si="11"/>
        <v>0.53266331658291455</v>
      </c>
    </row>
    <row r="168" spans="1:18" x14ac:dyDescent="0.2">
      <c r="A168" s="172">
        <v>810616</v>
      </c>
      <c r="B168" s="172"/>
      <c r="C168" s="173">
        <v>45713</v>
      </c>
      <c r="D168" s="172" t="s">
        <v>1528</v>
      </c>
      <c r="E168" s="172" t="s">
        <v>999</v>
      </c>
      <c r="F168" s="172">
        <v>423</v>
      </c>
      <c r="G168" s="172">
        <v>56</v>
      </c>
      <c r="H168" s="172">
        <v>101</v>
      </c>
      <c r="I168" s="172">
        <f t="shared" si="12"/>
        <v>5656</v>
      </c>
      <c r="J168" s="146" t="s">
        <v>1479</v>
      </c>
      <c r="K168" s="146" t="s">
        <v>1479</v>
      </c>
      <c r="L168" s="146" t="s">
        <v>1479</v>
      </c>
      <c r="M168" s="146" t="s">
        <v>1479</v>
      </c>
      <c r="P168" s="302">
        <f t="shared" si="13"/>
        <v>0.91959798994974873</v>
      </c>
      <c r="Q168" s="302">
        <f t="shared" si="10"/>
        <v>0.8693467336683417</v>
      </c>
      <c r="R168" s="302">
        <f t="shared" si="11"/>
        <v>0.53266331658291455</v>
      </c>
    </row>
    <row r="169" spans="1:18" x14ac:dyDescent="0.2">
      <c r="A169" s="172">
        <v>810617</v>
      </c>
      <c r="B169" s="172"/>
      <c r="C169" s="173">
        <v>45713</v>
      </c>
      <c r="D169" s="309" t="s">
        <v>1531</v>
      </c>
      <c r="E169" s="172" t="s">
        <v>1532</v>
      </c>
      <c r="F169" s="172">
        <v>468</v>
      </c>
      <c r="G169" s="172">
        <v>95.000000000000014</v>
      </c>
      <c r="H169" s="172">
        <v>89.999999999999986</v>
      </c>
      <c r="I169" s="172">
        <v>8550</v>
      </c>
      <c r="J169" s="146" t="s">
        <v>1479</v>
      </c>
      <c r="K169" s="146" t="s">
        <v>1479</v>
      </c>
      <c r="L169" s="146" t="s">
        <v>1479</v>
      </c>
      <c r="M169" s="146" t="s">
        <v>1479</v>
      </c>
      <c r="N169" s="338"/>
      <c r="O169" s="338"/>
      <c r="P169" s="302">
        <f t="shared" si="13"/>
        <v>0.91959798994974873</v>
      </c>
      <c r="Q169" s="302">
        <f t="shared" si="10"/>
        <v>0.8693467336683417</v>
      </c>
      <c r="R169" s="302">
        <f t="shared" si="11"/>
        <v>0.53266331658291455</v>
      </c>
    </row>
    <row r="170" spans="1:18" x14ac:dyDescent="0.2">
      <c r="A170" s="172">
        <v>810618</v>
      </c>
      <c r="B170" s="172"/>
      <c r="C170" s="173">
        <v>45713</v>
      </c>
      <c r="D170" s="309" t="s">
        <v>1531</v>
      </c>
      <c r="E170" s="172" t="s">
        <v>1532</v>
      </c>
      <c r="F170" s="172">
        <v>468</v>
      </c>
      <c r="G170" s="172">
        <v>95.000000000000014</v>
      </c>
      <c r="H170" s="172">
        <v>89.999999999999986</v>
      </c>
      <c r="I170" s="172">
        <v>8550</v>
      </c>
      <c r="J170" s="146" t="s">
        <v>1479</v>
      </c>
      <c r="K170" s="146" t="s">
        <v>1479</v>
      </c>
      <c r="L170" s="146" t="s">
        <v>1479</v>
      </c>
      <c r="M170" s="146" t="s">
        <v>1479</v>
      </c>
      <c r="N170" s="338"/>
      <c r="O170" s="338"/>
      <c r="P170" s="302">
        <f t="shared" si="13"/>
        <v>0.91959798994974873</v>
      </c>
      <c r="Q170" s="302">
        <f t="shared" si="10"/>
        <v>0.8693467336683417</v>
      </c>
      <c r="R170" s="302">
        <f t="shared" si="11"/>
        <v>0.53266331658291455</v>
      </c>
    </row>
    <row r="171" spans="1:18" x14ac:dyDescent="0.2">
      <c r="A171" s="172">
        <v>810623</v>
      </c>
      <c r="B171" s="172"/>
      <c r="C171" s="173">
        <v>45713</v>
      </c>
      <c r="D171" s="309" t="s">
        <v>1531</v>
      </c>
      <c r="E171" s="172" t="s">
        <v>1532</v>
      </c>
      <c r="F171" s="172">
        <v>468</v>
      </c>
      <c r="G171" s="172">
        <v>95.000000000000014</v>
      </c>
      <c r="H171" s="172">
        <v>89.999999999999986</v>
      </c>
      <c r="I171" s="172">
        <v>8550</v>
      </c>
      <c r="J171" s="146" t="s">
        <v>1479</v>
      </c>
      <c r="K171" s="146" t="s">
        <v>1479</v>
      </c>
      <c r="L171" s="146" t="s">
        <v>1479</v>
      </c>
      <c r="M171" s="146" t="s">
        <v>1479</v>
      </c>
      <c r="N171" s="338"/>
      <c r="O171" s="338"/>
      <c r="P171" s="302">
        <f t="shared" si="13"/>
        <v>0.91959798994974873</v>
      </c>
      <c r="Q171" s="302">
        <f t="shared" si="10"/>
        <v>0.8693467336683417</v>
      </c>
      <c r="R171" s="302">
        <f t="shared" si="11"/>
        <v>0.53266331658291455</v>
      </c>
    </row>
    <row r="172" spans="1:18" x14ac:dyDescent="0.2">
      <c r="A172" s="172">
        <v>810624</v>
      </c>
      <c r="B172" s="172"/>
      <c r="C172" s="173">
        <v>45713</v>
      </c>
      <c r="D172" s="309" t="s">
        <v>1531</v>
      </c>
      <c r="E172" s="172" t="s">
        <v>1532</v>
      </c>
      <c r="F172" s="172">
        <v>468</v>
      </c>
      <c r="G172" s="172">
        <v>95.000000000000014</v>
      </c>
      <c r="H172" s="172">
        <v>89.999999999999986</v>
      </c>
      <c r="I172" s="172">
        <v>8550</v>
      </c>
      <c r="J172" s="146" t="s">
        <v>1479</v>
      </c>
      <c r="K172" s="146" t="s">
        <v>1479</v>
      </c>
      <c r="L172" s="146" t="s">
        <v>1479</v>
      </c>
      <c r="M172" s="146" t="s">
        <v>1479</v>
      </c>
      <c r="N172" s="338"/>
      <c r="O172" s="338"/>
      <c r="P172" s="302">
        <f t="shared" si="13"/>
        <v>0.91959798994974873</v>
      </c>
      <c r="Q172" s="302">
        <f t="shared" si="10"/>
        <v>0.8693467336683417</v>
      </c>
      <c r="R172" s="302">
        <f t="shared" si="11"/>
        <v>0.53266331658291455</v>
      </c>
    </row>
    <row r="173" spans="1:18" x14ac:dyDescent="0.2">
      <c r="A173" s="172">
        <v>810625</v>
      </c>
      <c r="B173" s="172"/>
      <c r="C173" s="173">
        <v>45713</v>
      </c>
      <c r="D173" s="309" t="s">
        <v>1533</v>
      </c>
      <c r="E173" s="172" t="s">
        <v>1532</v>
      </c>
      <c r="F173" s="172">
        <v>465</v>
      </c>
      <c r="G173" s="172">
        <v>100</v>
      </c>
      <c r="H173" s="172">
        <v>135</v>
      </c>
      <c r="I173" s="172">
        <v>13500</v>
      </c>
      <c r="J173" s="146" t="s">
        <v>1479</v>
      </c>
      <c r="K173" s="146" t="s">
        <v>1479</v>
      </c>
      <c r="L173" s="146" t="s">
        <v>1479</v>
      </c>
      <c r="M173" s="146" t="s">
        <v>1479</v>
      </c>
      <c r="N173" s="338"/>
      <c r="O173" s="338"/>
      <c r="P173" s="302">
        <f t="shared" si="13"/>
        <v>0.91959798994974873</v>
      </c>
      <c r="Q173" s="302">
        <f t="shared" si="10"/>
        <v>0.8693467336683417</v>
      </c>
      <c r="R173" s="302">
        <f t="shared" si="11"/>
        <v>0.53266331658291455</v>
      </c>
    </row>
    <row r="174" spans="1:18" x14ac:dyDescent="0.2">
      <c r="A174" s="172">
        <v>810626</v>
      </c>
      <c r="B174" s="172"/>
      <c r="C174" s="173">
        <v>45713</v>
      </c>
      <c r="D174" s="309" t="s">
        <v>1533</v>
      </c>
      <c r="E174" s="172" t="s">
        <v>1532</v>
      </c>
      <c r="F174" s="172">
        <v>465</v>
      </c>
      <c r="G174" s="172">
        <v>119.99999999999993</v>
      </c>
      <c r="H174" s="172">
        <v>104.99999999999999</v>
      </c>
      <c r="I174" s="172">
        <v>12599.999999999991</v>
      </c>
      <c r="J174" s="146" t="s">
        <v>1479</v>
      </c>
      <c r="K174" s="146" t="s">
        <v>1479</v>
      </c>
      <c r="L174" s="146" t="s">
        <v>1479</v>
      </c>
      <c r="M174" s="146" t="s">
        <v>1479</v>
      </c>
      <c r="N174" s="338"/>
      <c r="O174" s="338"/>
      <c r="P174" s="302">
        <f t="shared" si="13"/>
        <v>0.91959798994974873</v>
      </c>
      <c r="Q174" s="302">
        <f t="shared" si="10"/>
        <v>0.8693467336683417</v>
      </c>
      <c r="R174" s="302">
        <f t="shared" si="11"/>
        <v>0.53266331658291455</v>
      </c>
    </row>
    <row r="175" spans="1:18" x14ac:dyDescent="0.2">
      <c r="A175" s="172">
        <v>810627</v>
      </c>
      <c r="B175" s="172"/>
      <c r="C175" s="173">
        <v>45713</v>
      </c>
      <c r="D175" s="309" t="s">
        <v>1534</v>
      </c>
      <c r="E175" s="172" t="s">
        <v>1532</v>
      </c>
      <c r="F175" s="172">
        <v>464</v>
      </c>
      <c r="G175" s="172">
        <v>99.999999999999645</v>
      </c>
      <c r="H175" s="172">
        <v>95</v>
      </c>
      <c r="I175" s="172">
        <v>9499.9999999999654</v>
      </c>
      <c r="J175" s="146" t="s">
        <v>1479</v>
      </c>
      <c r="K175" s="146" t="s">
        <v>1479</v>
      </c>
      <c r="L175" s="146" t="s">
        <v>1479</v>
      </c>
      <c r="M175" s="146" t="s">
        <v>1479</v>
      </c>
      <c r="N175" s="338"/>
      <c r="O175" s="338"/>
      <c r="P175" s="302">
        <f t="shared" si="13"/>
        <v>0.91959798994974873</v>
      </c>
      <c r="Q175" s="302">
        <f t="shared" si="10"/>
        <v>0.8693467336683417</v>
      </c>
      <c r="R175" s="302">
        <f t="shared" si="11"/>
        <v>0.53266331658291455</v>
      </c>
    </row>
    <row r="176" spans="1:18" x14ac:dyDescent="0.2">
      <c r="A176" s="172">
        <v>810628</v>
      </c>
      <c r="B176" s="172"/>
      <c r="C176" s="173">
        <v>45713</v>
      </c>
      <c r="D176" s="309" t="s">
        <v>1534</v>
      </c>
      <c r="E176" s="172" t="s">
        <v>1532</v>
      </c>
      <c r="F176" s="172">
        <v>464</v>
      </c>
      <c r="G176" s="172">
        <v>89.999999999999858</v>
      </c>
      <c r="H176" s="172">
        <v>95</v>
      </c>
      <c r="I176" s="172">
        <v>8549.9999999999873</v>
      </c>
      <c r="J176" s="146" t="s">
        <v>1523</v>
      </c>
      <c r="N176" s="338"/>
      <c r="O176" s="338"/>
      <c r="P176" s="302">
        <f t="shared" si="13"/>
        <v>0.91959798994974873</v>
      </c>
      <c r="Q176" s="302">
        <f t="shared" si="10"/>
        <v>0.8693467336683417</v>
      </c>
      <c r="R176" s="302">
        <f t="shared" si="11"/>
        <v>0.53266331658291455</v>
      </c>
    </row>
    <row r="177" spans="1:18" x14ac:dyDescent="0.2">
      <c r="A177" s="172">
        <v>810629</v>
      </c>
      <c r="B177" s="172"/>
      <c r="C177" s="173">
        <v>45713</v>
      </c>
      <c r="D177" s="309" t="s">
        <v>1534</v>
      </c>
      <c r="E177" s="172" t="s">
        <v>1532</v>
      </c>
      <c r="F177" s="172">
        <v>464</v>
      </c>
      <c r="G177" s="172">
        <v>89.999999999999858</v>
      </c>
      <c r="H177" s="172">
        <v>95.000000000000014</v>
      </c>
      <c r="I177" s="172">
        <v>8549.9999999999873</v>
      </c>
      <c r="J177" s="146" t="s">
        <v>1523</v>
      </c>
      <c r="N177" s="338"/>
      <c r="O177" s="338"/>
      <c r="P177" s="302">
        <f t="shared" si="13"/>
        <v>0.91959798994974873</v>
      </c>
      <c r="Q177" s="302">
        <f t="shared" si="10"/>
        <v>0.8693467336683417</v>
      </c>
      <c r="R177" s="302">
        <f t="shared" si="11"/>
        <v>0.53266331658291455</v>
      </c>
    </row>
    <row r="178" spans="1:18" x14ac:dyDescent="0.2">
      <c r="A178" s="172">
        <v>810630</v>
      </c>
      <c r="B178" s="172"/>
      <c r="C178" s="173">
        <v>45713</v>
      </c>
      <c r="D178" s="309" t="s">
        <v>1534</v>
      </c>
      <c r="E178" s="172" t="s">
        <v>1532</v>
      </c>
      <c r="F178" s="172">
        <v>464</v>
      </c>
      <c r="G178" s="172">
        <v>99.999999999999645</v>
      </c>
      <c r="H178" s="172">
        <v>95.000000000000014</v>
      </c>
      <c r="I178" s="172">
        <v>9499.9999999999673</v>
      </c>
      <c r="J178" s="146" t="s">
        <v>1523</v>
      </c>
      <c r="N178" s="338"/>
      <c r="O178" s="338"/>
      <c r="P178" s="302">
        <f t="shared" si="13"/>
        <v>0.91959798994974873</v>
      </c>
      <c r="Q178" s="302">
        <f t="shared" si="10"/>
        <v>0.8693467336683417</v>
      </c>
      <c r="R178" s="302">
        <f t="shared" si="11"/>
        <v>0.53266331658291455</v>
      </c>
    </row>
    <row r="179" spans="1:18" x14ac:dyDescent="0.2">
      <c r="A179" s="172">
        <v>810631</v>
      </c>
      <c r="B179" s="172"/>
      <c r="C179" s="173">
        <v>45713</v>
      </c>
      <c r="D179" s="309" t="s">
        <v>1535</v>
      </c>
      <c r="E179" s="172" t="s">
        <v>1532</v>
      </c>
      <c r="F179" s="172">
        <v>462</v>
      </c>
      <c r="G179" s="172">
        <v>104.99999999999972</v>
      </c>
      <c r="H179" s="172">
        <v>140</v>
      </c>
      <c r="I179" s="172">
        <v>14699.99999999996</v>
      </c>
      <c r="J179" s="146" t="s">
        <v>1523</v>
      </c>
      <c r="N179" s="338"/>
      <c r="O179" s="338"/>
      <c r="P179" s="302">
        <f t="shared" si="13"/>
        <v>0.91959798994974873</v>
      </c>
      <c r="Q179" s="302">
        <f t="shared" si="10"/>
        <v>0.8693467336683417</v>
      </c>
      <c r="R179" s="302">
        <f t="shared" si="11"/>
        <v>0.53266331658291455</v>
      </c>
    </row>
    <row r="180" spans="1:18" x14ac:dyDescent="0.2">
      <c r="A180" s="172">
        <v>810632</v>
      </c>
      <c r="B180" s="172"/>
      <c r="C180" s="173">
        <v>45713</v>
      </c>
      <c r="D180" s="309" t="s">
        <v>1535</v>
      </c>
      <c r="E180" s="172" t="s">
        <v>1532</v>
      </c>
      <c r="F180" s="172">
        <v>462</v>
      </c>
      <c r="G180" s="172">
        <v>104.99999999999972</v>
      </c>
      <c r="H180" s="172">
        <v>140</v>
      </c>
      <c r="I180" s="172">
        <v>14699.99999999996</v>
      </c>
      <c r="J180" s="146" t="s">
        <v>1523</v>
      </c>
      <c r="N180" s="338"/>
      <c r="O180" s="338"/>
      <c r="P180" s="302">
        <f t="shared" si="13"/>
        <v>0.91959798994974873</v>
      </c>
      <c r="Q180" s="302">
        <f t="shared" si="10"/>
        <v>0.8693467336683417</v>
      </c>
      <c r="R180" s="302">
        <f t="shared" si="11"/>
        <v>0.53266331658291455</v>
      </c>
    </row>
    <row r="181" spans="1:18" x14ac:dyDescent="0.2">
      <c r="A181" s="172">
        <v>810633</v>
      </c>
      <c r="B181" s="172"/>
      <c r="C181" s="173">
        <v>45713</v>
      </c>
      <c r="D181" s="309" t="s">
        <v>1535</v>
      </c>
      <c r="E181" s="172" t="s">
        <v>1532</v>
      </c>
      <c r="F181" s="172">
        <v>462</v>
      </c>
      <c r="G181" s="172">
        <v>104.99999999999972</v>
      </c>
      <c r="H181" s="172">
        <v>140</v>
      </c>
      <c r="I181" s="172">
        <v>14699.99999999996</v>
      </c>
      <c r="J181" s="146" t="s">
        <v>1523</v>
      </c>
      <c r="N181" s="338"/>
      <c r="O181" s="338"/>
      <c r="P181" s="302">
        <f t="shared" si="13"/>
        <v>0.91959798994974873</v>
      </c>
      <c r="Q181" s="302">
        <f t="shared" si="10"/>
        <v>0.8693467336683417</v>
      </c>
      <c r="R181" s="302">
        <f t="shared" si="11"/>
        <v>0.53266331658291455</v>
      </c>
    </row>
    <row r="182" spans="1:18" x14ac:dyDescent="0.2">
      <c r="A182" s="172">
        <v>810634</v>
      </c>
      <c r="B182" s="172"/>
      <c r="C182" s="173">
        <v>45713</v>
      </c>
      <c r="D182" s="309" t="s">
        <v>1535</v>
      </c>
      <c r="E182" s="172" t="s">
        <v>1532</v>
      </c>
      <c r="F182" s="172">
        <v>462</v>
      </c>
      <c r="G182" s="172">
        <v>104.99999999999972</v>
      </c>
      <c r="H182" s="172">
        <v>140</v>
      </c>
      <c r="I182" s="172">
        <v>14699.99999999996</v>
      </c>
      <c r="J182" s="146" t="s">
        <v>1523</v>
      </c>
      <c r="N182" s="338"/>
      <c r="O182" s="338"/>
      <c r="P182" s="302">
        <f t="shared" si="13"/>
        <v>0.91959798994974873</v>
      </c>
      <c r="Q182" s="302">
        <f t="shared" si="10"/>
        <v>0.8693467336683417</v>
      </c>
      <c r="R182" s="302">
        <f t="shared" si="11"/>
        <v>0.53266331658291455</v>
      </c>
    </row>
    <row r="183" spans="1:18" x14ac:dyDescent="0.2">
      <c r="A183" s="172">
        <v>810635</v>
      </c>
      <c r="B183" s="172"/>
      <c r="C183" s="173">
        <v>45713</v>
      </c>
      <c r="D183" s="309" t="s">
        <v>1535</v>
      </c>
      <c r="E183" s="172" t="s">
        <v>1532</v>
      </c>
      <c r="F183" s="172">
        <v>462</v>
      </c>
      <c r="G183" s="172">
        <v>104.99999999999972</v>
      </c>
      <c r="H183" s="172">
        <v>140</v>
      </c>
      <c r="I183" s="172">
        <v>14699.99999999996</v>
      </c>
      <c r="J183" s="146" t="s">
        <v>1523</v>
      </c>
      <c r="N183" s="338"/>
      <c r="O183" s="338"/>
      <c r="P183" s="302">
        <f t="shared" si="13"/>
        <v>0.91959798994974873</v>
      </c>
      <c r="Q183" s="302">
        <f t="shared" si="10"/>
        <v>0.8693467336683417</v>
      </c>
      <c r="R183" s="302">
        <f t="shared" si="11"/>
        <v>0.53266331658291455</v>
      </c>
    </row>
    <row r="184" spans="1:18" x14ac:dyDescent="0.2">
      <c r="A184" s="172">
        <v>753799</v>
      </c>
      <c r="B184" s="172"/>
      <c r="C184" s="173">
        <v>45801</v>
      </c>
      <c r="D184" s="310" t="s">
        <v>122</v>
      </c>
      <c r="E184" s="172" t="s">
        <v>1536</v>
      </c>
      <c r="F184" s="172" t="s">
        <v>403</v>
      </c>
      <c r="G184" s="172">
        <v>63</v>
      </c>
      <c r="H184" s="172">
        <v>1</v>
      </c>
      <c r="I184" s="172">
        <v>63</v>
      </c>
      <c r="J184" s="146" t="s">
        <v>1479</v>
      </c>
      <c r="K184" s="146" t="s">
        <v>1479</v>
      </c>
      <c r="L184" s="146" t="s">
        <v>1479</v>
      </c>
      <c r="N184" s="339"/>
      <c r="O184" s="339"/>
      <c r="P184" s="302">
        <f t="shared" si="13"/>
        <v>0.91959798994974873</v>
      </c>
      <c r="Q184" s="302">
        <f t="shared" si="10"/>
        <v>0.8693467336683417</v>
      </c>
      <c r="R184" s="302">
        <f t="shared" si="11"/>
        <v>0.53266331658291455</v>
      </c>
    </row>
    <row r="185" spans="1:18" x14ac:dyDescent="0.2">
      <c r="A185" s="172">
        <v>753800</v>
      </c>
      <c r="B185" s="172"/>
      <c r="C185" s="173">
        <v>45801</v>
      </c>
      <c r="D185" s="310" t="s">
        <v>122</v>
      </c>
      <c r="E185" s="172" t="s">
        <v>1536</v>
      </c>
      <c r="F185" s="172" t="s">
        <v>403</v>
      </c>
      <c r="G185" s="172">
        <v>63</v>
      </c>
      <c r="H185" s="172">
        <v>1</v>
      </c>
      <c r="I185" s="172">
        <v>63</v>
      </c>
      <c r="J185" s="146" t="s">
        <v>1479</v>
      </c>
      <c r="K185" s="146" t="s">
        <v>1479</v>
      </c>
      <c r="L185" s="146" t="s">
        <v>1479</v>
      </c>
      <c r="N185" s="339"/>
      <c r="O185" s="339"/>
      <c r="P185" s="302">
        <f t="shared" si="13"/>
        <v>0.91959798994974873</v>
      </c>
      <c r="Q185" s="302">
        <f t="shared" si="10"/>
        <v>0.8693467336683417</v>
      </c>
      <c r="R185" s="302">
        <f t="shared" si="11"/>
        <v>0.53266331658291455</v>
      </c>
    </row>
    <row r="186" spans="1:18" x14ac:dyDescent="0.2">
      <c r="A186" s="172">
        <v>753801</v>
      </c>
      <c r="B186" s="172"/>
      <c r="C186" s="173">
        <v>45801</v>
      </c>
      <c r="D186" s="310" t="s">
        <v>122</v>
      </c>
      <c r="E186" s="172" t="s">
        <v>1536</v>
      </c>
      <c r="F186" s="172" t="s">
        <v>403</v>
      </c>
      <c r="G186" s="172">
        <v>63</v>
      </c>
      <c r="H186" s="172">
        <v>1</v>
      </c>
      <c r="I186" s="172">
        <v>63</v>
      </c>
      <c r="J186" s="146" t="s">
        <v>1479</v>
      </c>
      <c r="K186" s="146" t="s">
        <v>1479</v>
      </c>
      <c r="L186" s="146" t="s">
        <v>1479</v>
      </c>
      <c r="N186" s="339"/>
      <c r="O186" s="339"/>
      <c r="P186" s="302">
        <f t="shared" si="13"/>
        <v>0.91959798994974873</v>
      </c>
      <c r="Q186" s="302">
        <f t="shared" si="10"/>
        <v>0.8693467336683417</v>
      </c>
      <c r="R186" s="302">
        <f t="shared" si="11"/>
        <v>0.53266331658291455</v>
      </c>
    </row>
    <row r="187" spans="1:18" x14ac:dyDescent="0.2">
      <c r="A187" s="172">
        <v>753802</v>
      </c>
      <c r="B187" s="172"/>
      <c r="C187" s="173">
        <v>45801</v>
      </c>
      <c r="D187" s="310" t="s">
        <v>122</v>
      </c>
      <c r="E187" s="172" t="s">
        <v>1536</v>
      </c>
      <c r="F187" s="172" t="s">
        <v>403</v>
      </c>
      <c r="G187" s="172">
        <v>63</v>
      </c>
      <c r="H187" s="172">
        <v>1</v>
      </c>
      <c r="I187" s="172">
        <v>63</v>
      </c>
      <c r="J187" s="146" t="s">
        <v>1479</v>
      </c>
      <c r="K187" s="146" t="s">
        <v>1479</v>
      </c>
      <c r="L187" s="146" t="s">
        <v>1479</v>
      </c>
      <c r="N187" s="339"/>
      <c r="O187" s="339"/>
      <c r="P187" s="302">
        <f t="shared" si="13"/>
        <v>0.91959798994974873</v>
      </c>
      <c r="Q187" s="302">
        <f t="shared" si="10"/>
        <v>0.8693467336683417</v>
      </c>
      <c r="R187" s="302">
        <f t="shared" si="11"/>
        <v>0.53266331658291455</v>
      </c>
    </row>
    <row r="188" spans="1:18" x14ac:dyDescent="0.2">
      <c r="A188" s="172">
        <v>753803</v>
      </c>
      <c r="B188" s="172"/>
      <c r="C188" s="173">
        <v>45801</v>
      </c>
      <c r="D188" s="310" t="s">
        <v>122</v>
      </c>
      <c r="E188" s="172" t="s">
        <v>1536</v>
      </c>
      <c r="F188" s="172" t="s">
        <v>403</v>
      </c>
      <c r="G188" s="172">
        <v>63</v>
      </c>
      <c r="H188" s="172">
        <v>1</v>
      </c>
      <c r="I188" s="172">
        <v>63</v>
      </c>
      <c r="J188" s="146" t="s">
        <v>1479</v>
      </c>
      <c r="K188" s="146" t="s">
        <v>1479</v>
      </c>
      <c r="L188" s="146" t="s">
        <v>1479</v>
      </c>
      <c r="N188" s="339"/>
      <c r="O188" s="339"/>
      <c r="P188" s="302">
        <f t="shared" si="13"/>
        <v>0.91959798994974873</v>
      </c>
      <c r="Q188" s="302">
        <f t="shared" si="10"/>
        <v>0.8693467336683417</v>
      </c>
      <c r="R188" s="302">
        <f t="shared" si="11"/>
        <v>0.53266331658291455</v>
      </c>
    </row>
    <row r="189" spans="1:18" x14ac:dyDescent="0.2">
      <c r="A189" s="172">
        <v>753804</v>
      </c>
      <c r="B189" s="172"/>
      <c r="C189" s="173">
        <v>45801</v>
      </c>
      <c r="D189" s="310" t="s">
        <v>122</v>
      </c>
      <c r="E189" s="172" t="s">
        <v>1536</v>
      </c>
      <c r="F189" s="172" t="s">
        <v>403</v>
      </c>
      <c r="G189" s="172">
        <v>63</v>
      </c>
      <c r="H189" s="172">
        <v>1</v>
      </c>
      <c r="I189" s="172">
        <v>63</v>
      </c>
      <c r="J189" s="146" t="s">
        <v>1479</v>
      </c>
      <c r="K189" s="146" t="s">
        <v>1479</v>
      </c>
      <c r="L189" s="146" t="s">
        <v>1479</v>
      </c>
      <c r="N189" s="339"/>
      <c r="O189" s="339"/>
      <c r="P189" s="302">
        <f t="shared" si="13"/>
        <v>0.91959798994974873</v>
      </c>
      <c r="Q189" s="302">
        <f t="shared" si="10"/>
        <v>0.8693467336683417</v>
      </c>
      <c r="R189" s="302">
        <f t="shared" si="11"/>
        <v>0.53266331658291455</v>
      </c>
    </row>
    <row r="190" spans="1:18" x14ac:dyDescent="0.2">
      <c r="A190" s="172">
        <v>753805</v>
      </c>
      <c r="B190" s="172"/>
      <c r="C190" s="173">
        <v>45801</v>
      </c>
      <c r="D190" s="310" t="s">
        <v>122</v>
      </c>
      <c r="E190" s="172" t="s">
        <v>1536</v>
      </c>
      <c r="F190" s="172" t="s">
        <v>403</v>
      </c>
      <c r="G190" s="172">
        <v>63</v>
      </c>
      <c r="H190" s="172">
        <v>1</v>
      </c>
      <c r="I190" s="172">
        <v>62</v>
      </c>
      <c r="J190" s="146" t="s">
        <v>1479</v>
      </c>
      <c r="K190" s="146" t="s">
        <v>1479</v>
      </c>
      <c r="L190" s="146" t="s">
        <v>1479</v>
      </c>
      <c r="N190" s="339"/>
      <c r="O190" s="339"/>
      <c r="P190" s="302">
        <f t="shared" si="13"/>
        <v>0.91959798994974873</v>
      </c>
      <c r="Q190" s="302">
        <f t="shared" si="10"/>
        <v>0.8693467336683417</v>
      </c>
      <c r="R190" s="302">
        <f t="shared" si="11"/>
        <v>0.53266331658291455</v>
      </c>
    </row>
    <row r="191" spans="1:18" x14ac:dyDescent="0.2">
      <c r="A191" s="172">
        <v>753806</v>
      </c>
      <c r="B191" s="172"/>
      <c r="C191" s="173">
        <v>45801</v>
      </c>
      <c r="D191" s="310" t="s">
        <v>122</v>
      </c>
      <c r="E191" s="172" t="s">
        <v>1536</v>
      </c>
      <c r="F191" s="172" t="s">
        <v>403</v>
      </c>
      <c r="G191" s="172">
        <v>63</v>
      </c>
      <c r="H191" s="172">
        <v>1</v>
      </c>
      <c r="I191" s="172">
        <v>62</v>
      </c>
      <c r="J191" s="146" t="s">
        <v>1479</v>
      </c>
      <c r="K191" s="146" t="s">
        <v>1479</v>
      </c>
      <c r="L191" s="146" t="s">
        <v>1479</v>
      </c>
      <c r="N191" s="339"/>
      <c r="O191" s="339"/>
      <c r="P191" s="302">
        <f t="shared" si="13"/>
        <v>0.91959798994974873</v>
      </c>
      <c r="Q191" s="302">
        <f t="shared" si="10"/>
        <v>0.8693467336683417</v>
      </c>
      <c r="R191" s="302">
        <f t="shared" si="11"/>
        <v>0.53266331658291455</v>
      </c>
    </row>
    <row r="192" spans="1:18" x14ac:dyDescent="0.2">
      <c r="A192" s="172">
        <v>753807</v>
      </c>
      <c r="B192" s="172"/>
      <c r="C192" s="173">
        <v>45801</v>
      </c>
      <c r="D192" s="310" t="s">
        <v>122</v>
      </c>
      <c r="E192" s="172" t="s">
        <v>1536</v>
      </c>
      <c r="F192" s="172" t="s">
        <v>403</v>
      </c>
      <c r="G192" s="172">
        <v>63</v>
      </c>
      <c r="H192" s="172">
        <v>1</v>
      </c>
      <c r="I192" s="172">
        <v>62</v>
      </c>
      <c r="J192" s="146" t="s">
        <v>1479</v>
      </c>
      <c r="K192" s="146" t="s">
        <v>1479</v>
      </c>
      <c r="L192" s="146" t="s">
        <v>1479</v>
      </c>
      <c r="N192" s="339"/>
      <c r="O192" s="339"/>
      <c r="P192" s="302">
        <f t="shared" si="13"/>
        <v>0.91959798994974873</v>
      </c>
      <c r="Q192" s="302">
        <f t="shared" si="10"/>
        <v>0.8693467336683417</v>
      </c>
      <c r="R192" s="302">
        <f t="shared" si="11"/>
        <v>0.53266331658291455</v>
      </c>
    </row>
    <row r="193" spans="1:18" x14ac:dyDescent="0.2">
      <c r="A193" s="172">
        <v>753808</v>
      </c>
      <c r="B193" s="172"/>
      <c r="C193" s="173">
        <v>45801</v>
      </c>
      <c r="D193" s="310" t="s">
        <v>122</v>
      </c>
      <c r="E193" s="172" t="s">
        <v>1536</v>
      </c>
      <c r="F193" s="172" t="s">
        <v>403</v>
      </c>
      <c r="G193" s="172">
        <v>63</v>
      </c>
      <c r="H193" s="172">
        <v>1</v>
      </c>
      <c r="I193" s="172">
        <v>62</v>
      </c>
      <c r="J193" s="146" t="s">
        <v>1479</v>
      </c>
      <c r="K193" s="146" t="s">
        <v>1479</v>
      </c>
      <c r="L193" s="146" t="s">
        <v>1479</v>
      </c>
      <c r="N193" s="339"/>
      <c r="O193" s="339"/>
      <c r="P193" s="302">
        <f t="shared" si="13"/>
        <v>0.91959798994974873</v>
      </c>
      <c r="Q193" s="302">
        <f t="shared" si="10"/>
        <v>0.8693467336683417</v>
      </c>
      <c r="R193" s="302">
        <f t="shared" si="11"/>
        <v>0.53266331658291455</v>
      </c>
    </row>
    <row r="194" spans="1:18" x14ac:dyDescent="0.2">
      <c r="A194" s="172">
        <v>753809</v>
      </c>
      <c r="B194" s="172"/>
      <c r="C194" s="173">
        <v>45801</v>
      </c>
      <c r="D194" s="310" t="s">
        <v>122</v>
      </c>
      <c r="E194" s="172" t="s">
        <v>1536</v>
      </c>
      <c r="F194" s="172" t="s">
        <v>403</v>
      </c>
      <c r="G194" s="172">
        <v>63</v>
      </c>
      <c r="H194" s="172">
        <v>1</v>
      </c>
      <c r="I194" s="172">
        <v>62</v>
      </c>
      <c r="J194" s="146" t="s">
        <v>1479</v>
      </c>
      <c r="K194" s="146" t="s">
        <v>1479</v>
      </c>
      <c r="L194" s="146" t="s">
        <v>1479</v>
      </c>
      <c r="N194" s="339"/>
      <c r="O194" s="339"/>
      <c r="P194" s="302">
        <f t="shared" ref="P194:P200" si="14">($S$2/$T$3)</f>
        <v>0.91959798994974873</v>
      </c>
      <c r="Q194" s="302">
        <f t="shared" si="10"/>
        <v>0.8693467336683417</v>
      </c>
      <c r="R194" s="302">
        <f t="shared" si="11"/>
        <v>0.53266331658291455</v>
      </c>
    </row>
    <row r="195" spans="1:18" x14ac:dyDescent="0.2">
      <c r="A195" s="146">
        <v>692828</v>
      </c>
      <c r="C195" s="173">
        <v>45861</v>
      </c>
      <c r="D195" s="1" t="s">
        <v>1537</v>
      </c>
      <c r="E195" s="1" t="s">
        <v>1538</v>
      </c>
      <c r="F195" s="1">
        <v>9991</v>
      </c>
      <c r="G195" s="146">
        <v>132</v>
      </c>
      <c r="H195" s="146">
        <v>109</v>
      </c>
      <c r="I195" s="146">
        <f>G195*H195</f>
        <v>14388</v>
      </c>
      <c r="P195" s="302">
        <f t="shared" si="14"/>
        <v>0.91959798994974873</v>
      </c>
      <c r="Q195" s="302">
        <f t="shared" ref="Q195:Q200" si="15">($T$2/$T$3)</f>
        <v>0.8693467336683417</v>
      </c>
      <c r="R195" s="302">
        <f t="shared" ref="R195:R200" si="16">($U$2/$T$3)</f>
        <v>0.53266331658291455</v>
      </c>
    </row>
    <row r="196" spans="1:18" x14ac:dyDescent="0.2">
      <c r="A196" s="146">
        <v>692829</v>
      </c>
      <c r="C196" s="173">
        <v>45861</v>
      </c>
      <c r="D196" s="1" t="s">
        <v>1539</v>
      </c>
      <c r="E196" s="1" t="s">
        <v>1538</v>
      </c>
      <c r="F196" s="1">
        <v>9992</v>
      </c>
      <c r="G196" s="146">
        <v>132</v>
      </c>
      <c r="H196" s="146">
        <v>109</v>
      </c>
      <c r="I196" s="146">
        <f t="shared" ref="I196:I200" si="17">G196*H196</f>
        <v>14388</v>
      </c>
      <c r="P196" s="302">
        <f t="shared" si="14"/>
        <v>0.91959798994974873</v>
      </c>
      <c r="Q196" s="302">
        <f t="shared" si="15"/>
        <v>0.8693467336683417</v>
      </c>
      <c r="R196" s="302">
        <f t="shared" si="16"/>
        <v>0.53266331658291455</v>
      </c>
    </row>
    <row r="197" spans="1:18" x14ac:dyDescent="0.2">
      <c r="A197" s="146">
        <v>692830</v>
      </c>
      <c r="C197" s="173">
        <v>45861</v>
      </c>
      <c r="D197" s="1" t="s">
        <v>1540</v>
      </c>
      <c r="E197" s="1" t="s">
        <v>1541</v>
      </c>
      <c r="F197" s="1">
        <v>9993</v>
      </c>
      <c r="G197" s="146">
        <v>132</v>
      </c>
      <c r="H197" s="146">
        <v>109</v>
      </c>
      <c r="I197" s="146">
        <f t="shared" si="17"/>
        <v>14388</v>
      </c>
      <c r="P197" s="302">
        <f t="shared" si="14"/>
        <v>0.91959798994974873</v>
      </c>
      <c r="Q197" s="302">
        <f t="shared" si="15"/>
        <v>0.8693467336683417</v>
      </c>
      <c r="R197" s="302">
        <f t="shared" si="16"/>
        <v>0.53266331658291455</v>
      </c>
    </row>
    <row r="198" spans="1:18" x14ac:dyDescent="0.2">
      <c r="A198" s="146">
        <v>692831</v>
      </c>
      <c r="C198" s="173">
        <v>45861</v>
      </c>
      <c r="D198" s="1" t="s">
        <v>1542</v>
      </c>
      <c r="E198" s="1" t="s">
        <v>1541</v>
      </c>
      <c r="F198" s="1">
        <v>9994</v>
      </c>
      <c r="G198" s="146">
        <v>132</v>
      </c>
      <c r="H198" s="146">
        <v>109</v>
      </c>
      <c r="I198" s="146">
        <f t="shared" si="17"/>
        <v>14388</v>
      </c>
      <c r="P198" s="302">
        <f t="shared" si="14"/>
        <v>0.91959798994974873</v>
      </c>
      <c r="Q198" s="302">
        <f t="shared" si="15"/>
        <v>0.8693467336683417</v>
      </c>
      <c r="R198" s="302">
        <f t="shared" si="16"/>
        <v>0.53266331658291455</v>
      </c>
    </row>
    <row r="199" spans="1:18" x14ac:dyDescent="0.2">
      <c r="A199" s="146">
        <v>692832</v>
      </c>
      <c r="C199" s="173">
        <v>45861</v>
      </c>
      <c r="D199" s="1" t="s">
        <v>1543</v>
      </c>
      <c r="E199" s="1" t="s">
        <v>1544</v>
      </c>
      <c r="F199" s="1">
        <v>9995</v>
      </c>
      <c r="G199" s="146">
        <v>58</v>
      </c>
      <c r="H199" s="146">
        <v>58</v>
      </c>
      <c r="I199" s="146">
        <f t="shared" si="17"/>
        <v>3364</v>
      </c>
      <c r="P199" s="302">
        <f t="shared" si="14"/>
        <v>0.91959798994974873</v>
      </c>
      <c r="Q199" s="302">
        <f t="shared" si="15"/>
        <v>0.8693467336683417</v>
      </c>
      <c r="R199" s="302">
        <f t="shared" si="16"/>
        <v>0.53266331658291455</v>
      </c>
    </row>
    <row r="200" spans="1:18" x14ac:dyDescent="0.2">
      <c r="A200" s="146">
        <v>692833</v>
      </c>
      <c r="C200" s="173">
        <v>45861</v>
      </c>
      <c r="D200" s="1" t="s">
        <v>1545</v>
      </c>
      <c r="E200" s="1" t="s">
        <v>1544</v>
      </c>
      <c r="F200" s="1">
        <v>9996</v>
      </c>
      <c r="G200" s="146">
        <v>58</v>
      </c>
      <c r="H200" s="146">
        <v>58</v>
      </c>
      <c r="I200" s="146">
        <f t="shared" si="17"/>
        <v>3364</v>
      </c>
      <c r="P200" s="302">
        <f t="shared" si="14"/>
        <v>0.91959798994974873</v>
      </c>
      <c r="Q200" s="302">
        <f t="shared" si="15"/>
        <v>0.8693467336683417</v>
      </c>
      <c r="R200" s="302">
        <f t="shared" si="16"/>
        <v>0.53266331658291455</v>
      </c>
    </row>
    <row r="1048545" spans="5:5" x14ac:dyDescent="0.2">
      <c r="E1048545" s="261"/>
    </row>
  </sheetData>
  <autoFilter ref="A1:R200" xr:uid="{29105122-8D1F-43E1-A971-7189722DEC5A}">
    <sortState xmlns:xlrd2="http://schemas.microsoft.com/office/spreadsheetml/2017/richdata2" ref="A2:R199">
      <sortCondition ref="D1:D19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ACCD-9C3C-43DF-A5DC-743F3B9E6068}">
  <dimension ref="A1:Z52"/>
  <sheetViews>
    <sheetView workbookViewId="0">
      <selection activeCell="H32" sqref="H32"/>
    </sheetView>
  </sheetViews>
  <sheetFormatPr baseColWidth="10" defaultColWidth="9" defaultRowHeight="16" x14ac:dyDescent="0.2"/>
  <cols>
    <col min="1" max="1" width="18.1640625" style="319" customWidth="1"/>
    <col min="2" max="11" width="9" style="146"/>
    <col min="12" max="15" width="11" style="146" customWidth="1"/>
    <col min="16" max="16" width="9" style="313"/>
    <col min="17" max="17" width="18.1640625" style="319" customWidth="1"/>
    <col min="18" max="22" width="9" style="146"/>
    <col min="23" max="24" width="13.6640625" style="146" customWidth="1"/>
    <col min="25" max="25" width="10.83203125" style="146" customWidth="1"/>
    <col min="26" max="26" width="9.5" style="146" customWidth="1"/>
    <col min="27" max="16384" width="9" style="146"/>
  </cols>
  <sheetData>
    <row r="1" spans="1:26" s="326" customFormat="1" x14ac:dyDescent="0.2">
      <c r="A1" s="326" t="s">
        <v>1546</v>
      </c>
      <c r="L1" s="326" t="s">
        <v>1547</v>
      </c>
      <c r="M1" s="326" t="s">
        <v>1548</v>
      </c>
      <c r="N1" s="326" t="s">
        <v>1549</v>
      </c>
      <c r="O1" s="326" t="s">
        <v>1550</v>
      </c>
      <c r="P1" s="327"/>
      <c r="W1" s="329" t="s">
        <v>1547</v>
      </c>
      <c r="X1" s="329" t="s">
        <v>1548</v>
      </c>
      <c r="Y1" s="326" t="s">
        <v>1549</v>
      </c>
      <c r="Z1" s="326" t="s">
        <v>1550</v>
      </c>
    </row>
    <row r="2" spans="1:26" s="318" customFormat="1" x14ac:dyDescent="0.2">
      <c r="A2" s="320" t="s">
        <v>1551</v>
      </c>
      <c r="Q2" s="320" t="s">
        <v>1551</v>
      </c>
      <c r="W2" s="330"/>
      <c r="X2" s="330"/>
    </row>
    <row r="3" spans="1:26" x14ac:dyDescent="0.2">
      <c r="W3" s="155"/>
      <c r="X3" s="155"/>
    </row>
    <row r="4" spans="1:26" x14ac:dyDescent="0.2">
      <c r="W4" s="155"/>
      <c r="X4" s="155"/>
    </row>
    <row r="5" spans="1:26" x14ac:dyDescent="0.2">
      <c r="W5" s="155"/>
      <c r="X5" s="155"/>
    </row>
    <row r="6" spans="1:26" x14ac:dyDescent="0.2">
      <c r="W6" s="155"/>
      <c r="X6" s="155"/>
    </row>
    <row r="7" spans="1:26" s="313" customFormat="1" x14ac:dyDescent="0.2">
      <c r="A7" s="321"/>
      <c r="Q7" s="321"/>
      <c r="W7" s="331"/>
      <c r="X7" s="331"/>
    </row>
    <row r="8" spans="1:26" s="314" customFormat="1" x14ac:dyDescent="0.2">
      <c r="A8" s="322" t="s">
        <v>110</v>
      </c>
      <c r="Q8" s="322" t="s">
        <v>110</v>
      </c>
      <c r="W8" s="332"/>
      <c r="X8" s="332"/>
    </row>
    <row r="9" spans="1:26" x14ac:dyDescent="0.2">
      <c r="A9" s="322" t="s">
        <v>1552</v>
      </c>
      <c r="B9" s="146">
        <v>1</v>
      </c>
      <c r="C9" s="146">
        <v>6</v>
      </c>
      <c r="D9" s="146">
        <v>18</v>
      </c>
      <c r="E9" s="146">
        <v>30</v>
      </c>
      <c r="F9" s="146">
        <v>44</v>
      </c>
      <c r="G9" s="146">
        <v>4</v>
      </c>
      <c r="H9" s="146">
        <v>5</v>
      </c>
      <c r="I9" s="146">
        <v>20</v>
      </c>
      <c r="J9" s="146">
        <v>32</v>
      </c>
      <c r="K9" s="146">
        <v>45</v>
      </c>
      <c r="N9" s="146" t="s">
        <v>313</v>
      </c>
      <c r="O9" s="146" t="s">
        <v>313</v>
      </c>
      <c r="Q9" s="328" t="s">
        <v>1552</v>
      </c>
      <c r="R9" s="146">
        <v>1</v>
      </c>
      <c r="S9" s="146">
        <v>6</v>
      </c>
      <c r="T9" s="146">
        <v>17</v>
      </c>
      <c r="U9" s="146">
        <v>29</v>
      </c>
      <c r="V9" s="146">
        <v>32</v>
      </c>
      <c r="W9" s="155"/>
      <c r="X9" s="155"/>
    </row>
    <row r="10" spans="1:26" x14ac:dyDescent="0.2">
      <c r="A10" s="322" t="s">
        <v>1553</v>
      </c>
      <c r="B10" s="146">
        <v>12</v>
      </c>
      <c r="C10" s="146">
        <v>28</v>
      </c>
      <c r="D10" s="146">
        <v>41</v>
      </c>
      <c r="E10" s="146">
        <v>53</v>
      </c>
      <c r="F10" s="146">
        <v>54</v>
      </c>
      <c r="Q10" s="319" t="s">
        <v>1553</v>
      </c>
      <c r="W10" s="155"/>
      <c r="X10" s="155"/>
    </row>
    <row r="11" spans="1:26" x14ac:dyDescent="0.2">
      <c r="A11" s="319" t="s">
        <v>1554</v>
      </c>
      <c r="Q11" s="319" t="s">
        <v>1554</v>
      </c>
      <c r="W11" s="155"/>
      <c r="X11" s="155"/>
    </row>
    <row r="12" spans="1:26" x14ac:dyDescent="0.2">
      <c r="A12" s="322" t="s">
        <v>1040</v>
      </c>
      <c r="B12" s="146">
        <v>230</v>
      </c>
      <c r="C12" s="146">
        <v>233</v>
      </c>
      <c r="D12" s="146">
        <v>25</v>
      </c>
      <c r="E12" s="146">
        <v>26</v>
      </c>
      <c r="F12" s="146">
        <v>23</v>
      </c>
      <c r="G12" s="146">
        <v>35</v>
      </c>
      <c r="H12" s="146">
        <v>357</v>
      </c>
      <c r="I12" s="146">
        <v>359</v>
      </c>
      <c r="N12" s="146" t="s">
        <v>313</v>
      </c>
      <c r="O12" s="146" t="s">
        <v>313</v>
      </c>
      <c r="Q12" s="328" t="s">
        <v>1040</v>
      </c>
      <c r="R12" s="146">
        <v>230</v>
      </c>
      <c r="S12" s="146">
        <v>238</v>
      </c>
      <c r="T12" s="146">
        <v>357</v>
      </c>
      <c r="U12" s="146">
        <v>359</v>
      </c>
      <c r="W12" s="155"/>
      <c r="X12" s="155"/>
    </row>
    <row r="13" spans="1:26" x14ac:dyDescent="0.2">
      <c r="A13" s="319" t="s">
        <v>1037</v>
      </c>
      <c r="B13" s="146">
        <v>210</v>
      </c>
      <c r="C13" s="146">
        <v>212</v>
      </c>
      <c r="D13" s="146">
        <v>215</v>
      </c>
      <c r="Q13" s="319" t="s">
        <v>1037</v>
      </c>
      <c r="R13" s="146">
        <v>212</v>
      </c>
      <c r="W13" s="155"/>
      <c r="X13" s="155"/>
    </row>
    <row r="14" spans="1:26" x14ac:dyDescent="0.2">
      <c r="A14" s="322" t="s">
        <v>1032</v>
      </c>
      <c r="B14" s="146">
        <v>156</v>
      </c>
      <c r="C14" s="146">
        <v>166</v>
      </c>
      <c r="D14" s="146">
        <v>244</v>
      </c>
      <c r="E14" s="146">
        <v>242</v>
      </c>
      <c r="F14" s="146">
        <v>355</v>
      </c>
      <c r="G14" s="146">
        <v>356</v>
      </c>
      <c r="N14" s="146" t="s">
        <v>313</v>
      </c>
      <c r="O14" s="146" t="s">
        <v>313</v>
      </c>
      <c r="Q14" s="328" t="s">
        <v>1032</v>
      </c>
      <c r="R14" s="146">
        <v>157</v>
      </c>
      <c r="S14" s="146">
        <v>242</v>
      </c>
      <c r="T14" s="146">
        <v>355</v>
      </c>
      <c r="U14" s="146">
        <v>356</v>
      </c>
      <c r="W14" s="155"/>
      <c r="X14" s="155"/>
    </row>
    <row r="15" spans="1:26" x14ac:dyDescent="0.2">
      <c r="A15" s="319" t="s">
        <v>1555</v>
      </c>
      <c r="Q15" s="319" t="s">
        <v>1555</v>
      </c>
      <c r="W15" s="155"/>
      <c r="X15" s="155"/>
    </row>
    <row r="16" spans="1:26" s="313" customFormat="1" x14ac:dyDescent="0.2">
      <c r="A16" s="321"/>
      <c r="Q16" s="321"/>
      <c r="W16" s="331"/>
      <c r="X16" s="331"/>
    </row>
    <row r="17" spans="1:24" s="316" customFormat="1" x14ac:dyDescent="0.2">
      <c r="A17" s="323" t="s">
        <v>296</v>
      </c>
      <c r="Q17" s="323" t="s">
        <v>296</v>
      </c>
      <c r="W17" s="333"/>
      <c r="X17" s="333"/>
    </row>
    <row r="18" spans="1:24" x14ac:dyDescent="0.2">
      <c r="A18" s="323" t="s">
        <v>1010</v>
      </c>
      <c r="B18" s="146">
        <v>269</v>
      </c>
      <c r="C18" s="146">
        <v>274</v>
      </c>
      <c r="D18" s="146">
        <v>272</v>
      </c>
      <c r="E18" s="146">
        <v>271</v>
      </c>
      <c r="F18" s="146">
        <v>273</v>
      </c>
      <c r="G18" s="146">
        <v>300</v>
      </c>
      <c r="H18" s="146">
        <v>301</v>
      </c>
      <c r="N18" s="146" t="s">
        <v>313</v>
      </c>
      <c r="O18" s="146" t="s">
        <v>313</v>
      </c>
      <c r="Q18" s="319" t="s">
        <v>1010</v>
      </c>
      <c r="R18" s="146">
        <v>269</v>
      </c>
      <c r="S18" s="146">
        <v>271</v>
      </c>
      <c r="T18" s="146">
        <v>273</v>
      </c>
      <c r="W18" s="155"/>
      <c r="X18" s="155"/>
    </row>
    <row r="19" spans="1:24" x14ac:dyDescent="0.2">
      <c r="A19" s="323" t="s">
        <v>1556</v>
      </c>
      <c r="B19" s="146">
        <v>270</v>
      </c>
      <c r="C19" s="146">
        <v>275</v>
      </c>
      <c r="D19" s="146">
        <v>277</v>
      </c>
      <c r="E19" s="146">
        <v>23</v>
      </c>
      <c r="F19" s="146">
        <v>20</v>
      </c>
      <c r="G19" s="146">
        <v>201</v>
      </c>
      <c r="H19" s="146">
        <v>302</v>
      </c>
      <c r="I19" s="146">
        <v>303</v>
      </c>
      <c r="N19" s="146" t="s">
        <v>313</v>
      </c>
      <c r="O19" s="146" t="s">
        <v>313</v>
      </c>
      <c r="Q19" s="323" t="s">
        <v>1556</v>
      </c>
      <c r="R19" s="146">
        <v>270</v>
      </c>
      <c r="S19" s="146">
        <v>275</v>
      </c>
      <c r="T19" s="146">
        <v>277</v>
      </c>
      <c r="U19" s="146">
        <v>302</v>
      </c>
      <c r="W19" s="155"/>
      <c r="X19" s="155"/>
    </row>
    <row r="20" spans="1:24" x14ac:dyDescent="0.2">
      <c r="A20" s="323" t="s">
        <v>880</v>
      </c>
      <c r="B20" s="146">
        <v>278</v>
      </c>
      <c r="C20" s="146">
        <v>284</v>
      </c>
      <c r="D20" s="146">
        <v>285</v>
      </c>
      <c r="E20" s="146">
        <v>281</v>
      </c>
      <c r="F20" s="146">
        <v>282</v>
      </c>
      <c r="G20" s="146">
        <v>294</v>
      </c>
      <c r="H20" s="146">
        <v>295</v>
      </c>
      <c r="N20" s="146" t="s">
        <v>313</v>
      </c>
      <c r="O20" s="146" t="s">
        <v>313</v>
      </c>
      <c r="Q20" s="323" t="s">
        <v>880</v>
      </c>
      <c r="R20" s="146">
        <v>278</v>
      </c>
      <c r="S20" s="146">
        <v>285</v>
      </c>
      <c r="T20" s="146">
        <v>281</v>
      </c>
      <c r="U20" s="146">
        <v>282</v>
      </c>
      <c r="W20" s="155"/>
      <c r="X20" s="155"/>
    </row>
    <row r="21" spans="1:24" x14ac:dyDescent="0.2">
      <c r="A21" s="323" t="s">
        <v>882</v>
      </c>
      <c r="B21" s="146">
        <v>279</v>
      </c>
      <c r="C21" s="146">
        <v>280</v>
      </c>
      <c r="D21" s="146">
        <v>289</v>
      </c>
      <c r="E21" s="146">
        <v>286</v>
      </c>
      <c r="F21" s="146">
        <v>298</v>
      </c>
      <c r="G21" s="146">
        <v>297</v>
      </c>
      <c r="N21" s="146" t="s">
        <v>313</v>
      </c>
      <c r="O21" s="146" t="s">
        <v>313</v>
      </c>
      <c r="Q21" s="323" t="s">
        <v>882</v>
      </c>
      <c r="R21" s="146">
        <v>279</v>
      </c>
      <c r="S21" s="146">
        <v>280</v>
      </c>
      <c r="T21" s="146">
        <v>289</v>
      </c>
      <c r="U21" s="146">
        <v>286</v>
      </c>
      <c r="W21" s="155"/>
      <c r="X21" s="155"/>
    </row>
    <row r="22" spans="1:24" s="313" customFormat="1" x14ac:dyDescent="0.2">
      <c r="A22" s="321"/>
      <c r="Q22" s="321"/>
      <c r="W22" s="331"/>
      <c r="X22" s="331"/>
    </row>
    <row r="23" spans="1:24" s="317" customFormat="1" x14ac:dyDescent="0.2">
      <c r="A23" s="324" t="s">
        <v>172</v>
      </c>
      <c r="Q23" s="324" t="s">
        <v>172</v>
      </c>
      <c r="W23" s="334"/>
      <c r="X23" s="334"/>
    </row>
    <row r="24" spans="1:24" x14ac:dyDescent="0.2">
      <c r="A24" s="324" t="s">
        <v>197</v>
      </c>
      <c r="B24" s="146">
        <v>308</v>
      </c>
      <c r="C24" s="146">
        <v>305</v>
      </c>
      <c r="D24" s="146">
        <v>309</v>
      </c>
      <c r="E24" s="146">
        <v>310</v>
      </c>
      <c r="F24" s="146">
        <v>341</v>
      </c>
      <c r="G24" s="146">
        <v>342</v>
      </c>
      <c r="Q24" s="319" t="s">
        <v>197</v>
      </c>
      <c r="R24" s="146">
        <v>308</v>
      </c>
      <c r="S24" s="146">
        <v>305</v>
      </c>
      <c r="T24" s="146">
        <v>342</v>
      </c>
      <c r="W24" s="155"/>
      <c r="X24" s="155"/>
    </row>
    <row r="25" spans="1:24" x14ac:dyDescent="0.2">
      <c r="A25" s="324" t="s">
        <v>173</v>
      </c>
      <c r="B25" s="146">
        <v>306</v>
      </c>
      <c r="C25" s="146">
        <v>311</v>
      </c>
      <c r="D25" s="146">
        <v>312</v>
      </c>
      <c r="E25" s="146">
        <v>326</v>
      </c>
      <c r="F25" s="146">
        <v>324</v>
      </c>
      <c r="Q25" s="324" t="s">
        <v>173</v>
      </c>
      <c r="R25" s="146">
        <v>306</v>
      </c>
      <c r="S25" s="146">
        <v>311</v>
      </c>
      <c r="T25" s="146">
        <v>326</v>
      </c>
      <c r="U25" s="146">
        <v>324</v>
      </c>
      <c r="W25" s="155"/>
      <c r="X25" s="155"/>
    </row>
    <row r="26" spans="1:24" x14ac:dyDescent="0.2">
      <c r="A26" s="319" t="s">
        <v>1314</v>
      </c>
      <c r="B26" s="146">
        <v>307</v>
      </c>
      <c r="C26" s="146">
        <v>313</v>
      </c>
      <c r="D26" s="146">
        <v>304</v>
      </c>
      <c r="Q26" s="319" t="s">
        <v>1314</v>
      </c>
      <c r="R26" s="146">
        <v>307</v>
      </c>
      <c r="W26" s="155"/>
      <c r="X26" s="155"/>
    </row>
    <row r="27" spans="1:24" x14ac:dyDescent="0.2">
      <c r="A27" s="324" t="s">
        <v>1313</v>
      </c>
      <c r="B27" s="146">
        <v>322</v>
      </c>
      <c r="C27" s="146">
        <v>321</v>
      </c>
      <c r="D27" s="146">
        <v>320</v>
      </c>
      <c r="E27" s="146">
        <v>323</v>
      </c>
      <c r="F27" s="146">
        <v>332</v>
      </c>
      <c r="Q27" s="324" t="s">
        <v>1313</v>
      </c>
      <c r="R27" s="146">
        <v>322</v>
      </c>
      <c r="S27" s="146">
        <v>321</v>
      </c>
      <c r="T27" s="146">
        <v>320</v>
      </c>
      <c r="U27" s="146">
        <v>323</v>
      </c>
      <c r="W27" s="155"/>
      <c r="X27" s="155"/>
    </row>
    <row r="28" spans="1:24" x14ac:dyDescent="0.2">
      <c r="A28" s="319" t="s">
        <v>1142</v>
      </c>
      <c r="B28" s="146">
        <v>336</v>
      </c>
      <c r="C28" s="146">
        <v>337</v>
      </c>
      <c r="D28" s="146">
        <v>338</v>
      </c>
      <c r="H28" s="146">
        <v>9153.1</v>
      </c>
      <c r="Q28" s="319" t="s">
        <v>1142</v>
      </c>
      <c r="R28" s="146">
        <v>336</v>
      </c>
      <c r="S28" s="146">
        <v>337</v>
      </c>
      <c r="W28" s="155"/>
      <c r="X28" s="155"/>
    </row>
    <row r="29" spans="1:24" x14ac:dyDescent="0.2">
      <c r="A29" s="324" t="s">
        <v>489</v>
      </c>
      <c r="B29" s="146">
        <v>331</v>
      </c>
      <c r="C29" s="146">
        <v>329</v>
      </c>
      <c r="D29" s="146">
        <v>330</v>
      </c>
      <c r="E29" s="146">
        <v>334</v>
      </c>
      <c r="F29" s="146">
        <v>333</v>
      </c>
      <c r="H29" s="146">
        <v>9111.6</v>
      </c>
      <c r="Q29" s="324" t="s">
        <v>489</v>
      </c>
      <c r="R29" s="146">
        <v>329</v>
      </c>
      <c r="S29" s="146">
        <v>330</v>
      </c>
      <c r="T29" s="146">
        <v>334</v>
      </c>
      <c r="U29" s="146">
        <v>333</v>
      </c>
      <c r="W29" s="155"/>
      <c r="X29" s="155"/>
    </row>
    <row r="30" spans="1:24" x14ac:dyDescent="0.2">
      <c r="A30" s="324" t="s">
        <v>1557</v>
      </c>
      <c r="B30" s="146">
        <v>325</v>
      </c>
      <c r="C30" s="146">
        <v>327</v>
      </c>
      <c r="D30" s="146">
        <v>328</v>
      </c>
      <c r="E30" s="146">
        <v>335</v>
      </c>
      <c r="H30" s="146">
        <v>1909.9</v>
      </c>
      <c r="Q30" s="319" t="s">
        <v>1557</v>
      </c>
      <c r="R30" s="146">
        <v>327</v>
      </c>
      <c r="S30" s="146">
        <v>328</v>
      </c>
      <c r="W30" s="155"/>
      <c r="X30" s="155"/>
    </row>
    <row r="31" spans="1:24" x14ac:dyDescent="0.2">
      <c r="A31" s="319" t="s">
        <v>1143</v>
      </c>
      <c r="B31" s="146">
        <v>319</v>
      </c>
      <c r="C31" s="146">
        <v>339</v>
      </c>
      <c r="D31" s="146">
        <v>340</v>
      </c>
      <c r="H31" s="146">
        <v>2644.7</v>
      </c>
      <c r="Q31" s="319" t="s">
        <v>1143</v>
      </c>
      <c r="R31" s="146">
        <v>319</v>
      </c>
      <c r="S31" s="146">
        <v>339</v>
      </c>
      <c r="T31" s="146">
        <v>340</v>
      </c>
      <c r="W31" s="155"/>
      <c r="X31" s="155"/>
    </row>
    <row r="32" spans="1:24" x14ac:dyDescent="0.2">
      <c r="A32" s="324" t="s">
        <v>1315</v>
      </c>
      <c r="B32" s="146">
        <v>318</v>
      </c>
      <c r="C32" s="146">
        <v>316</v>
      </c>
      <c r="D32" s="146">
        <v>314</v>
      </c>
      <c r="E32" s="146">
        <v>315</v>
      </c>
      <c r="F32" s="146">
        <v>317</v>
      </c>
      <c r="Q32" s="324" t="s">
        <v>1315</v>
      </c>
      <c r="R32" s="146">
        <v>318</v>
      </c>
      <c r="S32" s="146">
        <v>314</v>
      </c>
      <c r="T32" s="146">
        <v>315</v>
      </c>
      <c r="U32" s="146">
        <v>317</v>
      </c>
      <c r="W32" s="155"/>
      <c r="X32" s="155"/>
    </row>
    <row r="33" spans="1:24" s="313" customFormat="1" x14ac:dyDescent="0.2">
      <c r="A33" s="321"/>
      <c r="Q33" s="321"/>
      <c r="W33" s="331"/>
      <c r="X33" s="331"/>
    </row>
    <row r="34" spans="1:24" s="315" customFormat="1" x14ac:dyDescent="0.2">
      <c r="A34" s="325" t="s">
        <v>864</v>
      </c>
      <c r="Q34" s="325" t="s">
        <v>864</v>
      </c>
      <c r="W34" s="335"/>
      <c r="X34" s="335"/>
    </row>
    <row r="35" spans="1:24" x14ac:dyDescent="0.2">
      <c r="A35" s="319" t="s">
        <v>1138</v>
      </c>
      <c r="B35" s="146">
        <v>382</v>
      </c>
      <c r="C35" s="146">
        <v>376</v>
      </c>
      <c r="Q35" s="319" t="s">
        <v>1138</v>
      </c>
      <c r="W35" s="155"/>
      <c r="X35" s="155"/>
    </row>
    <row r="36" spans="1:24" x14ac:dyDescent="0.2">
      <c r="A36" s="325" t="s">
        <v>971</v>
      </c>
      <c r="B36" s="146">
        <v>379</v>
      </c>
      <c r="C36" s="146">
        <v>387</v>
      </c>
      <c r="D36" s="146">
        <v>386</v>
      </c>
      <c r="E36" s="146">
        <v>390</v>
      </c>
      <c r="F36" s="146">
        <v>393</v>
      </c>
      <c r="Q36" s="319" t="s">
        <v>971</v>
      </c>
      <c r="W36" s="155"/>
      <c r="X36" s="155"/>
    </row>
    <row r="37" spans="1:24" x14ac:dyDescent="0.2">
      <c r="A37" s="319" t="s">
        <v>1165</v>
      </c>
      <c r="B37" s="146">
        <v>552</v>
      </c>
      <c r="C37" s="146">
        <v>553</v>
      </c>
      <c r="Q37" s="319" t="s">
        <v>1165</v>
      </c>
      <c r="W37" s="155"/>
      <c r="X37" s="155"/>
    </row>
    <row r="38" spans="1:24" x14ac:dyDescent="0.2">
      <c r="A38" s="325" t="s">
        <v>1162</v>
      </c>
      <c r="B38" s="146">
        <v>561</v>
      </c>
      <c r="C38" s="146">
        <v>562</v>
      </c>
      <c r="D38" s="146">
        <v>541</v>
      </c>
      <c r="E38" s="146">
        <v>546</v>
      </c>
      <c r="Q38" s="319" t="s">
        <v>1162</v>
      </c>
      <c r="W38" s="155"/>
      <c r="X38" s="155"/>
    </row>
    <row r="39" spans="1:24" x14ac:dyDescent="0.2">
      <c r="A39" s="319" t="s">
        <v>1154</v>
      </c>
      <c r="B39" s="146">
        <v>472</v>
      </c>
      <c r="C39" s="146">
        <v>475</v>
      </c>
      <c r="D39" s="146">
        <v>487</v>
      </c>
      <c r="Q39" s="319" t="s">
        <v>1154</v>
      </c>
      <c r="W39" s="155"/>
      <c r="X39" s="155"/>
    </row>
    <row r="40" spans="1:24" x14ac:dyDescent="0.2">
      <c r="A40" s="325" t="s">
        <v>1157</v>
      </c>
      <c r="B40" s="146">
        <v>478</v>
      </c>
      <c r="C40" s="146">
        <v>490</v>
      </c>
      <c r="D40" s="146">
        <v>484</v>
      </c>
      <c r="E40" s="146">
        <v>482</v>
      </c>
      <c r="Q40" s="319" t="s">
        <v>1157</v>
      </c>
      <c r="W40" s="155"/>
      <c r="X40" s="155"/>
    </row>
    <row r="41" spans="1:24" x14ac:dyDescent="0.2">
      <c r="A41" s="325" t="s">
        <v>1166</v>
      </c>
      <c r="B41" s="146">
        <v>632</v>
      </c>
      <c r="C41" s="146">
        <v>629</v>
      </c>
      <c r="D41" s="146">
        <v>623</v>
      </c>
      <c r="E41" s="146">
        <v>642</v>
      </c>
      <c r="Q41" s="319" t="s">
        <v>1166</v>
      </c>
      <c r="R41" s="146">
        <v>632</v>
      </c>
      <c r="W41" s="155"/>
      <c r="X41" s="155"/>
    </row>
    <row r="42" spans="1:24" x14ac:dyDescent="0.2">
      <c r="A42" s="325" t="s">
        <v>1167</v>
      </c>
      <c r="B42" s="146">
        <v>626</v>
      </c>
      <c r="C42" s="146">
        <v>636</v>
      </c>
      <c r="D42" s="146">
        <v>644</v>
      </c>
      <c r="E42" s="146">
        <v>647</v>
      </c>
      <c r="Q42" s="319" t="s">
        <v>1167</v>
      </c>
      <c r="W42" s="155"/>
      <c r="X42" s="155"/>
    </row>
    <row r="43" spans="1:24" x14ac:dyDescent="0.2">
      <c r="A43" s="319" t="s">
        <v>1168</v>
      </c>
      <c r="B43" s="146">
        <v>535</v>
      </c>
      <c r="C43" s="146">
        <v>539</v>
      </c>
      <c r="Q43" s="319" t="s">
        <v>1168</v>
      </c>
      <c r="W43" s="155"/>
      <c r="X43" s="155"/>
    </row>
    <row r="44" spans="1:24" x14ac:dyDescent="0.2">
      <c r="A44" s="325" t="s">
        <v>1170</v>
      </c>
      <c r="B44" s="146">
        <v>517</v>
      </c>
      <c r="C44" s="146">
        <v>523</v>
      </c>
      <c r="D44" s="146">
        <v>526</v>
      </c>
      <c r="E44" s="146">
        <v>529</v>
      </c>
      <c r="Q44" s="319" t="s">
        <v>1170</v>
      </c>
      <c r="W44" s="155"/>
      <c r="X44" s="155"/>
    </row>
    <row r="45" spans="1:24" x14ac:dyDescent="0.2">
      <c r="A45" s="319" t="s">
        <v>1173</v>
      </c>
      <c r="B45" s="146">
        <v>572</v>
      </c>
      <c r="C45" s="146">
        <v>576</v>
      </c>
      <c r="D45" s="146">
        <v>595</v>
      </c>
      <c r="Q45" s="319" t="s">
        <v>1173</v>
      </c>
      <c r="W45" s="155"/>
      <c r="X45" s="155"/>
    </row>
    <row r="46" spans="1:24" x14ac:dyDescent="0.2">
      <c r="A46" s="319" t="s">
        <v>1178</v>
      </c>
      <c r="B46" s="146">
        <v>580</v>
      </c>
      <c r="Q46" s="319" t="s">
        <v>1178</v>
      </c>
      <c r="W46" s="155"/>
      <c r="X46" s="155"/>
    </row>
    <row r="47" spans="1:24" x14ac:dyDescent="0.2">
      <c r="A47" s="319" t="s">
        <v>951</v>
      </c>
      <c r="Q47" s="319" t="s">
        <v>951</v>
      </c>
      <c r="W47" s="155"/>
      <c r="X47" s="155"/>
    </row>
    <row r="48" spans="1:24" x14ac:dyDescent="0.2">
      <c r="A48" s="319" t="s">
        <v>954</v>
      </c>
      <c r="Q48" s="319" t="s">
        <v>954</v>
      </c>
      <c r="W48" s="155"/>
      <c r="X48" s="155"/>
    </row>
    <row r="49" spans="1:24" x14ac:dyDescent="0.2">
      <c r="A49" s="319" t="s">
        <v>1558</v>
      </c>
      <c r="Q49" s="319" t="s">
        <v>1558</v>
      </c>
      <c r="W49" s="155"/>
      <c r="X49" s="155"/>
    </row>
    <row r="50" spans="1:24" x14ac:dyDescent="0.2">
      <c r="A50" s="319" t="s">
        <v>1559</v>
      </c>
      <c r="Q50" s="319" t="s">
        <v>1559</v>
      </c>
      <c r="W50" s="155"/>
      <c r="X50" s="155"/>
    </row>
    <row r="51" spans="1:24" x14ac:dyDescent="0.2">
      <c r="A51" s="319" t="s">
        <v>966</v>
      </c>
      <c r="Q51" s="319" t="s">
        <v>966</v>
      </c>
      <c r="W51" s="155"/>
      <c r="X51" s="155"/>
    </row>
    <row r="52" spans="1:24" x14ac:dyDescent="0.2">
      <c r="A52" s="319" t="s">
        <v>961</v>
      </c>
      <c r="Q52" s="319" t="s">
        <v>961</v>
      </c>
      <c r="W52" s="155"/>
      <c r="X52" s="15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F40D-DC13-E647-B3A2-F15898CAF068}">
  <dimension ref="A1:W89"/>
  <sheetViews>
    <sheetView workbookViewId="0">
      <pane xSplit="1" ySplit="2" topLeftCell="D17" activePane="bottomRight" state="frozen"/>
      <selection pane="topRight"/>
      <selection pane="bottomLeft"/>
      <selection pane="bottomRight" activeCell="D17" sqref="D17:E19"/>
    </sheetView>
  </sheetViews>
  <sheetFormatPr baseColWidth="10" defaultColWidth="15.83203125" defaultRowHeight="15.75" customHeight="1" x14ac:dyDescent="0.2"/>
  <cols>
    <col min="1" max="1" width="15.83203125" style="4"/>
    <col min="2" max="3" width="15.83203125" style="1"/>
    <col min="4" max="4" width="15.83203125" style="18"/>
    <col min="5" max="5" width="15.83203125" style="20"/>
    <col min="6" max="6" width="15.83203125" style="1"/>
    <col min="7" max="7" width="15.83203125" style="4"/>
    <col min="8" max="9" width="15.83203125" style="1"/>
    <col min="10" max="10" width="15.83203125" style="168"/>
    <col min="11" max="12" width="15.83203125" style="146"/>
    <col min="13" max="13" width="15.83203125" style="169"/>
    <col min="14" max="14" width="15.83203125" style="146"/>
    <col min="15" max="16384" width="15.83203125" style="1"/>
  </cols>
  <sheetData>
    <row r="1" spans="1:23" s="6" customFormat="1" ht="22" x14ac:dyDescent="0.3">
      <c r="A1" s="365" t="s">
        <v>1560</v>
      </c>
      <c r="B1" s="368" t="s">
        <v>1561</v>
      </c>
      <c r="C1" s="368"/>
      <c r="D1" s="369" t="s">
        <v>12</v>
      </c>
      <c r="E1" s="370"/>
      <c r="F1" s="364" t="s">
        <v>16</v>
      </c>
      <c r="G1" s="364"/>
      <c r="H1" s="367" t="s">
        <v>15</v>
      </c>
      <c r="I1" s="367"/>
      <c r="J1" s="371" t="s">
        <v>1546</v>
      </c>
      <c r="K1" s="373" t="s">
        <v>1562</v>
      </c>
      <c r="L1" s="375" t="s">
        <v>12</v>
      </c>
      <c r="M1" s="377" t="s">
        <v>15</v>
      </c>
      <c r="N1" s="205"/>
      <c r="O1" s="380" t="s">
        <v>12</v>
      </c>
      <c r="P1" s="380"/>
      <c r="Q1" s="379" t="s">
        <v>4</v>
      </c>
      <c r="R1" s="379" t="s">
        <v>997</v>
      </c>
      <c r="S1" s="379" t="s">
        <v>1563</v>
      </c>
      <c r="T1" s="379" t="s">
        <v>1564</v>
      </c>
      <c r="U1" s="379" t="s">
        <v>1565</v>
      </c>
      <c r="V1" s="379" t="s">
        <v>1566</v>
      </c>
      <c r="W1" s="379" t="s">
        <v>1567</v>
      </c>
    </row>
    <row r="2" spans="1:23" ht="21" x14ac:dyDescent="0.25">
      <c r="A2" s="366"/>
      <c r="B2" s="2" t="s">
        <v>0</v>
      </c>
      <c r="C2" s="192" t="s">
        <v>1</v>
      </c>
      <c r="D2" s="190" t="s">
        <v>0</v>
      </c>
      <c r="E2" s="191" t="s">
        <v>1</v>
      </c>
      <c r="F2" s="2" t="s">
        <v>0</v>
      </c>
      <c r="G2" s="3" t="s">
        <v>1</v>
      </c>
      <c r="H2" s="2" t="s">
        <v>0</v>
      </c>
      <c r="I2" s="192" t="s">
        <v>1</v>
      </c>
      <c r="J2" s="372"/>
      <c r="K2" s="374"/>
      <c r="L2" s="376"/>
      <c r="M2" s="378"/>
      <c r="N2" s="205"/>
      <c r="O2" s="157" t="s">
        <v>0</v>
      </c>
      <c r="P2" s="157" t="s">
        <v>1</v>
      </c>
      <c r="Q2" s="379"/>
      <c r="R2" s="379"/>
      <c r="S2" s="379"/>
      <c r="T2" s="379"/>
      <c r="U2" s="379"/>
      <c r="V2" s="379"/>
      <c r="W2" s="379"/>
    </row>
    <row r="3" spans="1:23" ht="18.75" customHeight="1" x14ac:dyDescent="0.2">
      <c r="A3" s="4">
        <v>1</v>
      </c>
      <c r="E3" s="218" t="s">
        <v>1568</v>
      </c>
      <c r="F3" s="1">
        <v>173</v>
      </c>
      <c r="G3" s="4" t="str">
        <f>MANIFEST!G337</f>
        <v>PBS</v>
      </c>
      <c r="J3" s="361" t="s">
        <v>110</v>
      </c>
      <c r="K3" s="146" t="s">
        <v>1569</v>
      </c>
      <c r="L3" s="146">
        <v>5</v>
      </c>
      <c r="M3" s="169">
        <v>7</v>
      </c>
      <c r="O3" s="80" t="s">
        <v>135</v>
      </c>
      <c r="P3" s="80" t="s">
        <v>122</v>
      </c>
      <c r="Q3" s="1" t="s">
        <v>1569</v>
      </c>
      <c r="R3" s="1" t="s">
        <v>1046</v>
      </c>
      <c r="S3" s="1">
        <v>26</v>
      </c>
      <c r="T3" s="1">
        <v>0.49</v>
      </c>
      <c r="U3" s="1">
        <v>5000</v>
      </c>
      <c r="V3" s="1" t="s">
        <v>1570</v>
      </c>
      <c r="W3" s="1" t="s">
        <v>1571</v>
      </c>
    </row>
    <row r="4" spans="1:23" ht="16" x14ac:dyDescent="0.2">
      <c r="A4" s="4">
        <v>2</v>
      </c>
      <c r="E4" s="218" t="s">
        <v>1572</v>
      </c>
      <c r="F4" s="1">
        <v>120</v>
      </c>
      <c r="G4" s="4" t="str">
        <f>MANIFEST!G293</f>
        <v>4W</v>
      </c>
      <c r="J4" s="361"/>
      <c r="K4" s="146">
        <v>4</v>
      </c>
      <c r="L4" s="146">
        <v>0</v>
      </c>
      <c r="M4" s="169">
        <v>7</v>
      </c>
      <c r="O4" s="80" t="s">
        <v>137</v>
      </c>
      <c r="P4" s="80" t="s">
        <v>111</v>
      </c>
      <c r="Q4" s="1" t="s">
        <v>110</v>
      </c>
      <c r="R4" s="1" t="s">
        <v>1042</v>
      </c>
      <c r="S4" s="1">
        <v>26.5</v>
      </c>
      <c r="T4" s="1">
        <v>0.48</v>
      </c>
      <c r="U4" s="1">
        <v>5000</v>
      </c>
      <c r="V4" s="1" t="s">
        <v>1570</v>
      </c>
      <c r="W4" s="1" t="s">
        <v>1571</v>
      </c>
    </row>
    <row r="5" spans="1:23" ht="16" x14ac:dyDescent="0.2">
      <c r="A5" s="4">
        <v>3</v>
      </c>
      <c r="D5" s="219">
        <v>1</v>
      </c>
      <c r="E5" s="214" t="s">
        <v>1573</v>
      </c>
      <c r="F5" s="1">
        <v>172</v>
      </c>
      <c r="G5" s="4" t="str">
        <f>MANIFEST!G336</f>
        <v>PBS</v>
      </c>
      <c r="J5" s="361"/>
      <c r="K5" s="146">
        <v>7</v>
      </c>
      <c r="L5" s="146">
        <v>2</v>
      </c>
      <c r="M5" s="169">
        <v>9</v>
      </c>
      <c r="O5" s="80" t="s">
        <v>139</v>
      </c>
      <c r="P5" s="80" t="s">
        <v>111</v>
      </c>
      <c r="Q5" s="1" t="s">
        <v>110</v>
      </c>
      <c r="R5" s="1" t="s">
        <v>1044</v>
      </c>
      <c r="S5" s="1">
        <v>26.5</v>
      </c>
      <c r="T5" s="1">
        <v>0.48</v>
      </c>
      <c r="U5" s="1">
        <v>5000</v>
      </c>
      <c r="V5" s="1" t="s">
        <v>1570</v>
      </c>
      <c r="W5" s="1" t="s">
        <v>1571</v>
      </c>
    </row>
    <row r="6" spans="1:23" ht="16" x14ac:dyDescent="0.2">
      <c r="A6" s="4">
        <v>4</v>
      </c>
      <c r="D6" s="219">
        <v>6</v>
      </c>
      <c r="E6" s="214" t="s">
        <v>1574</v>
      </c>
      <c r="F6" s="1">
        <v>142</v>
      </c>
      <c r="G6" s="4" t="str">
        <f>MANIFEST!G313</f>
        <v>4W</v>
      </c>
      <c r="J6" s="361"/>
      <c r="K6" s="146">
        <v>10</v>
      </c>
      <c r="L6" s="146">
        <v>3</v>
      </c>
      <c r="M6" s="169">
        <v>3</v>
      </c>
      <c r="O6" s="80" t="s">
        <v>153</v>
      </c>
      <c r="P6" s="80" t="s">
        <v>122</v>
      </c>
      <c r="Q6" s="1" t="s">
        <v>1569</v>
      </c>
      <c r="R6" s="1" t="s">
        <v>1048</v>
      </c>
      <c r="S6" s="1">
        <v>26.5</v>
      </c>
      <c r="T6" s="1">
        <v>0.48</v>
      </c>
      <c r="U6" s="1">
        <v>5000</v>
      </c>
      <c r="V6" s="1" t="s">
        <v>1570</v>
      </c>
      <c r="W6" s="1" t="s">
        <v>1571</v>
      </c>
    </row>
    <row r="7" spans="1:23" ht="16" x14ac:dyDescent="0.2">
      <c r="A7" s="4">
        <v>5</v>
      </c>
      <c r="D7" s="219">
        <v>18</v>
      </c>
      <c r="E7" s="214" t="s">
        <v>1575</v>
      </c>
      <c r="F7" s="1">
        <v>68</v>
      </c>
      <c r="G7" s="4" t="str">
        <f>MANIFEST!G241</f>
        <v>Day 4</v>
      </c>
      <c r="J7" s="361"/>
      <c r="K7" s="146">
        <v>14</v>
      </c>
      <c r="L7" s="146">
        <v>4</v>
      </c>
      <c r="M7" s="169">
        <v>4</v>
      </c>
      <c r="O7" s="80" t="s">
        <v>252</v>
      </c>
      <c r="P7" s="80" t="s">
        <v>251</v>
      </c>
      <c r="Q7" s="1" t="s">
        <v>110</v>
      </c>
      <c r="R7" s="1" t="s">
        <v>1034</v>
      </c>
      <c r="S7" s="1">
        <v>26</v>
      </c>
      <c r="T7" s="1">
        <v>0.51</v>
      </c>
      <c r="U7" s="1">
        <v>5000</v>
      </c>
      <c r="V7" s="1" t="s">
        <v>1570</v>
      </c>
      <c r="W7" s="1" t="s">
        <v>1571</v>
      </c>
    </row>
    <row r="8" spans="1:23" ht="16" x14ac:dyDescent="0.2">
      <c r="A8" s="4">
        <v>6</v>
      </c>
      <c r="B8" s="18"/>
      <c r="D8" s="219">
        <v>30</v>
      </c>
      <c r="E8" s="214" t="s">
        <v>1576</v>
      </c>
      <c r="F8" s="1">
        <v>76</v>
      </c>
      <c r="G8" s="4" t="str">
        <f>MANIFEST!G249</f>
        <v>Day 4</v>
      </c>
      <c r="J8" s="362"/>
      <c r="K8" s="146">
        <v>21</v>
      </c>
      <c r="L8" s="146">
        <v>0</v>
      </c>
      <c r="M8" s="169">
        <v>4</v>
      </c>
      <c r="O8" s="80" t="s">
        <v>266</v>
      </c>
      <c r="P8" s="80" t="s">
        <v>251</v>
      </c>
      <c r="Q8" s="1" t="s">
        <v>110</v>
      </c>
      <c r="R8" s="1" t="s">
        <v>1035</v>
      </c>
      <c r="S8" s="1">
        <v>27.5</v>
      </c>
      <c r="T8" s="1">
        <v>0.49</v>
      </c>
      <c r="U8" s="1">
        <v>5000</v>
      </c>
      <c r="V8" s="1" t="s">
        <v>1570</v>
      </c>
      <c r="W8" s="1" t="s">
        <v>1571</v>
      </c>
    </row>
    <row r="9" spans="1:23" ht="16" x14ac:dyDescent="0.2">
      <c r="A9" s="4">
        <v>7</v>
      </c>
      <c r="B9" s="18"/>
      <c r="D9" s="219">
        <v>44</v>
      </c>
      <c r="E9" s="214" t="s">
        <v>1577</v>
      </c>
      <c r="F9" s="1">
        <v>129</v>
      </c>
      <c r="G9" s="4" t="str">
        <f>MANIFEST!G301</f>
        <v>PBSMET</v>
      </c>
      <c r="J9" s="359" t="s">
        <v>296</v>
      </c>
      <c r="K9" s="147" t="s">
        <v>1569</v>
      </c>
      <c r="L9" s="147">
        <v>4</v>
      </c>
      <c r="M9" s="206">
        <v>5</v>
      </c>
      <c r="O9" s="80" t="s">
        <v>1578</v>
      </c>
      <c r="P9" s="80" t="s">
        <v>297</v>
      </c>
      <c r="Q9" s="1" t="s">
        <v>296</v>
      </c>
      <c r="R9" s="1" t="s">
        <v>1016</v>
      </c>
      <c r="S9" s="1">
        <v>26</v>
      </c>
      <c r="T9" s="1">
        <v>0.51</v>
      </c>
      <c r="U9" s="1">
        <v>1250</v>
      </c>
      <c r="V9" s="1" t="s">
        <v>1199</v>
      </c>
      <c r="W9" s="1" t="s">
        <v>1199</v>
      </c>
    </row>
    <row r="10" spans="1:23" ht="16" x14ac:dyDescent="0.2">
      <c r="A10" s="4">
        <v>8</v>
      </c>
      <c r="J10" s="360"/>
      <c r="K10" s="146" t="s">
        <v>1579</v>
      </c>
      <c r="L10" s="146">
        <v>6</v>
      </c>
      <c r="M10" s="169">
        <v>5</v>
      </c>
      <c r="O10" s="80" t="s">
        <v>1580</v>
      </c>
      <c r="P10" s="80" t="s">
        <v>297</v>
      </c>
      <c r="Q10" s="1" t="s">
        <v>296</v>
      </c>
      <c r="R10" s="158">
        <v>45632</v>
      </c>
      <c r="S10" s="1">
        <v>27.5</v>
      </c>
      <c r="T10" s="1">
        <v>0.49</v>
      </c>
      <c r="U10" s="1">
        <v>1250</v>
      </c>
      <c r="V10" s="1" t="s">
        <v>1199</v>
      </c>
      <c r="W10" s="1" t="s">
        <v>1571</v>
      </c>
    </row>
    <row r="11" spans="1:23" ht="16" x14ac:dyDescent="0.2">
      <c r="A11" s="4">
        <v>9</v>
      </c>
      <c r="D11" s="217" t="s">
        <v>1041</v>
      </c>
      <c r="E11" s="218" t="s">
        <v>111</v>
      </c>
      <c r="J11" s="359" t="s">
        <v>880</v>
      </c>
      <c r="K11" s="147" t="s">
        <v>1569</v>
      </c>
      <c r="L11" s="147">
        <v>4</v>
      </c>
      <c r="M11" s="206">
        <v>0</v>
      </c>
      <c r="O11" s="80" t="s">
        <v>1581</v>
      </c>
      <c r="P11" s="80" t="s">
        <v>306</v>
      </c>
      <c r="Q11" s="1" t="s">
        <v>296</v>
      </c>
      <c r="R11" s="1" t="s">
        <v>1016</v>
      </c>
      <c r="S11" s="1">
        <v>26</v>
      </c>
      <c r="T11" s="1">
        <v>0.51</v>
      </c>
      <c r="U11" s="1">
        <v>5000</v>
      </c>
      <c r="V11" s="1">
        <v>1</v>
      </c>
      <c r="W11" s="1">
        <v>1</v>
      </c>
    </row>
    <row r="12" spans="1:23" ht="16" x14ac:dyDescent="0.2">
      <c r="A12" s="4">
        <v>10</v>
      </c>
      <c r="D12" s="217" t="s">
        <v>1047</v>
      </c>
      <c r="E12" s="218" t="s">
        <v>111</v>
      </c>
      <c r="J12" s="360"/>
      <c r="K12" s="146" t="s">
        <v>1582</v>
      </c>
      <c r="L12" s="146">
        <v>6</v>
      </c>
      <c r="M12" s="169">
        <v>0</v>
      </c>
      <c r="O12" s="80" t="s">
        <v>1583</v>
      </c>
      <c r="P12" s="80" t="s">
        <v>306</v>
      </c>
      <c r="Q12" s="1" t="s">
        <v>296</v>
      </c>
      <c r="R12" s="1" t="s">
        <v>1019</v>
      </c>
      <c r="S12" s="1">
        <v>27.5</v>
      </c>
      <c r="T12" s="1">
        <v>0.49</v>
      </c>
      <c r="U12" s="1">
        <v>1250</v>
      </c>
      <c r="V12" s="1" t="s">
        <v>1199</v>
      </c>
      <c r="W12" s="1" t="s">
        <v>1571</v>
      </c>
    </row>
    <row r="13" spans="1:23" ht="16" x14ac:dyDescent="0.2">
      <c r="A13" s="4">
        <v>11</v>
      </c>
      <c r="D13" s="217" t="s">
        <v>1043</v>
      </c>
      <c r="E13" s="218" t="s">
        <v>111</v>
      </c>
      <c r="J13" s="359" t="s">
        <v>172</v>
      </c>
      <c r="K13" s="147" t="s">
        <v>197</v>
      </c>
      <c r="L13" s="147">
        <v>0</v>
      </c>
      <c r="M13" s="206">
        <v>3</v>
      </c>
      <c r="O13" s="80">
        <v>201</v>
      </c>
      <c r="P13" s="80" t="s">
        <v>306</v>
      </c>
      <c r="Q13" s="1" t="s">
        <v>296</v>
      </c>
      <c r="R13" s="1" t="s">
        <v>1035</v>
      </c>
      <c r="S13" s="1">
        <v>27.5</v>
      </c>
      <c r="T13" s="1">
        <v>0.49</v>
      </c>
      <c r="U13" s="1">
        <v>1250</v>
      </c>
      <c r="V13" s="1">
        <v>1.786</v>
      </c>
      <c r="W13" s="1" t="s">
        <v>1571</v>
      </c>
    </row>
    <row r="14" spans="1:23" ht="16" x14ac:dyDescent="0.2">
      <c r="A14" s="4">
        <v>12</v>
      </c>
      <c r="D14" s="219">
        <v>233</v>
      </c>
      <c r="E14" s="214" t="s">
        <v>111</v>
      </c>
      <c r="J14" s="363"/>
      <c r="K14" s="146" t="s">
        <v>1140</v>
      </c>
      <c r="L14" s="146">
        <v>0</v>
      </c>
      <c r="M14" s="169">
        <v>3</v>
      </c>
      <c r="O14" s="80">
        <v>210</v>
      </c>
      <c r="P14" s="80" t="s">
        <v>446</v>
      </c>
      <c r="Q14" s="1" t="s">
        <v>110</v>
      </c>
      <c r="R14" s="1" t="s">
        <v>1038</v>
      </c>
      <c r="S14" s="1">
        <v>27.5</v>
      </c>
      <c r="T14" s="1">
        <v>0.49</v>
      </c>
      <c r="U14" s="1">
        <v>5000</v>
      </c>
      <c r="V14" s="1">
        <v>2</v>
      </c>
      <c r="W14" s="1" t="s">
        <v>1571</v>
      </c>
    </row>
    <row r="15" spans="1:23" ht="16" x14ac:dyDescent="0.2">
      <c r="A15" s="4">
        <v>13</v>
      </c>
      <c r="D15" s="219">
        <v>230</v>
      </c>
      <c r="E15" s="214" t="s">
        <v>111</v>
      </c>
      <c r="J15" s="363"/>
      <c r="K15" s="146" t="s">
        <v>1584</v>
      </c>
      <c r="L15" s="146">
        <v>0</v>
      </c>
      <c r="M15" s="169">
        <v>5</v>
      </c>
      <c r="O15" s="80">
        <v>212</v>
      </c>
      <c r="P15" s="80" t="s">
        <v>446</v>
      </c>
      <c r="Q15" s="1" t="s">
        <v>110</v>
      </c>
      <c r="R15" s="1" t="s">
        <v>1038</v>
      </c>
      <c r="S15" s="1">
        <v>27.5</v>
      </c>
      <c r="T15" s="1">
        <v>0.49</v>
      </c>
      <c r="U15" s="1">
        <v>5000</v>
      </c>
      <c r="V15" s="1">
        <v>2</v>
      </c>
      <c r="W15" s="1" t="s">
        <v>1571</v>
      </c>
    </row>
    <row r="16" spans="1:23" ht="16" x14ac:dyDescent="0.2">
      <c r="A16" s="4">
        <v>14</v>
      </c>
      <c r="J16" s="363"/>
      <c r="K16" s="146" t="s">
        <v>480</v>
      </c>
      <c r="L16" s="146">
        <v>0</v>
      </c>
      <c r="M16" s="169">
        <v>3</v>
      </c>
      <c r="O16" s="80">
        <v>215</v>
      </c>
      <c r="P16" s="80" t="s">
        <v>446</v>
      </c>
      <c r="Q16" s="1" t="s">
        <v>110</v>
      </c>
      <c r="R16" s="1" t="s">
        <v>1039</v>
      </c>
      <c r="S16" s="1">
        <v>27.5</v>
      </c>
      <c r="T16" s="1">
        <v>0.49</v>
      </c>
      <c r="U16" s="1">
        <v>5000</v>
      </c>
      <c r="V16" s="1">
        <v>2</v>
      </c>
      <c r="W16" s="1" t="s">
        <v>1571</v>
      </c>
    </row>
    <row r="17" spans="1:23" ht="16" x14ac:dyDescent="0.2">
      <c r="A17" s="4">
        <v>15</v>
      </c>
      <c r="D17" s="219">
        <v>210</v>
      </c>
      <c r="E17" s="214" t="s">
        <v>446</v>
      </c>
      <c r="J17" s="360"/>
      <c r="K17" s="146" t="s">
        <v>1585</v>
      </c>
      <c r="L17" s="146">
        <v>0</v>
      </c>
      <c r="M17" s="169">
        <v>3</v>
      </c>
      <c r="O17" s="80">
        <v>230</v>
      </c>
      <c r="P17" s="1" t="s">
        <v>111</v>
      </c>
      <c r="Q17" s="1" t="s">
        <v>110</v>
      </c>
      <c r="R17" s="1" t="s">
        <v>1039</v>
      </c>
      <c r="S17" s="1">
        <v>27.5</v>
      </c>
      <c r="T17" s="1">
        <v>0.49</v>
      </c>
      <c r="U17" s="1">
        <v>5000</v>
      </c>
      <c r="V17" s="1">
        <v>2</v>
      </c>
      <c r="W17" s="1" t="s">
        <v>1571</v>
      </c>
    </row>
    <row r="18" spans="1:23" ht="16" x14ac:dyDescent="0.2">
      <c r="A18" s="4">
        <v>16</v>
      </c>
      <c r="D18" s="219">
        <v>212</v>
      </c>
      <c r="E18" s="214" t="s">
        <v>446</v>
      </c>
      <c r="J18" s="359" t="s">
        <v>864</v>
      </c>
      <c r="K18" s="147" t="s">
        <v>1569</v>
      </c>
      <c r="L18" s="147">
        <v>0</v>
      </c>
      <c r="M18" s="206">
        <v>0</v>
      </c>
      <c r="O18" s="80">
        <v>242</v>
      </c>
      <c r="P18" s="1" t="s">
        <v>251</v>
      </c>
      <c r="Q18" s="1" t="s">
        <v>110</v>
      </c>
      <c r="R18" s="158">
        <v>45329</v>
      </c>
      <c r="S18" s="1">
        <v>27.5</v>
      </c>
      <c r="T18" s="1">
        <v>0.49</v>
      </c>
      <c r="U18" s="1">
        <v>5000</v>
      </c>
      <c r="V18" s="1">
        <v>2</v>
      </c>
      <c r="W18" s="1" t="s">
        <v>1571</v>
      </c>
    </row>
    <row r="19" spans="1:23" ht="16" x14ac:dyDescent="0.2">
      <c r="A19" s="4">
        <v>17</v>
      </c>
      <c r="D19" s="219">
        <v>215</v>
      </c>
      <c r="E19" s="214" t="s">
        <v>446</v>
      </c>
      <c r="J19" s="363"/>
      <c r="K19" s="146" t="s">
        <v>1586</v>
      </c>
      <c r="L19" s="146">
        <v>0</v>
      </c>
      <c r="M19" s="169">
        <v>0</v>
      </c>
      <c r="O19" s="80">
        <v>220</v>
      </c>
      <c r="P19" s="80" t="s">
        <v>560</v>
      </c>
      <c r="Q19" s="1" t="s">
        <v>110</v>
      </c>
      <c r="R19" s="158">
        <v>45329</v>
      </c>
      <c r="S19" s="1">
        <v>27.5</v>
      </c>
      <c r="T19" s="1">
        <v>0.49</v>
      </c>
      <c r="U19" s="1">
        <v>5000</v>
      </c>
      <c r="V19" s="1">
        <v>2</v>
      </c>
      <c r="W19" s="1" t="s">
        <v>1571</v>
      </c>
    </row>
    <row r="20" spans="1:23" ht="16" x14ac:dyDescent="0.2">
      <c r="A20" s="4">
        <v>18</v>
      </c>
      <c r="J20" s="363"/>
      <c r="K20" s="146" t="s">
        <v>1587</v>
      </c>
      <c r="L20" s="146">
        <v>0</v>
      </c>
      <c r="M20" s="169">
        <v>0</v>
      </c>
    </row>
    <row r="21" spans="1:23" ht="16" x14ac:dyDescent="0.2">
      <c r="A21" s="4">
        <v>19</v>
      </c>
      <c r="D21" s="219">
        <v>244</v>
      </c>
      <c r="E21" s="214" t="s">
        <v>251</v>
      </c>
      <c r="J21" s="363"/>
      <c r="K21" s="146" t="s">
        <v>1588</v>
      </c>
      <c r="L21" s="146">
        <v>0</v>
      </c>
      <c r="M21" s="169">
        <v>0</v>
      </c>
    </row>
    <row r="22" spans="1:23" ht="16" x14ac:dyDescent="0.2">
      <c r="A22" s="4">
        <v>20</v>
      </c>
      <c r="D22" s="219">
        <v>166</v>
      </c>
      <c r="E22" s="214" t="s">
        <v>251</v>
      </c>
      <c r="J22" s="363"/>
      <c r="K22" s="146" t="s">
        <v>1589</v>
      </c>
      <c r="L22" s="146">
        <v>0</v>
      </c>
      <c r="M22" s="169">
        <v>0</v>
      </c>
    </row>
    <row r="23" spans="1:23" ht="16" x14ac:dyDescent="0.2">
      <c r="A23" s="4">
        <v>21</v>
      </c>
      <c r="D23" s="219">
        <v>156</v>
      </c>
      <c r="E23" s="214" t="s">
        <v>251</v>
      </c>
      <c r="J23" s="363"/>
      <c r="K23" s="146" t="s">
        <v>1590</v>
      </c>
      <c r="L23" s="146">
        <v>0</v>
      </c>
      <c r="M23" s="169">
        <v>0</v>
      </c>
    </row>
    <row r="24" spans="1:23" ht="16" x14ac:dyDescent="0.2">
      <c r="A24" s="4">
        <v>22</v>
      </c>
      <c r="D24" s="219">
        <v>242</v>
      </c>
      <c r="E24" s="214" t="s">
        <v>251</v>
      </c>
      <c r="J24" s="363"/>
      <c r="K24" s="146" t="s">
        <v>1591</v>
      </c>
      <c r="L24" s="146">
        <v>0</v>
      </c>
      <c r="M24" s="169">
        <v>0</v>
      </c>
    </row>
    <row r="25" spans="1:23" ht="16" x14ac:dyDescent="0.2">
      <c r="A25" s="4">
        <v>23</v>
      </c>
      <c r="J25" s="363"/>
      <c r="K25" s="146" t="s">
        <v>1592</v>
      </c>
      <c r="L25" s="146">
        <v>0</v>
      </c>
      <c r="M25" s="169">
        <v>0</v>
      </c>
    </row>
    <row r="26" spans="1:23" ht="16" x14ac:dyDescent="0.2">
      <c r="A26" s="4">
        <v>24</v>
      </c>
      <c r="D26" s="217">
        <v>225</v>
      </c>
      <c r="E26" s="218" t="s">
        <v>560</v>
      </c>
      <c r="J26" s="363"/>
      <c r="K26" s="146" t="s">
        <v>1593</v>
      </c>
      <c r="L26" s="146">
        <v>0</v>
      </c>
      <c r="M26" s="169">
        <v>0</v>
      </c>
    </row>
    <row r="27" spans="1:23" ht="16" x14ac:dyDescent="0.2">
      <c r="A27" s="4">
        <v>25</v>
      </c>
      <c r="D27" s="217">
        <v>220</v>
      </c>
      <c r="E27" s="218" t="s">
        <v>560</v>
      </c>
      <c r="J27" s="360"/>
      <c r="K27" s="146" t="s">
        <v>1594</v>
      </c>
      <c r="L27" s="146">
        <v>0</v>
      </c>
      <c r="M27" s="169">
        <v>0</v>
      </c>
    </row>
    <row r="28" spans="1:23" ht="16" x14ac:dyDescent="0.2">
      <c r="A28" s="4">
        <v>26</v>
      </c>
      <c r="J28" s="359" t="s">
        <v>731</v>
      </c>
      <c r="K28" s="147" t="s">
        <v>1569</v>
      </c>
      <c r="L28" s="147">
        <v>0</v>
      </c>
      <c r="M28" s="206">
        <v>0</v>
      </c>
    </row>
    <row r="29" spans="1:23" ht="16" x14ac:dyDescent="0.2">
      <c r="A29" s="4">
        <v>27</v>
      </c>
      <c r="D29" s="217" t="s">
        <v>1595</v>
      </c>
      <c r="E29" s="218" t="s">
        <v>297</v>
      </c>
      <c r="J29" s="363"/>
      <c r="K29" s="146" t="s">
        <v>1596</v>
      </c>
      <c r="L29" s="146">
        <v>0</v>
      </c>
      <c r="M29" s="169">
        <v>0</v>
      </c>
    </row>
    <row r="30" spans="1:23" ht="16" x14ac:dyDescent="0.2">
      <c r="A30" s="4">
        <v>28</v>
      </c>
      <c r="D30" s="219" t="s">
        <v>1597</v>
      </c>
      <c r="E30" s="214" t="s">
        <v>297</v>
      </c>
      <c r="J30" s="360"/>
      <c r="K30" s="146" t="s">
        <v>1598</v>
      </c>
      <c r="L30" s="146">
        <v>0</v>
      </c>
      <c r="M30" s="169">
        <v>0</v>
      </c>
    </row>
    <row r="31" spans="1:23" ht="16" x14ac:dyDescent="0.2">
      <c r="A31" s="4">
        <v>29</v>
      </c>
      <c r="D31" s="219" t="s">
        <v>1599</v>
      </c>
      <c r="E31" s="214" t="s">
        <v>297</v>
      </c>
      <c r="J31" s="359" t="s">
        <v>162</v>
      </c>
      <c r="K31" s="147" t="s">
        <v>163</v>
      </c>
      <c r="L31" s="147"/>
      <c r="M31" s="206">
        <v>2</v>
      </c>
    </row>
    <row r="32" spans="1:23" ht="16" x14ac:dyDescent="0.2">
      <c r="A32" s="4">
        <v>30</v>
      </c>
      <c r="D32" s="219" t="s">
        <v>1600</v>
      </c>
      <c r="E32" s="214" t="s">
        <v>297</v>
      </c>
      <c r="J32" s="363"/>
      <c r="K32" s="146" t="s">
        <v>318</v>
      </c>
      <c r="M32" s="169">
        <v>1</v>
      </c>
    </row>
    <row r="33" spans="1:13" ht="16" x14ac:dyDescent="0.2">
      <c r="A33" s="4">
        <v>31</v>
      </c>
      <c r="D33" s="219" t="s">
        <v>1601</v>
      </c>
      <c r="E33" s="214" t="s">
        <v>297</v>
      </c>
      <c r="J33" s="363"/>
      <c r="K33" s="146" t="s">
        <v>1602</v>
      </c>
      <c r="M33" s="169">
        <v>1</v>
      </c>
    </row>
    <row r="34" spans="1:13" ht="16" x14ac:dyDescent="0.2">
      <c r="A34" s="4">
        <v>32</v>
      </c>
      <c r="D34" s="219">
        <v>300</v>
      </c>
      <c r="E34" s="214" t="s">
        <v>297</v>
      </c>
      <c r="J34" s="363"/>
      <c r="K34" s="146" t="s">
        <v>1053</v>
      </c>
      <c r="M34" s="169">
        <v>1</v>
      </c>
    </row>
    <row r="35" spans="1:13" ht="16" x14ac:dyDescent="0.2">
      <c r="A35" s="4">
        <v>33</v>
      </c>
      <c r="D35" s="219" t="s">
        <v>1603</v>
      </c>
      <c r="E35" s="214" t="s">
        <v>297</v>
      </c>
      <c r="J35" s="363"/>
      <c r="K35" s="146" t="s">
        <v>1604</v>
      </c>
      <c r="M35" s="169">
        <v>1</v>
      </c>
    </row>
    <row r="36" spans="1:13" ht="16" x14ac:dyDescent="0.2">
      <c r="A36" s="4">
        <v>34</v>
      </c>
      <c r="J36" s="360"/>
      <c r="K36" s="151" t="s">
        <v>1056</v>
      </c>
      <c r="L36" s="151"/>
      <c r="M36" s="207">
        <v>1</v>
      </c>
    </row>
    <row r="37" spans="1:13" ht="16" x14ac:dyDescent="0.2">
      <c r="A37" s="4">
        <v>35</v>
      </c>
      <c r="D37" s="217" t="s">
        <v>1605</v>
      </c>
      <c r="E37" s="218" t="s">
        <v>306</v>
      </c>
    </row>
    <row r="38" spans="1:13" ht="16" x14ac:dyDescent="0.2">
      <c r="A38" s="4">
        <v>36</v>
      </c>
      <c r="D38" s="217" t="s">
        <v>1606</v>
      </c>
      <c r="E38" s="218" t="s">
        <v>306</v>
      </c>
    </row>
    <row r="39" spans="1:13" ht="16" x14ac:dyDescent="0.2">
      <c r="A39" s="4">
        <v>37</v>
      </c>
      <c r="D39" s="217" t="s">
        <v>1607</v>
      </c>
      <c r="E39" s="218" t="s">
        <v>306</v>
      </c>
    </row>
    <row r="40" spans="1:13" ht="16" x14ac:dyDescent="0.2">
      <c r="A40" s="4">
        <v>38</v>
      </c>
      <c r="D40" s="219">
        <v>270</v>
      </c>
      <c r="E40" s="214" t="s">
        <v>306</v>
      </c>
    </row>
    <row r="41" spans="1:13" ht="16" x14ac:dyDescent="0.2">
      <c r="A41" s="4">
        <v>39</v>
      </c>
      <c r="D41" s="219" t="s">
        <v>1608</v>
      </c>
      <c r="E41" s="214" t="s">
        <v>306</v>
      </c>
    </row>
    <row r="42" spans="1:13" ht="16" x14ac:dyDescent="0.2">
      <c r="A42" s="4">
        <v>40</v>
      </c>
      <c r="D42" s="219" t="s">
        <v>1609</v>
      </c>
      <c r="E42" s="214" t="s">
        <v>306</v>
      </c>
    </row>
    <row r="43" spans="1:13" ht="16" x14ac:dyDescent="0.2">
      <c r="A43" s="4">
        <v>41</v>
      </c>
      <c r="D43" s="219" t="s">
        <v>1610</v>
      </c>
      <c r="E43" s="214" t="s">
        <v>306</v>
      </c>
    </row>
    <row r="44" spans="1:13" ht="16" x14ac:dyDescent="0.2">
      <c r="A44" s="4">
        <v>42</v>
      </c>
    </row>
    <row r="45" spans="1:13" ht="16" x14ac:dyDescent="0.2">
      <c r="A45" s="4">
        <v>43</v>
      </c>
    </row>
    <row r="46" spans="1:13" ht="16" x14ac:dyDescent="0.2">
      <c r="A46" s="4">
        <v>44</v>
      </c>
      <c r="D46" s="219" t="s">
        <v>1611</v>
      </c>
      <c r="E46" s="220" t="s">
        <v>696</v>
      </c>
    </row>
    <row r="47" spans="1:13" ht="16" x14ac:dyDescent="0.2">
      <c r="A47" s="4">
        <v>45</v>
      </c>
      <c r="D47" s="219" t="s">
        <v>1612</v>
      </c>
      <c r="E47" s="220" t="s">
        <v>696</v>
      </c>
    </row>
    <row r="48" spans="1:13" ht="16" x14ac:dyDescent="0.2">
      <c r="A48" s="4">
        <v>46</v>
      </c>
      <c r="D48" s="219" t="s">
        <v>1613</v>
      </c>
      <c r="E48" s="220" t="s">
        <v>696</v>
      </c>
    </row>
    <row r="49" spans="1:5" ht="16" x14ac:dyDescent="0.2">
      <c r="A49" s="4">
        <v>47</v>
      </c>
      <c r="D49" s="219" t="s">
        <v>1614</v>
      </c>
      <c r="E49" s="220" t="s">
        <v>696</v>
      </c>
    </row>
    <row r="50" spans="1:5" ht="16" x14ac:dyDescent="0.2">
      <c r="A50" s="4">
        <v>48</v>
      </c>
      <c r="D50" s="219" t="s">
        <v>1615</v>
      </c>
      <c r="E50" s="220" t="s">
        <v>696</v>
      </c>
    </row>
    <row r="51" spans="1:5" ht="16" x14ac:dyDescent="0.2">
      <c r="A51" s="4">
        <v>49</v>
      </c>
      <c r="D51" s="219" t="s">
        <v>1616</v>
      </c>
      <c r="E51" s="220" t="s">
        <v>696</v>
      </c>
    </row>
    <row r="52" spans="1:5" ht="16" x14ac:dyDescent="0.2">
      <c r="A52" s="4">
        <v>50</v>
      </c>
      <c r="D52" s="219" t="s">
        <v>1617</v>
      </c>
      <c r="E52" s="220" t="s">
        <v>699</v>
      </c>
    </row>
    <row r="53" spans="1:5" ht="16" x14ac:dyDescent="0.2">
      <c r="A53" s="4">
        <v>51</v>
      </c>
      <c r="D53" s="219" t="s">
        <v>1618</v>
      </c>
      <c r="E53" s="220" t="s">
        <v>699</v>
      </c>
    </row>
    <row r="54" spans="1:5" ht="16" x14ac:dyDescent="0.2">
      <c r="A54" s="4">
        <v>52</v>
      </c>
      <c r="D54" s="219" t="s">
        <v>1619</v>
      </c>
      <c r="E54" s="220" t="s">
        <v>699</v>
      </c>
    </row>
    <row r="55" spans="1:5" ht="16" x14ac:dyDescent="0.2">
      <c r="A55" s="4">
        <v>53</v>
      </c>
      <c r="D55" s="219" t="s">
        <v>1620</v>
      </c>
      <c r="E55" s="220" t="s">
        <v>699</v>
      </c>
    </row>
    <row r="56" spans="1:5" ht="16" x14ac:dyDescent="0.2">
      <c r="A56" s="4">
        <v>54</v>
      </c>
    </row>
    <row r="57" spans="1:5" ht="16" x14ac:dyDescent="0.2">
      <c r="A57" s="4">
        <v>55</v>
      </c>
    </row>
    <row r="58" spans="1:5" ht="16" x14ac:dyDescent="0.2">
      <c r="A58" s="4">
        <v>56</v>
      </c>
    </row>
    <row r="59" spans="1:5" ht="16" x14ac:dyDescent="0.2">
      <c r="A59" s="4">
        <v>57</v>
      </c>
    </row>
    <row r="60" spans="1:5" ht="16" x14ac:dyDescent="0.2">
      <c r="A60" s="4">
        <v>58</v>
      </c>
    </row>
    <row r="61" spans="1:5" ht="16" x14ac:dyDescent="0.2">
      <c r="A61" s="4">
        <v>59</v>
      </c>
    </row>
    <row r="62" spans="1:5" ht="16" x14ac:dyDescent="0.2">
      <c r="A62" s="4">
        <v>60</v>
      </c>
    </row>
    <row r="63" spans="1:5" ht="16" x14ac:dyDescent="0.2">
      <c r="A63" s="4">
        <v>61</v>
      </c>
    </row>
    <row r="64" spans="1:5" ht="16" x14ac:dyDescent="0.2">
      <c r="A64" s="4">
        <v>62</v>
      </c>
    </row>
    <row r="65" spans="1:1" ht="16" x14ac:dyDescent="0.2">
      <c r="A65" s="4">
        <v>63</v>
      </c>
    </row>
    <row r="66" spans="1:1" ht="16" x14ac:dyDescent="0.2"/>
    <row r="67" spans="1:1" ht="16" x14ac:dyDescent="0.2"/>
    <row r="68" spans="1:1" ht="16" x14ac:dyDescent="0.2"/>
    <row r="69" spans="1:1" ht="16" x14ac:dyDescent="0.2"/>
    <row r="70" spans="1:1" ht="16" x14ac:dyDescent="0.2"/>
    <row r="71" spans="1:1" ht="16" x14ac:dyDescent="0.2"/>
    <row r="72" spans="1:1" ht="16" x14ac:dyDescent="0.2"/>
    <row r="73" spans="1:1" ht="16" x14ac:dyDescent="0.2"/>
    <row r="74" spans="1:1" ht="16" x14ac:dyDescent="0.2"/>
    <row r="75" spans="1:1" ht="16" x14ac:dyDescent="0.2"/>
    <row r="76" spans="1:1" ht="16" x14ac:dyDescent="0.2"/>
    <row r="77" spans="1:1" ht="16" x14ac:dyDescent="0.2"/>
    <row r="78" spans="1:1" ht="16" x14ac:dyDescent="0.2"/>
    <row r="79" spans="1:1" ht="16" x14ac:dyDescent="0.2"/>
    <row r="80" spans="1:1" ht="16" x14ac:dyDescent="0.2"/>
    <row r="81" ht="16" x14ac:dyDescent="0.2"/>
    <row r="82" ht="16" x14ac:dyDescent="0.2"/>
    <row r="83" ht="16" x14ac:dyDescent="0.2"/>
    <row r="84" ht="16" x14ac:dyDescent="0.2"/>
    <row r="85" ht="16" x14ac:dyDescent="0.2"/>
    <row r="86" ht="16" x14ac:dyDescent="0.2"/>
    <row r="87" ht="16" x14ac:dyDescent="0.2"/>
    <row r="88" ht="16" x14ac:dyDescent="0.2"/>
    <row r="89" ht="16" x14ac:dyDescent="0.2"/>
  </sheetData>
  <autoFilter ref="A2:I66" xr:uid="{2841F40D-DC13-E647-B3A2-F15898CAF068}"/>
  <mergeCells count="24">
    <mergeCell ref="V1:V2"/>
    <mergeCell ref="W1:W2"/>
    <mergeCell ref="O1:P1"/>
    <mergeCell ref="Q1:Q2"/>
    <mergeCell ref="R1:R2"/>
    <mergeCell ref="S1:S2"/>
    <mergeCell ref="T1:T2"/>
    <mergeCell ref="J1:J2"/>
    <mergeCell ref="K1:K2"/>
    <mergeCell ref="L1:L2"/>
    <mergeCell ref="M1:M2"/>
    <mergeCell ref="U1:U2"/>
    <mergeCell ref="F1:G1"/>
    <mergeCell ref="A1:A2"/>
    <mergeCell ref="H1:I1"/>
    <mergeCell ref="B1:C1"/>
    <mergeCell ref="D1:E1"/>
    <mergeCell ref="J9:J10"/>
    <mergeCell ref="J3:J8"/>
    <mergeCell ref="J31:J36"/>
    <mergeCell ref="J28:J30"/>
    <mergeCell ref="J18:J27"/>
    <mergeCell ref="J13:J17"/>
    <mergeCell ref="J11:J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07A9-335A-42B5-9DF0-7BCF6682CA7B}">
  <dimension ref="A1:R199"/>
  <sheetViews>
    <sheetView workbookViewId="0">
      <pane ySplit="1" topLeftCell="A2" activePane="bottomLeft" state="frozen"/>
      <selection pane="bottomLeft" activeCell="H86" sqref="H86"/>
    </sheetView>
  </sheetViews>
  <sheetFormatPr baseColWidth="10" defaultColWidth="9" defaultRowHeight="16" x14ac:dyDescent="0.2"/>
  <cols>
    <col min="1" max="1" width="16.83203125" style="146" customWidth="1"/>
    <col min="2" max="3" width="18" style="146" customWidth="1"/>
    <col min="4" max="4" width="9" style="146" bestFit="1" customWidth="1"/>
    <col min="5" max="5" width="9" style="146" customWidth="1"/>
    <col min="6" max="6" width="18.1640625" style="146" customWidth="1"/>
    <col min="7" max="7" width="9" style="146" customWidth="1"/>
    <col min="8" max="8" width="17" style="146" customWidth="1"/>
    <col min="9" max="9" width="9" style="146"/>
    <col min="10" max="10" width="15.6640625" style="146" customWidth="1"/>
    <col min="11" max="11" width="9" style="146"/>
    <col min="12" max="13" width="17.6640625" style="146" customWidth="1"/>
    <col min="14" max="14" width="18.33203125" style="146" customWidth="1"/>
    <col min="15" max="15" width="18" style="146" customWidth="1"/>
    <col min="16" max="16" width="18.1640625" style="146" customWidth="1"/>
    <col min="17" max="16384" width="9" style="146"/>
  </cols>
  <sheetData>
    <row r="1" spans="1:18" ht="46" x14ac:dyDescent="0.2">
      <c r="A1" s="170" t="s">
        <v>1621</v>
      </c>
      <c r="B1" s="171" t="s">
        <v>1622</v>
      </c>
      <c r="C1" s="171" t="s">
        <v>1623</v>
      </c>
      <c r="D1" s="171" t="s">
        <v>1624</v>
      </c>
      <c r="E1" s="171" t="s">
        <v>1625</v>
      </c>
      <c r="F1" s="171" t="s">
        <v>1546</v>
      </c>
      <c r="G1" s="171" t="s">
        <v>1626</v>
      </c>
      <c r="H1" s="171" t="s">
        <v>1627</v>
      </c>
      <c r="I1" s="170" t="s">
        <v>1628</v>
      </c>
      <c r="J1" s="171" t="s">
        <v>1629</v>
      </c>
      <c r="K1" s="185" t="s">
        <v>1630</v>
      </c>
      <c r="L1" s="188" t="s">
        <v>1631</v>
      </c>
      <c r="M1" s="189"/>
      <c r="N1" s="184" t="s">
        <v>1632</v>
      </c>
      <c r="O1" s="184" t="s">
        <v>1633</v>
      </c>
      <c r="P1" s="184" t="s">
        <v>1634</v>
      </c>
      <c r="Q1" s="187" t="s">
        <v>1635</v>
      </c>
      <c r="R1" s="186" t="s">
        <v>1636</v>
      </c>
    </row>
    <row r="2" spans="1:18" x14ac:dyDescent="0.2">
      <c r="A2" s="172" t="s">
        <v>391</v>
      </c>
      <c r="B2" s="237">
        <v>753757</v>
      </c>
      <c r="C2" s="172" t="s">
        <v>1637</v>
      </c>
      <c r="D2" s="146" t="s">
        <v>1638</v>
      </c>
      <c r="E2" s="172"/>
      <c r="F2" s="172" t="s">
        <v>389</v>
      </c>
      <c r="G2" s="173">
        <v>45436</v>
      </c>
      <c r="H2" s="172" t="s">
        <v>1639</v>
      </c>
      <c r="I2" s="146" t="s">
        <v>25</v>
      </c>
      <c r="J2" s="146" t="s">
        <v>25</v>
      </c>
    </row>
    <row r="3" spans="1:18" x14ac:dyDescent="0.2">
      <c r="A3" s="172" t="s">
        <v>398</v>
      </c>
      <c r="B3" s="237">
        <v>753758</v>
      </c>
      <c r="C3" s="172" t="s">
        <v>1640</v>
      </c>
      <c r="D3" s="172" t="s">
        <v>1641</v>
      </c>
      <c r="E3" s="172"/>
      <c r="F3" s="172" t="s">
        <v>389</v>
      </c>
      <c r="G3" s="173">
        <v>45436</v>
      </c>
      <c r="H3" s="172" t="s">
        <v>1639</v>
      </c>
      <c r="I3" s="146" t="s">
        <v>25</v>
      </c>
      <c r="J3" s="146" t="s">
        <v>25</v>
      </c>
    </row>
    <row r="4" spans="1:18" x14ac:dyDescent="0.2">
      <c r="A4" s="172" t="s">
        <v>408</v>
      </c>
      <c r="B4" s="237">
        <v>753759</v>
      </c>
      <c r="C4" s="172" t="s">
        <v>1642</v>
      </c>
      <c r="D4" s="172" t="s">
        <v>1643</v>
      </c>
      <c r="E4" s="172"/>
      <c r="F4" s="172" t="s">
        <v>389</v>
      </c>
      <c r="G4" s="173">
        <v>45436</v>
      </c>
      <c r="H4" s="172" t="s">
        <v>1639</v>
      </c>
      <c r="I4" s="146" t="s">
        <v>25</v>
      </c>
      <c r="J4" s="146" t="s">
        <v>25</v>
      </c>
    </row>
    <row r="5" spans="1:18" x14ac:dyDescent="0.2">
      <c r="A5" s="172">
        <v>302</v>
      </c>
      <c r="B5" s="237">
        <v>753760</v>
      </c>
      <c r="C5" s="172" t="s">
        <v>1644</v>
      </c>
      <c r="D5" s="172" t="s">
        <v>1645</v>
      </c>
      <c r="E5" s="172"/>
      <c r="F5" s="172" t="s">
        <v>297</v>
      </c>
      <c r="G5" s="173">
        <v>45436</v>
      </c>
      <c r="H5" s="172" t="s">
        <v>1639</v>
      </c>
      <c r="I5" s="146" t="s">
        <v>25</v>
      </c>
      <c r="J5" s="146" t="s">
        <v>25</v>
      </c>
    </row>
    <row r="6" spans="1:18" x14ac:dyDescent="0.2">
      <c r="A6" s="172">
        <v>303</v>
      </c>
      <c r="B6" s="237">
        <v>753766</v>
      </c>
      <c r="C6" s="172" t="s">
        <v>1646</v>
      </c>
      <c r="D6" s="172" t="s">
        <v>1647</v>
      </c>
      <c r="E6" s="172"/>
      <c r="F6" s="172" t="s">
        <v>306</v>
      </c>
      <c r="G6" s="173">
        <v>45436</v>
      </c>
      <c r="H6" s="172" t="s">
        <v>1639</v>
      </c>
      <c r="I6" s="146" t="s">
        <v>25</v>
      </c>
      <c r="J6" s="146" t="s">
        <v>25</v>
      </c>
    </row>
    <row r="7" spans="1:18" x14ac:dyDescent="0.2">
      <c r="A7" s="172">
        <v>304</v>
      </c>
      <c r="B7" s="237">
        <v>753767</v>
      </c>
      <c r="C7" s="172" t="s">
        <v>1648</v>
      </c>
      <c r="D7" s="172" t="s">
        <v>1649</v>
      </c>
      <c r="E7" s="172"/>
      <c r="F7" s="172" t="s">
        <v>297</v>
      </c>
      <c r="G7" s="173">
        <v>45436</v>
      </c>
      <c r="H7" s="172" t="s">
        <v>1639</v>
      </c>
      <c r="I7" s="146" t="s">
        <v>25</v>
      </c>
      <c r="J7" s="146" t="s">
        <v>25</v>
      </c>
    </row>
    <row r="8" spans="1:18" x14ac:dyDescent="0.2">
      <c r="A8" s="172">
        <v>306</v>
      </c>
      <c r="B8" s="237">
        <v>753768</v>
      </c>
      <c r="C8" s="172" t="s">
        <v>1650</v>
      </c>
      <c r="D8" s="172" t="s">
        <v>1651</v>
      </c>
      <c r="E8" s="172"/>
      <c r="F8" s="172" t="s">
        <v>297</v>
      </c>
      <c r="G8" s="173">
        <v>45436</v>
      </c>
      <c r="H8" s="172" t="s">
        <v>1639</v>
      </c>
      <c r="I8" s="146" t="s">
        <v>25</v>
      </c>
      <c r="J8" s="146" t="s">
        <v>25</v>
      </c>
    </row>
    <row r="9" spans="1:18" x14ac:dyDescent="0.2">
      <c r="A9" s="172">
        <v>307</v>
      </c>
      <c r="B9" s="237">
        <v>753775</v>
      </c>
      <c r="C9" s="172" t="s">
        <v>1652</v>
      </c>
      <c r="D9" s="172" t="s">
        <v>1653</v>
      </c>
      <c r="E9" s="172"/>
      <c r="F9" s="172" t="s">
        <v>306</v>
      </c>
      <c r="G9" s="173">
        <v>45436</v>
      </c>
      <c r="H9" s="172" t="s">
        <v>1639</v>
      </c>
      <c r="I9" s="146" t="s">
        <v>25</v>
      </c>
      <c r="J9" s="146" t="s">
        <v>25</v>
      </c>
    </row>
    <row r="10" spans="1:18" x14ac:dyDescent="0.2">
      <c r="A10" s="172">
        <v>309</v>
      </c>
      <c r="B10" s="237">
        <v>753774</v>
      </c>
      <c r="C10" s="172" t="s">
        <v>1654</v>
      </c>
      <c r="D10" s="172" t="s">
        <v>1655</v>
      </c>
      <c r="E10" s="172"/>
      <c r="F10" s="172" t="s">
        <v>306</v>
      </c>
      <c r="G10" s="173">
        <v>45436</v>
      </c>
      <c r="H10" s="172" t="s">
        <v>1639</v>
      </c>
      <c r="I10" s="146" t="s">
        <v>25</v>
      </c>
      <c r="J10" s="146" t="s">
        <v>25</v>
      </c>
    </row>
    <row r="11" spans="1:18" x14ac:dyDescent="0.2">
      <c r="A11" s="172">
        <v>310</v>
      </c>
      <c r="B11" s="237">
        <v>753770</v>
      </c>
      <c r="C11" s="172" t="s">
        <v>1656</v>
      </c>
      <c r="D11" s="172" t="s">
        <v>1657</v>
      </c>
      <c r="E11" s="172"/>
      <c r="F11" s="172" t="s">
        <v>306</v>
      </c>
      <c r="G11" s="173">
        <v>45436</v>
      </c>
      <c r="H11" s="172" t="s">
        <v>1639</v>
      </c>
      <c r="I11" s="146" t="s">
        <v>25</v>
      </c>
      <c r="J11" s="146" t="s">
        <v>25</v>
      </c>
    </row>
    <row r="12" spans="1:18" x14ac:dyDescent="0.2">
      <c r="A12" s="172">
        <v>301</v>
      </c>
      <c r="B12" s="237">
        <v>753786</v>
      </c>
      <c r="C12" s="172" t="s">
        <v>1658</v>
      </c>
      <c r="D12" s="172" t="s">
        <v>1659</v>
      </c>
      <c r="E12" s="172"/>
      <c r="F12" s="172" t="s">
        <v>297</v>
      </c>
      <c r="G12" s="173">
        <v>45436</v>
      </c>
      <c r="H12" s="172" t="s">
        <v>1639</v>
      </c>
      <c r="I12" s="146" t="s">
        <v>25</v>
      </c>
      <c r="J12" s="146" t="s">
        <v>25</v>
      </c>
    </row>
    <row r="13" spans="1:18" x14ac:dyDescent="0.2">
      <c r="A13" s="172">
        <v>301</v>
      </c>
      <c r="B13" s="237">
        <v>753785</v>
      </c>
      <c r="C13" s="172" t="s">
        <v>1660</v>
      </c>
      <c r="D13" s="172" t="s">
        <v>1661</v>
      </c>
      <c r="E13" s="172"/>
      <c r="F13" s="172"/>
      <c r="G13" s="173"/>
      <c r="H13" s="172" t="s">
        <v>1639</v>
      </c>
      <c r="I13" s="146" t="s">
        <v>25</v>
      </c>
    </row>
    <row r="14" spans="1:18" x14ac:dyDescent="0.2">
      <c r="A14" s="172">
        <v>308</v>
      </c>
      <c r="B14" s="237">
        <v>753769</v>
      </c>
      <c r="C14" s="172" t="s">
        <v>1662</v>
      </c>
      <c r="D14" s="172" t="s">
        <v>1663</v>
      </c>
      <c r="E14" s="172"/>
      <c r="F14" s="172" t="s">
        <v>306</v>
      </c>
      <c r="G14" s="173">
        <v>45436</v>
      </c>
      <c r="H14" s="172" t="s">
        <v>1639</v>
      </c>
      <c r="I14" s="146" t="s">
        <v>25</v>
      </c>
    </row>
    <row r="15" spans="1:18" x14ac:dyDescent="0.2">
      <c r="A15" s="172">
        <v>312</v>
      </c>
      <c r="B15" s="237">
        <v>753777</v>
      </c>
      <c r="C15" s="172" t="s">
        <v>1664</v>
      </c>
      <c r="D15" s="172" t="s">
        <v>1665</v>
      </c>
      <c r="E15" s="172"/>
      <c r="F15" s="172" t="s">
        <v>389</v>
      </c>
      <c r="G15" s="173">
        <v>45436</v>
      </c>
      <c r="H15" s="172" t="s">
        <v>1639</v>
      </c>
      <c r="I15" s="146" t="s">
        <v>25</v>
      </c>
    </row>
    <row r="16" spans="1:18" x14ac:dyDescent="0.2">
      <c r="A16" s="172">
        <v>320</v>
      </c>
      <c r="B16" s="237">
        <v>753788</v>
      </c>
      <c r="C16" s="172" t="s">
        <v>1666</v>
      </c>
      <c r="D16" s="172" t="s">
        <v>1667</v>
      </c>
      <c r="E16" s="172"/>
      <c r="F16" s="172" t="s">
        <v>111</v>
      </c>
      <c r="G16" s="173">
        <v>45436</v>
      </c>
      <c r="H16" s="172" t="s">
        <v>1639</v>
      </c>
      <c r="I16" s="146" t="s">
        <v>25</v>
      </c>
    </row>
    <row r="17" spans="1:9" x14ac:dyDescent="0.2">
      <c r="A17" s="172">
        <v>322</v>
      </c>
      <c r="B17" s="237">
        <v>753781</v>
      </c>
      <c r="C17" s="172" t="s">
        <v>1668</v>
      </c>
      <c r="D17" s="172" t="s">
        <v>1669</v>
      </c>
      <c r="E17" s="172"/>
      <c r="F17" s="172" t="s">
        <v>251</v>
      </c>
      <c r="G17" s="173">
        <v>45436</v>
      </c>
      <c r="H17" s="172" t="s">
        <v>1639</v>
      </c>
      <c r="I17" s="146" t="s">
        <v>25</v>
      </c>
    </row>
    <row r="18" spans="1:9" x14ac:dyDescent="0.2">
      <c r="A18" s="172" t="s">
        <v>438</v>
      </c>
      <c r="B18" s="237">
        <v>753783</v>
      </c>
      <c r="C18" s="172" t="s">
        <v>1670</v>
      </c>
      <c r="D18" s="172" t="s">
        <v>1671</v>
      </c>
      <c r="E18" s="172"/>
      <c r="F18" s="172" t="s">
        <v>251</v>
      </c>
      <c r="G18" s="173">
        <v>45436</v>
      </c>
      <c r="H18" s="172" t="s">
        <v>1639</v>
      </c>
      <c r="I18" s="146" t="s">
        <v>25</v>
      </c>
    </row>
    <row r="19" spans="1:9" x14ac:dyDescent="0.2">
      <c r="A19" s="172" t="s">
        <v>541</v>
      </c>
      <c r="B19" s="172">
        <v>753790</v>
      </c>
      <c r="C19" s="172" t="s">
        <v>1672</v>
      </c>
      <c r="D19" s="172" t="s">
        <v>1671</v>
      </c>
      <c r="E19" s="172"/>
      <c r="F19" s="172" t="s">
        <v>111</v>
      </c>
      <c r="G19" s="173">
        <v>45436</v>
      </c>
      <c r="H19" s="172" t="s">
        <v>1639</v>
      </c>
      <c r="I19" s="146" t="s">
        <v>25</v>
      </c>
    </row>
    <row r="20" spans="1:9" x14ac:dyDescent="0.2">
      <c r="A20" s="172">
        <v>305</v>
      </c>
      <c r="B20" s="172">
        <v>753831</v>
      </c>
      <c r="C20" s="172" t="s">
        <v>1673</v>
      </c>
      <c r="D20" s="172" t="s">
        <v>1674</v>
      </c>
      <c r="E20" s="172"/>
      <c r="F20" s="172" t="s">
        <v>297</v>
      </c>
      <c r="G20" s="173">
        <v>45436</v>
      </c>
      <c r="H20" s="172" t="s">
        <v>1639</v>
      </c>
      <c r="I20" s="146" t="s">
        <v>25</v>
      </c>
    </row>
    <row r="21" spans="1:9" x14ac:dyDescent="0.2">
      <c r="A21" s="172" t="s">
        <v>543</v>
      </c>
      <c r="B21" s="172">
        <v>753792</v>
      </c>
      <c r="C21" s="172" t="s">
        <v>1675</v>
      </c>
      <c r="D21" s="172" t="s">
        <v>1676</v>
      </c>
      <c r="E21" s="172"/>
      <c r="F21" s="172" t="s">
        <v>111</v>
      </c>
      <c r="G21" s="173">
        <v>45436</v>
      </c>
      <c r="H21" s="172" t="s">
        <v>1639</v>
      </c>
      <c r="I21" s="146" t="s">
        <v>25</v>
      </c>
    </row>
    <row r="22" spans="1:9" x14ac:dyDescent="0.2">
      <c r="A22" s="172" t="s">
        <v>562</v>
      </c>
      <c r="B22" s="172">
        <v>753793</v>
      </c>
      <c r="C22" s="172" t="s">
        <v>1677</v>
      </c>
      <c r="D22" s="172" t="s">
        <v>1676</v>
      </c>
      <c r="E22" s="172"/>
      <c r="F22" s="172" t="s">
        <v>560</v>
      </c>
      <c r="G22" s="173">
        <v>45436</v>
      </c>
      <c r="H22" s="172" t="s">
        <v>1639</v>
      </c>
      <c r="I22" s="146" t="s">
        <v>25</v>
      </c>
    </row>
    <row r="23" spans="1:9" x14ac:dyDescent="0.2">
      <c r="A23" s="172">
        <v>311</v>
      </c>
      <c r="B23" s="172">
        <v>753795</v>
      </c>
      <c r="C23" s="172" t="s">
        <v>1678</v>
      </c>
      <c r="D23" s="172" t="s">
        <v>1679</v>
      </c>
      <c r="E23" s="172"/>
      <c r="F23" s="172" t="s">
        <v>389</v>
      </c>
      <c r="G23" s="173">
        <v>45436</v>
      </c>
      <c r="H23" s="172" t="s">
        <v>1639</v>
      </c>
      <c r="I23" s="146" t="s">
        <v>25</v>
      </c>
    </row>
    <row r="24" spans="1:9" x14ac:dyDescent="0.2">
      <c r="A24" s="172">
        <v>319</v>
      </c>
      <c r="B24" s="172">
        <v>753797</v>
      </c>
      <c r="C24" s="172" t="s">
        <v>1680</v>
      </c>
      <c r="D24" s="172" t="s">
        <v>1681</v>
      </c>
      <c r="E24" s="172"/>
      <c r="F24" s="172" t="s">
        <v>111</v>
      </c>
      <c r="G24" s="173">
        <v>45436</v>
      </c>
      <c r="H24" s="172" t="s">
        <v>1639</v>
      </c>
      <c r="I24" s="146" t="s">
        <v>25</v>
      </c>
    </row>
    <row r="25" spans="1:9" x14ac:dyDescent="0.2">
      <c r="A25" s="172" t="s">
        <v>413</v>
      </c>
      <c r="B25" s="172">
        <v>753830</v>
      </c>
      <c r="C25" s="172" t="s">
        <v>1682</v>
      </c>
      <c r="D25" s="172" t="s">
        <v>1683</v>
      </c>
      <c r="E25" s="172"/>
      <c r="F25" s="172" t="s">
        <v>122</v>
      </c>
      <c r="G25" s="173">
        <v>45436</v>
      </c>
      <c r="H25" s="172" t="s">
        <v>1639</v>
      </c>
      <c r="I25" s="146" t="s">
        <v>25</v>
      </c>
    </row>
    <row r="26" spans="1:9" x14ac:dyDescent="0.2">
      <c r="A26" s="172" t="s">
        <v>403</v>
      </c>
      <c r="B26" s="172">
        <v>753828</v>
      </c>
      <c r="C26" s="172" t="s">
        <v>1684</v>
      </c>
      <c r="D26" s="172" t="s">
        <v>1685</v>
      </c>
      <c r="E26" s="172"/>
      <c r="F26" s="172" t="s">
        <v>122</v>
      </c>
      <c r="G26" s="173">
        <v>45436</v>
      </c>
      <c r="H26" s="172" t="s">
        <v>1639</v>
      </c>
      <c r="I26" s="146" t="s">
        <v>25</v>
      </c>
    </row>
    <row r="27" spans="1:9" x14ac:dyDescent="0.2">
      <c r="A27" s="172" t="s">
        <v>412</v>
      </c>
      <c r="B27" s="172">
        <v>753829</v>
      </c>
      <c r="C27" s="172" t="s">
        <v>1686</v>
      </c>
      <c r="D27" s="172" t="s">
        <v>1687</v>
      </c>
      <c r="E27" s="172"/>
      <c r="F27" s="172" t="s">
        <v>122</v>
      </c>
      <c r="G27" s="173">
        <v>45436</v>
      </c>
      <c r="H27" s="172" t="s">
        <v>1639</v>
      </c>
      <c r="I27" s="146" t="s">
        <v>25</v>
      </c>
    </row>
    <row r="28" spans="1:9" x14ac:dyDescent="0.2">
      <c r="A28" s="172">
        <v>61</v>
      </c>
      <c r="B28" s="172">
        <v>692799</v>
      </c>
      <c r="C28" s="172"/>
      <c r="D28" s="172"/>
      <c r="E28" s="172"/>
      <c r="F28" s="176" t="s">
        <v>1688</v>
      </c>
      <c r="G28" s="173">
        <v>45496</v>
      </c>
      <c r="H28" s="172" t="s">
        <v>1689</v>
      </c>
    </row>
    <row r="29" spans="1:9" x14ac:dyDescent="0.2">
      <c r="A29" s="172">
        <v>64</v>
      </c>
      <c r="B29" s="172">
        <v>692820</v>
      </c>
      <c r="C29" s="172"/>
      <c r="D29" s="172"/>
      <c r="E29" s="172"/>
      <c r="F29" s="176" t="s">
        <v>1690</v>
      </c>
      <c r="G29" s="173">
        <v>45496</v>
      </c>
      <c r="H29" s="172" t="s">
        <v>1689</v>
      </c>
    </row>
    <row r="30" spans="1:9" x14ac:dyDescent="0.2">
      <c r="A30" s="172">
        <v>66</v>
      </c>
      <c r="B30" s="172">
        <v>692826</v>
      </c>
      <c r="C30" s="172"/>
      <c r="D30" s="172"/>
      <c r="E30" s="172"/>
      <c r="F30" s="176" t="s">
        <v>1691</v>
      </c>
      <c r="G30" s="173">
        <v>45496</v>
      </c>
      <c r="H30" s="172" t="s">
        <v>1689</v>
      </c>
    </row>
    <row r="31" spans="1:9" x14ac:dyDescent="0.2">
      <c r="A31" s="172">
        <v>69</v>
      </c>
      <c r="B31" s="172">
        <v>692821</v>
      </c>
      <c r="C31" s="172"/>
      <c r="D31" s="172"/>
      <c r="E31" s="172"/>
      <c r="F31" s="176" t="s">
        <v>1692</v>
      </c>
      <c r="G31" s="173">
        <v>45496</v>
      </c>
      <c r="H31" s="172" t="s">
        <v>1689</v>
      </c>
    </row>
    <row r="32" spans="1:9" x14ac:dyDescent="0.2">
      <c r="A32" s="172">
        <v>73</v>
      </c>
      <c r="B32" s="174">
        <v>692762</v>
      </c>
      <c r="C32" s="174"/>
      <c r="D32" s="174"/>
      <c r="E32" s="174"/>
      <c r="F32" s="176" t="s">
        <v>1692</v>
      </c>
      <c r="G32" s="173">
        <v>45496</v>
      </c>
      <c r="H32" s="172" t="s">
        <v>1689</v>
      </c>
    </row>
    <row r="33" spans="1:8" x14ac:dyDescent="0.2">
      <c r="A33" s="172">
        <v>74</v>
      </c>
      <c r="B33" s="172">
        <v>692795</v>
      </c>
      <c r="C33" s="172"/>
      <c r="D33" s="172"/>
      <c r="E33" s="172"/>
      <c r="F33" s="176" t="s">
        <v>1693</v>
      </c>
      <c r="G33" s="173">
        <v>45496</v>
      </c>
      <c r="H33" s="172" t="s">
        <v>1689</v>
      </c>
    </row>
    <row r="34" spans="1:8" x14ac:dyDescent="0.2">
      <c r="A34" s="172">
        <v>80</v>
      </c>
      <c r="B34" s="172">
        <v>692796</v>
      </c>
      <c r="C34" s="172"/>
      <c r="D34" s="172"/>
      <c r="E34" s="172"/>
      <c r="F34" s="176" t="s">
        <v>1694</v>
      </c>
      <c r="G34" s="173">
        <v>45496</v>
      </c>
      <c r="H34" s="172" t="s">
        <v>1689</v>
      </c>
    </row>
    <row r="35" spans="1:8" x14ac:dyDescent="0.2">
      <c r="A35" s="172">
        <v>83</v>
      </c>
      <c r="B35" s="172">
        <v>692800</v>
      </c>
      <c r="C35" s="172"/>
      <c r="D35" s="172"/>
      <c r="E35" s="172"/>
      <c r="F35" s="176" t="s">
        <v>1695</v>
      </c>
      <c r="G35" s="173">
        <v>45496</v>
      </c>
      <c r="H35" s="172" t="s">
        <v>1689</v>
      </c>
    </row>
    <row r="36" spans="1:8" x14ac:dyDescent="0.2">
      <c r="A36" s="172">
        <v>90</v>
      </c>
      <c r="B36" s="172">
        <v>692827</v>
      </c>
      <c r="C36" s="172"/>
      <c r="D36" s="172"/>
      <c r="E36" s="172"/>
      <c r="F36" s="176" t="s">
        <v>1696</v>
      </c>
      <c r="G36" s="173">
        <v>45496</v>
      </c>
      <c r="H36" s="172" t="s">
        <v>1689</v>
      </c>
    </row>
    <row r="37" spans="1:8" x14ac:dyDescent="0.2">
      <c r="A37" s="172">
        <v>96</v>
      </c>
      <c r="B37" s="172">
        <v>692834</v>
      </c>
      <c r="C37" s="172"/>
      <c r="D37" s="172"/>
      <c r="E37" s="172"/>
      <c r="F37" s="176" t="s">
        <v>1697</v>
      </c>
      <c r="G37" s="173">
        <v>45496</v>
      </c>
      <c r="H37" s="172" t="s">
        <v>1689</v>
      </c>
    </row>
    <row r="38" spans="1:8" x14ac:dyDescent="0.2">
      <c r="A38" s="172">
        <v>97</v>
      </c>
      <c r="B38" s="172">
        <v>692823</v>
      </c>
      <c r="C38" s="172"/>
      <c r="D38" s="172"/>
      <c r="E38" s="172"/>
      <c r="F38" s="176" t="s">
        <v>1697</v>
      </c>
      <c r="G38" s="173">
        <v>45496</v>
      </c>
      <c r="H38" s="172" t="s">
        <v>1689</v>
      </c>
    </row>
    <row r="39" spans="1:8" x14ac:dyDescent="0.2">
      <c r="A39" s="172">
        <v>100</v>
      </c>
      <c r="B39" s="172">
        <v>692798</v>
      </c>
      <c r="C39" s="172"/>
      <c r="D39" s="172"/>
      <c r="E39" s="172"/>
      <c r="F39" s="176" t="s">
        <v>1698</v>
      </c>
      <c r="G39" s="173">
        <v>45496</v>
      </c>
      <c r="H39" s="172" t="s">
        <v>1689</v>
      </c>
    </row>
    <row r="40" spans="1:8" x14ac:dyDescent="0.2">
      <c r="A40" s="172">
        <v>104</v>
      </c>
      <c r="B40" s="172">
        <v>692797</v>
      </c>
      <c r="C40" s="172"/>
      <c r="D40" s="172"/>
      <c r="E40" s="172"/>
      <c r="F40" s="176" t="s">
        <v>1699</v>
      </c>
      <c r="G40" s="173">
        <v>45496</v>
      </c>
      <c r="H40" s="172" t="s">
        <v>1689</v>
      </c>
    </row>
    <row r="41" spans="1:8" x14ac:dyDescent="0.2">
      <c r="A41" s="172">
        <v>106</v>
      </c>
      <c r="B41" s="172">
        <v>692824</v>
      </c>
      <c r="C41" s="172"/>
      <c r="D41" s="172"/>
      <c r="E41" s="172"/>
      <c r="F41" s="176" t="s">
        <v>1699</v>
      </c>
      <c r="G41" s="173">
        <v>45496</v>
      </c>
      <c r="H41" s="172" t="s">
        <v>1689</v>
      </c>
    </row>
    <row r="42" spans="1:8" x14ac:dyDescent="0.2">
      <c r="A42" s="172">
        <v>107</v>
      </c>
      <c r="B42" s="172">
        <v>692822</v>
      </c>
      <c r="C42" s="172"/>
      <c r="D42" s="172"/>
      <c r="E42" s="172"/>
      <c r="F42" s="176" t="s">
        <v>1700</v>
      </c>
      <c r="G42" s="173">
        <v>45496</v>
      </c>
      <c r="H42" s="172" t="s">
        <v>1689</v>
      </c>
    </row>
    <row r="43" spans="1:8" x14ac:dyDescent="0.2">
      <c r="A43" s="172">
        <v>113</v>
      </c>
      <c r="B43" s="172">
        <v>692825</v>
      </c>
      <c r="C43" s="172"/>
      <c r="D43" s="172"/>
      <c r="E43" s="172"/>
      <c r="F43" s="176" t="s">
        <v>1701</v>
      </c>
      <c r="G43" s="173">
        <v>45496</v>
      </c>
      <c r="H43" s="172" t="s">
        <v>1689</v>
      </c>
    </row>
    <row r="44" spans="1:8" x14ac:dyDescent="0.2">
      <c r="A44" s="172">
        <v>39</v>
      </c>
      <c r="B44" s="172">
        <v>692835</v>
      </c>
      <c r="C44" s="172"/>
      <c r="D44" s="172"/>
      <c r="E44" s="172"/>
      <c r="F44" s="176" t="s">
        <v>1702</v>
      </c>
      <c r="G44" s="173">
        <v>45496</v>
      </c>
      <c r="H44" s="172" t="s">
        <v>1689</v>
      </c>
    </row>
    <row r="45" spans="1:8" x14ac:dyDescent="0.2">
      <c r="A45" s="172">
        <v>30</v>
      </c>
      <c r="B45" s="172">
        <v>692783</v>
      </c>
      <c r="C45" s="172"/>
      <c r="D45" s="172"/>
      <c r="E45" s="172"/>
      <c r="F45" s="176" t="s">
        <v>1703</v>
      </c>
      <c r="G45" s="173">
        <v>45496</v>
      </c>
      <c r="H45" s="172" t="s">
        <v>1689</v>
      </c>
    </row>
    <row r="46" spans="1:8" x14ac:dyDescent="0.2">
      <c r="A46" s="176">
        <v>13</v>
      </c>
      <c r="B46" s="172">
        <v>692836</v>
      </c>
      <c r="C46" s="172"/>
      <c r="D46" s="172"/>
      <c r="E46" s="172"/>
      <c r="F46" s="176" t="s">
        <v>1704</v>
      </c>
      <c r="G46" s="173">
        <v>45496</v>
      </c>
      <c r="H46" s="172" t="s">
        <v>1689</v>
      </c>
    </row>
    <row r="47" spans="1:8" x14ac:dyDescent="0.2">
      <c r="A47" s="172">
        <v>11</v>
      </c>
      <c r="B47" s="172">
        <v>692782</v>
      </c>
      <c r="C47" s="172"/>
      <c r="D47" s="172"/>
      <c r="E47" s="172"/>
      <c r="F47" s="176" t="s">
        <v>1705</v>
      </c>
      <c r="G47" s="173">
        <v>45496</v>
      </c>
      <c r="H47" s="172" t="s">
        <v>1689</v>
      </c>
    </row>
    <row r="48" spans="1:8" ht="18.75" customHeight="1" x14ac:dyDescent="0.2">
      <c r="A48" s="172">
        <v>1</v>
      </c>
      <c r="B48" s="172">
        <v>692781</v>
      </c>
      <c r="C48" s="172"/>
      <c r="D48" s="172"/>
      <c r="E48" s="172"/>
      <c r="F48" s="180" t="s">
        <v>1706</v>
      </c>
      <c r="G48" s="173">
        <v>45496</v>
      </c>
      <c r="H48" s="172" t="s">
        <v>1689</v>
      </c>
    </row>
    <row r="49" spans="1:8" x14ac:dyDescent="0.2">
      <c r="A49" s="172">
        <v>119</v>
      </c>
      <c r="B49" s="172">
        <v>692794</v>
      </c>
      <c r="C49" s="172"/>
      <c r="D49" s="172"/>
      <c r="E49" s="172"/>
      <c r="F49" s="176" t="s">
        <v>1707</v>
      </c>
      <c r="G49" s="173">
        <v>45496</v>
      </c>
      <c r="H49" s="172" t="s">
        <v>1689</v>
      </c>
    </row>
    <row r="50" spans="1:8" x14ac:dyDescent="0.2">
      <c r="A50" s="172">
        <v>121</v>
      </c>
      <c r="B50" s="172">
        <v>692788</v>
      </c>
      <c r="C50" s="172"/>
      <c r="D50" s="172"/>
      <c r="E50" s="172"/>
      <c r="F50" s="176" t="s">
        <v>1708</v>
      </c>
      <c r="G50" s="173">
        <v>45496</v>
      </c>
      <c r="H50" s="172" t="s">
        <v>1689</v>
      </c>
    </row>
    <row r="51" spans="1:8" x14ac:dyDescent="0.2">
      <c r="A51" s="172">
        <v>122</v>
      </c>
      <c r="B51" s="172">
        <v>692818</v>
      </c>
      <c r="C51" s="172"/>
      <c r="D51" s="172"/>
      <c r="E51" s="172"/>
      <c r="F51" s="176" t="s">
        <v>1708</v>
      </c>
      <c r="G51" s="173">
        <v>45496</v>
      </c>
      <c r="H51" s="172" t="s">
        <v>1689</v>
      </c>
    </row>
    <row r="52" spans="1:8" x14ac:dyDescent="0.2">
      <c r="A52" s="172">
        <v>124</v>
      </c>
      <c r="B52" s="172">
        <v>692791</v>
      </c>
      <c r="C52" s="172"/>
      <c r="D52" s="172"/>
      <c r="E52" s="172"/>
      <c r="F52" s="176" t="s">
        <v>1709</v>
      </c>
      <c r="G52" s="173">
        <v>45496</v>
      </c>
      <c r="H52" s="172" t="s">
        <v>1689</v>
      </c>
    </row>
    <row r="53" spans="1:8" x14ac:dyDescent="0.2">
      <c r="A53" s="172">
        <v>127</v>
      </c>
      <c r="B53" s="175">
        <v>692790</v>
      </c>
      <c r="C53" s="175"/>
      <c r="D53" s="175"/>
      <c r="E53" s="175"/>
      <c r="F53" s="176" t="s">
        <v>1710</v>
      </c>
      <c r="G53" s="173">
        <v>45496</v>
      </c>
      <c r="H53" s="172" t="s">
        <v>1689</v>
      </c>
    </row>
    <row r="54" spans="1:8" x14ac:dyDescent="0.2">
      <c r="A54" s="172">
        <v>130</v>
      </c>
      <c r="B54" s="172">
        <v>692801</v>
      </c>
      <c r="C54" s="172"/>
      <c r="D54" s="172"/>
      <c r="E54" s="172"/>
      <c r="F54" s="176" t="s">
        <v>1711</v>
      </c>
      <c r="G54" s="173">
        <v>45496</v>
      </c>
      <c r="H54" s="172" t="s">
        <v>1689</v>
      </c>
    </row>
    <row r="55" spans="1:8" x14ac:dyDescent="0.2">
      <c r="A55" s="172">
        <v>133</v>
      </c>
      <c r="B55" s="172">
        <v>692789</v>
      </c>
      <c r="C55" s="172"/>
      <c r="D55" s="172"/>
      <c r="E55" s="172"/>
      <c r="F55" s="176" t="s">
        <v>1712</v>
      </c>
      <c r="G55" s="173">
        <v>45496</v>
      </c>
      <c r="H55" s="172" t="s">
        <v>1689</v>
      </c>
    </row>
    <row r="56" spans="1:8" x14ac:dyDescent="0.2">
      <c r="A56" s="172">
        <v>135</v>
      </c>
      <c r="B56" s="172">
        <v>692805</v>
      </c>
      <c r="C56" s="172"/>
      <c r="D56" s="172"/>
      <c r="E56" s="172"/>
      <c r="F56" s="176" t="s">
        <v>1713</v>
      </c>
      <c r="G56" s="173">
        <v>45496</v>
      </c>
      <c r="H56" s="172" t="s">
        <v>1689</v>
      </c>
    </row>
    <row r="57" spans="1:8" x14ac:dyDescent="0.2">
      <c r="A57" s="172">
        <v>141</v>
      </c>
      <c r="B57" s="172">
        <v>692778</v>
      </c>
      <c r="C57" s="172"/>
      <c r="D57" s="172"/>
      <c r="E57" s="172"/>
      <c r="F57" s="176" t="s">
        <v>1714</v>
      </c>
      <c r="G57" s="173">
        <v>45496</v>
      </c>
      <c r="H57" s="172" t="s">
        <v>1689</v>
      </c>
    </row>
    <row r="58" spans="1:8" x14ac:dyDescent="0.2">
      <c r="A58" s="172" t="s">
        <v>1715</v>
      </c>
      <c r="B58" s="172">
        <v>692779</v>
      </c>
      <c r="C58" s="172"/>
      <c r="D58" s="172"/>
      <c r="E58" s="172"/>
      <c r="F58" s="176" t="s">
        <v>1716</v>
      </c>
      <c r="G58" s="173">
        <v>45496</v>
      </c>
      <c r="H58" s="172" t="s">
        <v>1689</v>
      </c>
    </row>
    <row r="59" spans="1:8" x14ac:dyDescent="0.2">
      <c r="A59" s="172">
        <v>144</v>
      </c>
      <c r="B59" s="172">
        <v>692792</v>
      </c>
      <c r="C59" s="172"/>
      <c r="D59" s="172"/>
      <c r="E59" s="172"/>
      <c r="F59" s="176" t="s">
        <v>1717</v>
      </c>
      <c r="G59" s="173">
        <v>45496</v>
      </c>
      <c r="H59" s="172" t="s">
        <v>1689</v>
      </c>
    </row>
    <row r="60" spans="1:8" x14ac:dyDescent="0.2">
      <c r="A60" s="172">
        <v>145</v>
      </c>
      <c r="B60" s="172">
        <v>692806</v>
      </c>
      <c r="C60" s="172"/>
      <c r="D60" s="172"/>
      <c r="E60" s="172"/>
      <c r="F60" s="176" t="s">
        <v>1717</v>
      </c>
      <c r="G60" s="173">
        <v>45496</v>
      </c>
      <c r="H60" s="172" t="s">
        <v>1689</v>
      </c>
    </row>
    <row r="61" spans="1:8" x14ac:dyDescent="0.2">
      <c r="A61" s="172">
        <v>147</v>
      </c>
      <c r="B61" s="172">
        <v>692784</v>
      </c>
      <c r="C61" s="172"/>
      <c r="D61" s="172"/>
      <c r="E61" s="172"/>
      <c r="F61" s="176" t="s">
        <v>1718</v>
      </c>
      <c r="G61" s="173">
        <v>45496</v>
      </c>
      <c r="H61" s="172" t="s">
        <v>1689</v>
      </c>
    </row>
    <row r="62" spans="1:8" x14ac:dyDescent="0.2">
      <c r="A62" s="172">
        <v>154</v>
      </c>
      <c r="B62" s="172">
        <v>692785</v>
      </c>
      <c r="C62" s="172"/>
      <c r="D62" s="172"/>
      <c r="E62" s="172"/>
      <c r="F62" s="176" t="s">
        <v>1719</v>
      </c>
      <c r="G62" s="173">
        <v>45496</v>
      </c>
      <c r="H62" s="172" t="s">
        <v>1689</v>
      </c>
    </row>
    <row r="63" spans="1:8" x14ac:dyDescent="0.2">
      <c r="A63" s="172">
        <v>158</v>
      </c>
      <c r="B63" s="172">
        <v>692776</v>
      </c>
      <c r="C63" s="172"/>
      <c r="D63" s="172"/>
      <c r="E63" s="172"/>
      <c r="F63" s="176" t="s">
        <v>1720</v>
      </c>
      <c r="G63" s="173">
        <v>45496</v>
      </c>
      <c r="H63" s="172" t="s">
        <v>1689</v>
      </c>
    </row>
    <row r="64" spans="1:8" x14ac:dyDescent="0.2">
      <c r="A64" s="172">
        <v>161</v>
      </c>
      <c r="B64" s="172">
        <v>692787</v>
      </c>
      <c r="C64" s="172"/>
      <c r="D64" s="172"/>
      <c r="E64" s="172"/>
      <c r="F64" s="176" t="s">
        <v>1721</v>
      </c>
      <c r="G64" s="173">
        <v>45496</v>
      </c>
      <c r="H64" s="172" t="s">
        <v>1689</v>
      </c>
    </row>
    <row r="65" spans="1:8" x14ac:dyDescent="0.2">
      <c r="A65" s="172">
        <v>171</v>
      </c>
      <c r="B65" s="172">
        <v>692786</v>
      </c>
      <c r="C65" s="172"/>
      <c r="D65" s="172"/>
      <c r="E65" s="172"/>
      <c r="F65" s="176" t="s">
        <v>1722</v>
      </c>
      <c r="G65" s="173">
        <v>45496</v>
      </c>
      <c r="H65" s="172" t="s">
        <v>1689</v>
      </c>
    </row>
    <row r="66" spans="1:8" x14ac:dyDescent="0.2">
      <c r="A66" s="172">
        <v>174</v>
      </c>
      <c r="B66" s="172">
        <v>692780</v>
      </c>
      <c r="C66" s="172"/>
      <c r="D66" s="172"/>
      <c r="E66" s="172"/>
      <c r="F66" s="176" t="s">
        <v>1723</v>
      </c>
      <c r="G66" s="173">
        <v>45496</v>
      </c>
      <c r="H66" s="172" t="s">
        <v>1689</v>
      </c>
    </row>
    <row r="67" spans="1:8" x14ac:dyDescent="0.2">
      <c r="A67" s="172">
        <v>77</v>
      </c>
      <c r="B67" s="172">
        <v>725323</v>
      </c>
      <c r="C67" s="172"/>
      <c r="D67" s="172"/>
      <c r="E67" s="172">
        <v>725336</v>
      </c>
      <c r="F67" s="176" t="s">
        <v>1724</v>
      </c>
      <c r="G67" s="173">
        <v>45649</v>
      </c>
      <c r="H67" s="172" t="s">
        <v>1725</v>
      </c>
    </row>
    <row r="68" spans="1:8" x14ac:dyDescent="0.2">
      <c r="A68" s="172"/>
      <c r="B68" s="172">
        <v>725337</v>
      </c>
      <c r="C68" s="172"/>
      <c r="D68" s="172"/>
      <c r="E68" s="172">
        <v>725395</v>
      </c>
      <c r="F68" s="172"/>
      <c r="G68" s="173">
        <v>45649</v>
      </c>
      <c r="H68" s="172" t="s">
        <v>1725</v>
      </c>
    </row>
    <row r="69" spans="1:8" ht="17" x14ac:dyDescent="0.2">
      <c r="A69" s="172">
        <v>151</v>
      </c>
      <c r="B69" s="181">
        <v>725786</v>
      </c>
      <c r="C69" s="182"/>
      <c r="D69" s="182"/>
      <c r="E69" s="182">
        <v>725883</v>
      </c>
      <c r="F69" s="183" t="s">
        <v>1726</v>
      </c>
      <c r="G69" s="173">
        <v>45649</v>
      </c>
      <c r="H69" s="172" t="s">
        <v>1725</v>
      </c>
    </row>
    <row r="70" spans="1:8" ht="17" x14ac:dyDescent="0.2">
      <c r="A70" s="172">
        <v>154</v>
      </c>
      <c r="B70" s="177">
        <v>725884</v>
      </c>
      <c r="C70" s="178"/>
      <c r="D70" s="178"/>
      <c r="E70" s="178">
        <v>725941</v>
      </c>
      <c r="F70" s="179" t="s">
        <v>1727</v>
      </c>
      <c r="G70" s="173">
        <v>45649</v>
      </c>
      <c r="H70" s="172" t="s">
        <v>1725</v>
      </c>
    </row>
    <row r="71" spans="1:8" ht="17" x14ac:dyDescent="0.2">
      <c r="A71" s="172">
        <v>157</v>
      </c>
      <c r="B71" s="177">
        <v>725637</v>
      </c>
      <c r="C71" s="178"/>
      <c r="D71" s="178"/>
      <c r="E71" s="178" t="s">
        <v>1728</v>
      </c>
      <c r="F71" s="179" t="s">
        <v>1729</v>
      </c>
      <c r="G71" s="173">
        <v>45649</v>
      </c>
      <c r="H71" s="172" t="s">
        <v>1725</v>
      </c>
    </row>
    <row r="72" spans="1:8" ht="17" x14ac:dyDescent="0.2">
      <c r="A72" s="172"/>
      <c r="B72" s="177">
        <v>726637</v>
      </c>
      <c r="C72" s="178"/>
      <c r="D72" s="178"/>
      <c r="E72" s="178">
        <v>726727</v>
      </c>
      <c r="F72" s="179" t="s">
        <v>1728</v>
      </c>
      <c r="G72" s="172"/>
      <c r="H72" s="172"/>
    </row>
    <row r="73" spans="1:8" ht="17" x14ac:dyDescent="0.2">
      <c r="A73" s="172">
        <v>163</v>
      </c>
      <c r="B73" s="177">
        <v>725396</v>
      </c>
      <c r="C73" s="178"/>
      <c r="D73" s="178"/>
      <c r="E73" s="178">
        <v>725488</v>
      </c>
      <c r="F73" s="179" t="s">
        <v>1730</v>
      </c>
      <c r="G73" s="173">
        <v>45649</v>
      </c>
      <c r="H73" s="172" t="s">
        <v>1725</v>
      </c>
    </row>
    <row r="74" spans="1:8" ht="17" x14ac:dyDescent="0.2">
      <c r="A74" s="172">
        <v>166</v>
      </c>
      <c r="B74" s="177">
        <v>725492</v>
      </c>
      <c r="C74" s="178"/>
      <c r="D74" s="178"/>
      <c r="E74" s="178">
        <v>725582</v>
      </c>
      <c r="F74" s="179" t="s">
        <v>1731</v>
      </c>
      <c r="G74" s="173">
        <v>45649</v>
      </c>
      <c r="H74" s="172" t="s">
        <v>1725</v>
      </c>
    </row>
    <row r="75" spans="1:8" ht="17" x14ac:dyDescent="0.2">
      <c r="A75" s="172">
        <v>167</v>
      </c>
      <c r="B75" s="177">
        <v>725586</v>
      </c>
      <c r="C75" s="178"/>
      <c r="D75" s="178"/>
      <c r="E75" s="178">
        <v>725695</v>
      </c>
      <c r="F75" s="179" t="s">
        <v>1732</v>
      </c>
      <c r="G75" s="173">
        <v>45649</v>
      </c>
      <c r="H75" s="172" t="s">
        <v>1725</v>
      </c>
    </row>
    <row r="76" spans="1:8" ht="17" x14ac:dyDescent="0.2">
      <c r="A76" s="172">
        <v>171</v>
      </c>
      <c r="B76" s="177">
        <v>725696</v>
      </c>
      <c r="C76" s="178"/>
      <c r="D76" s="178"/>
      <c r="E76" s="178">
        <v>725785</v>
      </c>
      <c r="F76" s="179" t="s">
        <v>1733</v>
      </c>
      <c r="G76" s="173">
        <v>45649</v>
      </c>
      <c r="H76" s="172" t="s">
        <v>1725</v>
      </c>
    </row>
    <row r="77" spans="1:8" x14ac:dyDescent="0.2">
      <c r="A77" s="172"/>
      <c r="B77" s="172"/>
      <c r="C77" s="172"/>
      <c r="D77" s="172"/>
      <c r="E77" s="172"/>
      <c r="F77" s="172"/>
      <c r="G77" s="172"/>
      <c r="H77" s="172"/>
    </row>
    <row r="78" spans="1:8" x14ac:dyDescent="0.2">
      <c r="A78" s="172"/>
      <c r="B78" s="172"/>
      <c r="C78" s="172"/>
      <c r="D78" s="172"/>
      <c r="E78" s="172"/>
      <c r="F78" s="172"/>
      <c r="G78" s="172"/>
      <c r="H78" s="172"/>
    </row>
    <row r="79" spans="1:8" x14ac:dyDescent="0.2">
      <c r="A79" s="146">
        <v>302</v>
      </c>
      <c r="B79" s="146">
        <v>753764</v>
      </c>
      <c r="C79" s="146" t="s">
        <v>1734</v>
      </c>
      <c r="D79" s="146" t="s">
        <v>1735</v>
      </c>
    </row>
    <row r="80" spans="1:8" x14ac:dyDescent="0.2">
      <c r="A80" s="146">
        <v>302</v>
      </c>
      <c r="B80" s="146">
        <v>753765</v>
      </c>
      <c r="C80" s="146" t="s">
        <v>1734</v>
      </c>
      <c r="D80" s="146" t="s">
        <v>1736</v>
      </c>
    </row>
    <row r="81" spans="1:7" x14ac:dyDescent="0.2">
      <c r="A81" s="172">
        <v>320</v>
      </c>
      <c r="B81" s="172">
        <v>753787</v>
      </c>
      <c r="C81" s="172" t="s">
        <v>1737</v>
      </c>
      <c r="D81" s="172" t="s">
        <v>1738</v>
      </c>
    </row>
    <row r="82" spans="1:7" x14ac:dyDescent="0.2">
      <c r="A82" s="52">
        <v>259</v>
      </c>
      <c r="C82" s="1" t="s">
        <v>1739</v>
      </c>
    </row>
    <row r="83" spans="1:7" x14ac:dyDescent="0.2">
      <c r="A83" s="52">
        <v>260</v>
      </c>
      <c r="C83" s="1" t="s">
        <v>1739</v>
      </c>
    </row>
    <row r="84" spans="1:7" x14ac:dyDescent="0.2">
      <c r="A84" s="7">
        <v>382</v>
      </c>
      <c r="C84" s="1" t="s">
        <v>1740</v>
      </c>
    </row>
    <row r="85" spans="1:7" x14ac:dyDescent="0.2">
      <c r="A85" s="7">
        <v>382</v>
      </c>
      <c r="B85" s="1">
        <v>810531</v>
      </c>
      <c r="C85" s="1" t="s">
        <v>1740</v>
      </c>
      <c r="F85" s="1" t="s">
        <v>1740</v>
      </c>
      <c r="G85" s="1" t="s">
        <v>1741</v>
      </c>
    </row>
    <row r="86" spans="1:7" x14ac:dyDescent="0.2">
      <c r="A86" s="7">
        <v>382</v>
      </c>
      <c r="B86" s="1">
        <v>831532</v>
      </c>
      <c r="C86" s="1" t="s">
        <v>1740</v>
      </c>
      <c r="F86" s="1" t="s">
        <v>1740</v>
      </c>
      <c r="G86" s="1" t="s">
        <v>1741</v>
      </c>
    </row>
    <row r="87" spans="1:7" x14ac:dyDescent="0.2">
      <c r="A87" s="61">
        <v>155</v>
      </c>
      <c r="B87" s="1">
        <v>810533</v>
      </c>
      <c r="C87" s="61" t="s">
        <v>1494</v>
      </c>
      <c r="F87" s="61" t="s">
        <v>1494</v>
      </c>
      <c r="G87" s="1" t="s">
        <v>1741</v>
      </c>
    </row>
    <row r="88" spans="1:7" x14ac:dyDescent="0.2">
      <c r="A88" s="61">
        <v>155</v>
      </c>
      <c r="B88" s="1">
        <v>810534</v>
      </c>
      <c r="C88" s="61" t="s">
        <v>1494</v>
      </c>
      <c r="F88" s="61" t="s">
        <v>1494</v>
      </c>
      <c r="G88" s="1" t="s">
        <v>1741</v>
      </c>
    </row>
    <row r="89" spans="1:7" x14ac:dyDescent="0.2">
      <c r="A89" s="61">
        <v>155</v>
      </c>
      <c r="B89" s="1">
        <v>810535</v>
      </c>
      <c r="C89" s="61" t="s">
        <v>1494</v>
      </c>
      <c r="F89" s="61" t="s">
        <v>1494</v>
      </c>
      <c r="G89" s="1" t="s">
        <v>1741</v>
      </c>
    </row>
    <row r="90" spans="1:7" ht="17" x14ac:dyDescent="0.2">
      <c r="A90" s="61">
        <v>201</v>
      </c>
      <c r="B90" s="1">
        <v>810536</v>
      </c>
      <c r="C90" s="60" t="s">
        <v>1495</v>
      </c>
      <c r="F90" s="60" t="s">
        <v>1495</v>
      </c>
      <c r="G90" s="1" t="s">
        <v>1741</v>
      </c>
    </row>
    <row r="91" spans="1:7" ht="17" x14ac:dyDescent="0.2">
      <c r="A91" s="61">
        <v>158</v>
      </c>
      <c r="B91" s="1">
        <v>810537</v>
      </c>
      <c r="C91" s="60" t="s">
        <v>1496</v>
      </c>
      <c r="F91" s="60" t="s">
        <v>1496</v>
      </c>
      <c r="G91" s="1" t="s">
        <v>1741</v>
      </c>
    </row>
    <row r="92" spans="1:7" x14ac:dyDescent="0.2">
      <c r="A92" s="1" t="s">
        <v>1742</v>
      </c>
      <c r="B92" s="1">
        <v>810538</v>
      </c>
      <c r="C92" s="1" t="s">
        <v>1743</v>
      </c>
      <c r="F92" s="1" t="s">
        <v>1743</v>
      </c>
      <c r="G92" s="1" t="s">
        <v>1741</v>
      </c>
    </row>
    <row r="93" spans="1:7" ht="17" x14ac:dyDescent="0.2">
      <c r="A93" s="61">
        <v>415</v>
      </c>
      <c r="B93" s="1">
        <v>810539</v>
      </c>
      <c r="C93" s="60" t="s">
        <v>1497</v>
      </c>
      <c r="F93" s="60" t="s">
        <v>1497</v>
      </c>
      <c r="G93" s="1" t="s">
        <v>1741</v>
      </c>
    </row>
    <row r="94" spans="1:7" ht="17" x14ac:dyDescent="0.2">
      <c r="A94" s="61">
        <v>400</v>
      </c>
      <c r="B94" s="1">
        <v>810540</v>
      </c>
      <c r="C94" s="60" t="s">
        <v>1498</v>
      </c>
      <c r="F94" s="60" t="s">
        <v>1498</v>
      </c>
      <c r="G94" s="1" t="s">
        <v>1741</v>
      </c>
    </row>
    <row r="95" spans="1:7" x14ac:dyDescent="0.2">
      <c r="A95" s="1">
        <v>401</v>
      </c>
      <c r="B95" s="1">
        <v>810541</v>
      </c>
      <c r="C95" s="1" t="s">
        <v>1498</v>
      </c>
      <c r="F95" s="1" t="s">
        <v>1498</v>
      </c>
      <c r="G95" s="1" t="s">
        <v>1741</v>
      </c>
    </row>
    <row r="96" spans="1:7" ht="17" x14ac:dyDescent="0.2">
      <c r="A96" s="61">
        <v>403</v>
      </c>
      <c r="B96" s="1">
        <v>810542</v>
      </c>
      <c r="C96" s="60" t="s">
        <v>1499</v>
      </c>
      <c r="F96" s="60" t="s">
        <v>1499</v>
      </c>
      <c r="G96" s="1" t="s">
        <v>1741</v>
      </c>
    </row>
    <row r="97" spans="1:7" ht="17" x14ac:dyDescent="0.2">
      <c r="A97" s="61">
        <v>404</v>
      </c>
      <c r="B97" s="1">
        <v>810543</v>
      </c>
      <c r="C97" s="60" t="s">
        <v>1499</v>
      </c>
      <c r="F97" s="60" t="s">
        <v>1499</v>
      </c>
      <c r="G97" s="1" t="s">
        <v>1741</v>
      </c>
    </row>
    <row r="98" spans="1:7" ht="17" x14ac:dyDescent="0.2">
      <c r="A98" s="61">
        <v>405</v>
      </c>
      <c r="B98" s="1">
        <v>810544</v>
      </c>
      <c r="C98" s="60" t="s">
        <v>1501</v>
      </c>
      <c r="F98" s="60" t="s">
        <v>1501</v>
      </c>
      <c r="G98" s="1" t="s">
        <v>1741</v>
      </c>
    </row>
    <row r="99" spans="1:7" ht="17" x14ac:dyDescent="0.2">
      <c r="A99" s="61">
        <v>406</v>
      </c>
      <c r="B99" s="1">
        <v>810545</v>
      </c>
      <c r="C99" s="60" t="s">
        <v>1501</v>
      </c>
      <c r="F99" s="60" t="s">
        <v>1501</v>
      </c>
      <c r="G99" s="1" t="s">
        <v>1741</v>
      </c>
    </row>
    <row r="100" spans="1:7" ht="17" x14ac:dyDescent="0.2">
      <c r="A100" s="61">
        <v>407</v>
      </c>
      <c r="B100" s="1">
        <v>810546</v>
      </c>
      <c r="C100" s="60" t="s">
        <v>1502</v>
      </c>
      <c r="F100" s="60" t="s">
        <v>1502</v>
      </c>
      <c r="G100" s="1" t="s">
        <v>1741</v>
      </c>
    </row>
    <row r="101" spans="1:7" x14ac:dyDescent="0.2">
      <c r="A101" s="61"/>
      <c r="B101" s="1">
        <v>810547</v>
      </c>
      <c r="C101" s="61" t="s">
        <v>1503</v>
      </c>
      <c r="F101" s="61" t="s">
        <v>1503</v>
      </c>
      <c r="G101" s="1" t="s">
        <v>1741</v>
      </c>
    </row>
    <row r="102" spans="1:7" ht="34" x14ac:dyDescent="0.2">
      <c r="A102" s="61"/>
      <c r="B102" s="1">
        <v>810548</v>
      </c>
      <c r="C102" s="60" t="s">
        <v>1504</v>
      </c>
      <c r="F102" s="60" t="s">
        <v>1504</v>
      </c>
      <c r="G102" s="1" t="s">
        <v>1741</v>
      </c>
    </row>
    <row r="103" spans="1:7" ht="34" x14ac:dyDescent="0.2">
      <c r="A103" s="61"/>
      <c r="B103" s="1">
        <v>810549</v>
      </c>
      <c r="C103" s="60" t="s">
        <v>1505</v>
      </c>
      <c r="F103" s="60" t="s">
        <v>1505</v>
      </c>
      <c r="G103" s="1" t="s">
        <v>1741</v>
      </c>
    </row>
    <row r="104" spans="1:7" ht="34" x14ac:dyDescent="0.2">
      <c r="A104" s="61"/>
      <c r="B104" s="1">
        <v>810550</v>
      </c>
      <c r="C104" s="60" t="s">
        <v>1506</v>
      </c>
      <c r="F104" s="60" t="s">
        <v>1506</v>
      </c>
      <c r="G104" s="1" t="s">
        <v>1741</v>
      </c>
    </row>
    <row r="105" spans="1:7" ht="17" x14ac:dyDescent="0.2">
      <c r="A105" s="7">
        <v>408</v>
      </c>
      <c r="B105" s="1">
        <v>810551</v>
      </c>
      <c r="C105" s="60" t="s">
        <v>1502</v>
      </c>
      <c r="F105" s="60" t="s">
        <v>1502</v>
      </c>
      <c r="G105" s="1" t="s">
        <v>1741</v>
      </c>
    </row>
    <row r="106" spans="1:7" ht="17" x14ac:dyDescent="0.2">
      <c r="A106" s="7">
        <v>409</v>
      </c>
      <c r="B106" s="1">
        <v>810552</v>
      </c>
      <c r="C106" s="60" t="s">
        <v>1502</v>
      </c>
      <c r="F106" s="60" t="s">
        <v>1502</v>
      </c>
      <c r="G106" s="1" t="s">
        <v>1741</v>
      </c>
    </row>
    <row r="107" spans="1:7" ht="17" x14ac:dyDescent="0.2">
      <c r="A107" s="7">
        <v>409</v>
      </c>
      <c r="B107" s="1">
        <v>810553</v>
      </c>
      <c r="C107" s="60" t="s">
        <v>1507</v>
      </c>
      <c r="F107" s="60" t="s">
        <v>1507</v>
      </c>
      <c r="G107" s="1" t="s">
        <v>1741</v>
      </c>
    </row>
    <row r="108" spans="1:7" ht="17" x14ac:dyDescent="0.2">
      <c r="A108" s="7">
        <v>410</v>
      </c>
      <c r="B108" s="1">
        <v>810554</v>
      </c>
      <c r="C108" s="60" t="s">
        <v>1507</v>
      </c>
      <c r="F108" s="60" t="s">
        <v>1507</v>
      </c>
      <c r="G108" s="1" t="s">
        <v>1741</v>
      </c>
    </row>
    <row r="109" spans="1:7" ht="17" x14ac:dyDescent="0.2">
      <c r="A109" s="7">
        <v>411</v>
      </c>
      <c r="B109" s="1">
        <v>810555</v>
      </c>
      <c r="C109" s="79" t="s">
        <v>1508</v>
      </c>
      <c r="F109" s="79" t="s">
        <v>1508</v>
      </c>
      <c r="G109" s="1" t="s">
        <v>1741</v>
      </c>
    </row>
    <row r="110" spans="1:7" x14ac:dyDescent="0.2">
      <c r="A110" s="7">
        <v>412</v>
      </c>
      <c r="B110" s="1">
        <v>810556</v>
      </c>
      <c r="C110" s="79"/>
      <c r="F110" s="79"/>
      <c r="G110" s="1" t="s">
        <v>1741</v>
      </c>
    </row>
    <row r="111" spans="1:7" ht="17" x14ac:dyDescent="0.2">
      <c r="A111" s="7">
        <v>413</v>
      </c>
      <c r="B111" s="1"/>
      <c r="C111" s="79" t="s">
        <v>1509</v>
      </c>
      <c r="F111" s="79" t="s">
        <v>1509</v>
      </c>
      <c r="G111" s="1"/>
    </row>
    <row r="112" spans="1:7" ht="17" x14ac:dyDescent="0.2">
      <c r="A112" s="7">
        <v>414</v>
      </c>
      <c r="B112" s="1">
        <v>810557</v>
      </c>
      <c r="C112" s="79" t="s">
        <v>1509</v>
      </c>
      <c r="F112" s="79" t="s">
        <v>1509</v>
      </c>
      <c r="G112" s="1" t="s">
        <v>1741</v>
      </c>
    </row>
    <row r="113" spans="1:7" ht="17" x14ac:dyDescent="0.2">
      <c r="A113" s="7">
        <v>414</v>
      </c>
      <c r="B113" s="1">
        <v>810558</v>
      </c>
      <c r="C113" s="79" t="s">
        <v>1509</v>
      </c>
      <c r="F113" s="79" t="s">
        <v>1509</v>
      </c>
      <c r="G113" s="1" t="s">
        <v>1741</v>
      </c>
    </row>
    <row r="114" spans="1:7" ht="17" x14ac:dyDescent="0.2">
      <c r="A114" s="7">
        <v>414</v>
      </c>
      <c r="B114" s="1">
        <v>810559</v>
      </c>
      <c r="C114" s="79" t="s">
        <v>1509</v>
      </c>
      <c r="F114" s="79" t="s">
        <v>1509</v>
      </c>
      <c r="G114" s="1" t="s">
        <v>1741</v>
      </c>
    </row>
    <row r="115" spans="1:7" x14ac:dyDescent="0.2">
      <c r="A115" s="7">
        <v>416</v>
      </c>
      <c r="B115" s="1">
        <v>810560</v>
      </c>
      <c r="C115" s="79"/>
      <c r="F115" s="79"/>
      <c r="G115" s="1" t="s">
        <v>1741</v>
      </c>
    </row>
    <row r="116" spans="1:7" x14ac:dyDescent="0.2">
      <c r="A116" s="7">
        <v>417</v>
      </c>
      <c r="B116" s="1"/>
      <c r="C116" s="79"/>
      <c r="F116" s="79"/>
      <c r="G116" s="1"/>
    </row>
    <row r="117" spans="1:7" ht="17" x14ac:dyDescent="0.2">
      <c r="A117" s="7">
        <v>418</v>
      </c>
      <c r="B117" s="1"/>
      <c r="C117" s="79" t="s">
        <v>1510</v>
      </c>
      <c r="F117" s="79" t="s">
        <v>1510</v>
      </c>
      <c r="G117" s="1"/>
    </row>
    <row r="118" spans="1:7" ht="17" x14ac:dyDescent="0.2">
      <c r="A118" s="7">
        <v>418</v>
      </c>
      <c r="B118" s="1">
        <v>810561</v>
      </c>
      <c r="C118" s="79" t="s">
        <v>1510</v>
      </c>
      <c r="F118" s="79" t="s">
        <v>1510</v>
      </c>
      <c r="G118" s="1" t="s">
        <v>1741</v>
      </c>
    </row>
    <row r="119" spans="1:7" ht="17" x14ac:dyDescent="0.2">
      <c r="A119" s="7">
        <v>418</v>
      </c>
      <c r="B119" s="1">
        <v>810562</v>
      </c>
      <c r="C119" s="79" t="s">
        <v>1510</v>
      </c>
      <c r="F119" s="79" t="s">
        <v>1510</v>
      </c>
      <c r="G119" s="1" t="s">
        <v>1741</v>
      </c>
    </row>
    <row r="120" spans="1:7" x14ac:dyDescent="0.2">
      <c r="A120" s="7">
        <v>419</v>
      </c>
      <c r="B120" s="1">
        <v>810563</v>
      </c>
      <c r="C120" s="79"/>
      <c r="F120" s="79"/>
      <c r="G120" s="1" t="s">
        <v>1741</v>
      </c>
    </row>
    <row r="121" spans="1:7" ht="17" x14ac:dyDescent="0.2">
      <c r="A121" s="7">
        <v>420</v>
      </c>
      <c r="B121" s="1"/>
      <c r="C121" s="79" t="s">
        <v>1510</v>
      </c>
      <c r="F121" s="79" t="s">
        <v>1510</v>
      </c>
      <c r="G121" s="1"/>
    </row>
    <row r="122" spans="1:7" ht="34" x14ac:dyDescent="0.2">
      <c r="A122" s="1"/>
      <c r="B122" s="1">
        <v>810564</v>
      </c>
      <c r="C122" s="79" t="s">
        <v>1512</v>
      </c>
      <c r="F122" s="79" t="s">
        <v>1512</v>
      </c>
      <c r="G122" s="1" t="s">
        <v>1741</v>
      </c>
    </row>
    <row r="123" spans="1:7" ht="34" x14ac:dyDescent="0.2">
      <c r="A123" s="1"/>
      <c r="B123" s="1">
        <v>810565</v>
      </c>
      <c r="C123" s="79" t="s">
        <v>1512</v>
      </c>
      <c r="F123" s="79" t="s">
        <v>1512</v>
      </c>
      <c r="G123" s="1" t="s">
        <v>1744</v>
      </c>
    </row>
    <row r="124" spans="1:7" ht="34" x14ac:dyDescent="0.2">
      <c r="A124" s="1"/>
      <c r="B124" s="1">
        <v>810566</v>
      </c>
      <c r="C124" s="79" t="s">
        <v>1512</v>
      </c>
      <c r="F124" s="79" t="s">
        <v>1512</v>
      </c>
      <c r="G124" s="1" t="s">
        <v>1744</v>
      </c>
    </row>
    <row r="125" spans="1:7" ht="34" x14ac:dyDescent="0.2">
      <c r="A125" s="1"/>
      <c r="B125" s="1">
        <v>810567</v>
      </c>
      <c r="C125" s="79" t="s">
        <v>1512</v>
      </c>
      <c r="F125" s="79" t="s">
        <v>1512</v>
      </c>
      <c r="G125" s="1" t="s">
        <v>1744</v>
      </c>
    </row>
    <row r="126" spans="1:7" ht="17" x14ac:dyDescent="0.2">
      <c r="A126" s="1"/>
      <c r="B126" s="1">
        <v>810568</v>
      </c>
      <c r="C126" s="79" t="s">
        <v>1514</v>
      </c>
      <c r="F126" s="79" t="s">
        <v>1514</v>
      </c>
      <c r="G126" s="1" t="s">
        <v>1744</v>
      </c>
    </row>
    <row r="127" spans="1:7" ht="17" x14ac:dyDescent="0.2">
      <c r="A127" s="1"/>
      <c r="B127" s="1">
        <v>810569</v>
      </c>
      <c r="C127" s="79" t="s">
        <v>1514</v>
      </c>
      <c r="F127" s="79" t="s">
        <v>1514</v>
      </c>
      <c r="G127" s="1" t="s">
        <v>1744</v>
      </c>
    </row>
    <row r="128" spans="1:7" ht="17" x14ac:dyDescent="0.2">
      <c r="A128" s="1"/>
      <c r="B128" s="1">
        <v>810570</v>
      </c>
      <c r="C128" s="79" t="s">
        <v>1514</v>
      </c>
      <c r="F128" s="79" t="s">
        <v>1514</v>
      </c>
      <c r="G128" s="1" t="s">
        <v>1744</v>
      </c>
    </row>
    <row r="129" spans="1:7" ht="17" x14ac:dyDescent="0.2">
      <c r="A129" s="1"/>
      <c r="B129" s="1">
        <v>810571</v>
      </c>
      <c r="C129" s="79" t="s">
        <v>1514</v>
      </c>
      <c r="F129" s="79" t="s">
        <v>1514</v>
      </c>
      <c r="G129" s="1" t="s">
        <v>1744</v>
      </c>
    </row>
    <row r="130" spans="1:7" ht="17" x14ac:dyDescent="0.2">
      <c r="A130" s="1"/>
      <c r="B130" s="1">
        <v>810572</v>
      </c>
      <c r="C130" s="79" t="s">
        <v>1515</v>
      </c>
      <c r="F130" s="79" t="s">
        <v>1515</v>
      </c>
      <c r="G130" s="1" t="s">
        <v>1744</v>
      </c>
    </row>
    <row r="131" spans="1:7" ht="17" x14ac:dyDescent="0.2">
      <c r="A131" s="1"/>
      <c r="B131" s="1">
        <v>810573</v>
      </c>
      <c r="C131" s="79" t="s">
        <v>1515</v>
      </c>
      <c r="F131" s="79" t="s">
        <v>1515</v>
      </c>
      <c r="G131" s="1" t="s">
        <v>1744</v>
      </c>
    </row>
    <row r="132" spans="1:7" ht="17" x14ac:dyDescent="0.2">
      <c r="A132" s="1"/>
      <c r="B132" s="1">
        <v>810574</v>
      </c>
      <c r="C132" s="79" t="s">
        <v>1506</v>
      </c>
      <c r="F132" s="79" t="s">
        <v>1506</v>
      </c>
      <c r="G132" s="1" t="s">
        <v>1744</v>
      </c>
    </row>
    <row r="133" spans="1:7" ht="17" x14ac:dyDescent="0.2">
      <c r="A133" s="1"/>
      <c r="B133" s="1">
        <v>810575</v>
      </c>
      <c r="C133" s="79" t="s">
        <v>1506</v>
      </c>
      <c r="F133" s="79" t="s">
        <v>1506</v>
      </c>
      <c r="G133" s="1" t="s">
        <v>1744</v>
      </c>
    </row>
    <row r="134" spans="1:7" ht="17" x14ac:dyDescent="0.2">
      <c r="A134" s="1"/>
      <c r="B134" s="1">
        <v>810576</v>
      </c>
      <c r="C134" s="79" t="s">
        <v>1506</v>
      </c>
      <c r="F134" s="79" t="s">
        <v>1506</v>
      </c>
      <c r="G134" s="1" t="s">
        <v>1744</v>
      </c>
    </row>
    <row r="135" spans="1:7" ht="17" x14ac:dyDescent="0.2">
      <c r="A135" s="1"/>
      <c r="B135" s="1">
        <v>810577</v>
      </c>
      <c r="C135" s="79" t="s">
        <v>1506</v>
      </c>
      <c r="F135" s="79" t="s">
        <v>1506</v>
      </c>
      <c r="G135" s="1" t="s">
        <v>1744</v>
      </c>
    </row>
    <row r="136" spans="1:7" ht="17" x14ac:dyDescent="0.2">
      <c r="A136" s="1"/>
      <c r="B136" s="1">
        <v>810578</v>
      </c>
      <c r="C136" s="79" t="s">
        <v>1745</v>
      </c>
      <c r="F136" s="79" t="s">
        <v>1745</v>
      </c>
      <c r="G136" s="1" t="s">
        <v>1744</v>
      </c>
    </row>
    <row r="137" spans="1:7" ht="17" x14ac:dyDescent="0.2">
      <c r="A137" s="1"/>
      <c r="B137" s="1">
        <v>810579</v>
      </c>
      <c r="C137" s="79" t="s">
        <v>1746</v>
      </c>
      <c r="F137" s="79" t="s">
        <v>1746</v>
      </c>
      <c r="G137" s="1"/>
    </row>
    <row r="138" spans="1:7" ht="17" x14ac:dyDescent="0.2">
      <c r="A138" s="1"/>
      <c r="B138" s="1">
        <v>810580</v>
      </c>
      <c r="C138" s="79" t="s">
        <v>1747</v>
      </c>
      <c r="F138" s="79" t="s">
        <v>1747</v>
      </c>
      <c r="G138" s="1"/>
    </row>
    <row r="139" spans="1:7" ht="17" x14ac:dyDescent="0.2">
      <c r="A139" s="1">
        <v>1</v>
      </c>
      <c r="B139" s="1">
        <v>810581</v>
      </c>
      <c r="C139" s="79" t="s">
        <v>887</v>
      </c>
      <c r="F139" s="79" t="s">
        <v>887</v>
      </c>
      <c r="G139" s="1"/>
    </row>
    <row r="140" spans="1:7" ht="17" x14ac:dyDescent="0.2">
      <c r="A140" s="1">
        <v>2</v>
      </c>
      <c r="B140" s="1">
        <v>810583</v>
      </c>
      <c r="C140" s="79" t="s">
        <v>887</v>
      </c>
      <c r="F140" s="79" t="s">
        <v>887</v>
      </c>
      <c r="G140" s="1" t="s">
        <v>1744</v>
      </c>
    </row>
    <row r="141" spans="1:7" ht="17" x14ac:dyDescent="0.2">
      <c r="A141" s="1">
        <v>3</v>
      </c>
      <c r="B141" s="1">
        <v>810584</v>
      </c>
      <c r="C141" s="79" t="s">
        <v>887</v>
      </c>
      <c r="F141" s="79" t="s">
        <v>887</v>
      </c>
      <c r="G141" s="1" t="s">
        <v>1744</v>
      </c>
    </row>
    <row r="142" spans="1:7" ht="17" x14ac:dyDescent="0.2">
      <c r="A142" s="1">
        <v>4</v>
      </c>
      <c r="B142" s="1">
        <v>810585</v>
      </c>
      <c r="C142" s="79" t="s">
        <v>887</v>
      </c>
      <c r="F142" s="79" t="s">
        <v>887</v>
      </c>
      <c r="G142" s="1" t="s">
        <v>1744</v>
      </c>
    </row>
    <row r="143" spans="1:7" x14ac:dyDescent="0.2">
      <c r="A143" s="1" t="s">
        <v>1748</v>
      </c>
      <c r="B143" s="1">
        <v>810586</v>
      </c>
      <c r="C143" s="79"/>
      <c r="F143" s="79"/>
      <c r="G143" s="1" t="s">
        <v>1744</v>
      </c>
    </row>
    <row r="144" spans="1:7" ht="17" x14ac:dyDescent="0.2">
      <c r="A144" s="1">
        <v>5</v>
      </c>
      <c r="B144" s="1">
        <v>810587</v>
      </c>
      <c r="C144" s="79" t="s">
        <v>887</v>
      </c>
      <c r="F144" s="79" t="s">
        <v>887</v>
      </c>
      <c r="G144" s="1" t="s">
        <v>1744</v>
      </c>
    </row>
    <row r="145" spans="1:7" ht="17" x14ac:dyDescent="0.2">
      <c r="A145" s="1">
        <v>6</v>
      </c>
      <c r="B145" s="1">
        <v>810588</v>
      </c>
      <c r="C145" s="79" t="s">
        <v>887</v>
      </c>
      <c r="F145" s="79" t="s">
        <v>887</v>
      </c>
      <c r="G145" s="1" t="s">
        <v>1744</v>
      </c>
    </row>
    <row r="146" spans="1:7" ht="17" x14ac:dyDescent="0.2">
      <c r="A146" s="1">
        <v>7</v>
      </c>
      <c r="B146" s="1">
        <v>810589</v>
      </c>
      <c r="C146" s="79" t="s">
        <v>887</v>
      </c>
      <c r="F146" s="79" t="s">
        <v>887</v>
      </c>
      <c r="G146" s="1" t="s">
        <v>1744</v>
      </c>
    </row>
    <row r="147" spans="1:7" ht="17" x14ac:dyDescent="0.2">
      <c r="A147" s="1">
        <v>7</v>
      </c>
      <c r="B147" s="1">
        <v>810590</v>
      </c>
      <c r="C147" s="79" t="s">
        <v>887</v>
      </c>
      <c r="F147" s="79" t="s">
        <v>887</v>
      </c>
      <c r="G147" s="1" t="s">
        <v>1744</v>
      </c>
    </row>
    <row r="148" spans="1:7" ht="17" x14ac:dyDescent="0.2">
      <c r="A148" s="1">
        <v>8</v>
      </c>
      <c r="B148" s="1">
        <v>810591</v>
      </c>
      <c r="C148" s="79" t="s">
        <v>887</v>
      </c>
      <c r="F148" s="79" t="s">
        <v>887</v>
      </c>
      <c r="G148" s="1" t="s">
        <v>1744</v>
      </c>
    </row>
    <row r="149" spans="1:7" ht="17" x14ac:dyDescent="0.2">
      <c r="A149" s="1">
        <v>9</v>
      </c>
      <c r="B149" s="1">
        <v>810592</v>
      </c>
      <c r="C149" s="79" t="s">
        <v>887</v>
      </c>
      <c r="F149" s="79" t="s">
        <v>887</v>
      </c>
      <c r="G149" s="1" t="s">
        <v>1744</v>
      </c>
    </row>
    <row r="150" spans="1:7" ht="17" x14ac:dyDescent="0.2">
      <c r="A150" s="1">
        <v>1</v>
      </c>
      <c r="B150" s="1">
        <v>810593</v>
      </c>
      <c r="C150" s="79" t="s">
        <v>1521</v>
      </c>
      <c r="F150" s="79" t="s">
        <v>1521</v>
      </c>
      <c r="G150" s="1" t="s">
        <v>1744</v>
      </c>
    </row>
    <row r="151" spans="1:7" x14ac:dyDescent="0.2">
      <c r="A151" s="1">
        <v>1</v>
      </c>
      <c r="B151" s="1">
        <v>810594</v>
      </c>
      <c r="C151" s="79"/>
      <c r="F151" s="79"/>
      <c r="G151" s="1" t="s">
        <v>1744</v>
      </c>
    </row>
    <row r="152" spans="1:7" ht="17" x14ac:dyDescent="0.2">
      <c r="A152" s="1">
        <v>1</v>
      </c>
      <c r="B152" s="1"/>
      <c r="C152" s="79" t="s">
        <v>1521</v>
      </c>
      <c r="F152" s="79" t="s">
        <v>1521</v>
      </c>
      <c r="G152" s="1"/>
    </row>
    <row r="153" spans="1:7" x14ac:dyDescent="0.2">
      <c r="A153" s="1">
        <v>1</v>
      </c>
      <c r="B153" s="1">
        <v>810595</v>
      </c>
      <c r="C153" s="79"/>
      <c r="F153" s="79"/>
      <c r="G153" s="1" t="s">
        <v>1744</v>
      </c>
    </row>
    <row r="154" spans="1:7" ht="17" x14ac:dyDescent="0.2">
      <c r="A154" s="1">
        <v>1</v>
      </c>
      <c r="B154" s="1"/>
      <c r="C154" s="79" t="s">
        <v>1521</v>
      </c>
      <c r="F154" s="79" t="s">
        <v>1521</v>
      </c>
      <c r="G154" s="1"/>
    </row>
    <row r="155" spans="1:7" x14ac:dyDescent="0.2">
      <c r="A155" s="1">
        <v>1</v>
      </c>
      <c r="B155" s="1">
        <v>810596</v>
      </c>
      <c r="C155" s="79"/>
      <c r="F155" s="79"/>
      <c r="G155" s="1" t="s">
        <v>1744</v>
      </c>
    </row>
    <row r="156" spans="1:7" ht="17" x14ac:dyDescent="0.2">
      <c r="A156" s="1">
        <v>2</v>
      </c>
      <c r="B156" s="1"/>
      <c r="C156" s="79" t="s">
        <v>1524</v>
      </c>
      <c r="F156" s="79" t="s">
        <v>1524</v>
      </c>
      <c r="G156" s="1"/>
    </row>
    <row r="157" spans="1:7" x14ac:dyDescent="0.2">
      <c r="A157" s="1">
        <v>2</v>
      </c>
      <c r="B157" s="1">
        <v>810597</v>
      </c>
      <c r="C157" s="79"/>
      <c r="F157" s="79"/>
      <c r="G157" s="1" t="s">
        <v>1744</v>
      </c>
    </row>
    <row r="158" spans="1:7" ht="17" x14ac:dyDescent="0.2">
      <c r="A158" s="1">
        <v>2</v>
      </c>
      <c r="B158" s="1"/>
      <c r="C158" s="79" t="s">
        <v>1524</v>
      </c>
      <c r="F158" s="79" t="s">
        <v>1524</v>
      </c>
      <c r="G158" s="1"/>
    </row>
    <row r="159" spans="1:7" x14ac:dyDescent="0.2">
      <c r="A159" s="1">
        <v>2</v>
      </c>
      <c r="B159" s="1">
        <v>810598</v>
      </c>
      <c r="C159" s="79"/>
      <c r="F159" s="79"/>
      <c r="G159" s="1" t="s">
        <v>1744</v>
      </c>
    </row>
    <row r="160" spans="1:7" ht="17" x14ac:dyDescent="0.2">
      <c r="A160" s="1">
        <v>2</v>
      </c>
      <c r="B160" s="1"/>
      <c r="C160" s="79" t="s">
        <v>1524</v>
      </c>
      <c r="F160" s="79" t="s">
        <v>1524</v>
      </c>
      <c r="G160" s="1"/>
    </row>
    <row r="161" spans="1:7" x14ac:dyDescent="0.2">
      <c r="A161" s="1">
        <v>2</v>
      </c>
      <c r="B161" s="1">
        <v>810599</v>
      </c>
      <c r="C161" s="79"/>
      <c r="F161" s="79"/>
      <c r="G161" s="1" t="s">
        <v>1744</v>
      </c>
    </row>
    <row r="162" spans="1:7" ht="17" x14ac:dyDescent="0.2">
      <c r="A162" s="1">
        <v>3</v>
      </c>
      <c r="B162" s="1"/>
      <c r="C162" s="79" t="s">
        <v>1525</v>
      </c>
      <c r="F162" s="79" t="s">
        <v>1525</v>
      </c>
      <c r="G162" s="1"/>
    </row>
    <row r="163" spans="1:7" x14ac:dyDescent="0.2">
      <c r="A163" s="1">
        <v>3</v>
      </c>
      <c r="B163" s="1">
        <v>810600</v>
      </c>
      <c r="C163" s="79"/>
      <c r="F163" s="79"/>
      <c r="G163" s="1" t="s">
        <v>1744</v>
      </c>
    </row>
    <row r="164" spans="1:7" ht="17" x14ac:dyDescent="0.2">
      <c r="A164" s="1">
        <v>3</v>
      </c>
      <c r="B164" s="1"/>
      <c r="C164" s="79" t="s">
        <v>1525</v>
      </c>
      <c r="F164" s="79" t="s">
        <v>1525</v>
      </c>
      <c r="G164" s="1"/>
    </row>
    <row r="165" spans="1:7" x14ac:dyDescent="0.2">
      <c r="A165" s="1">
        <v>3</v>
      </c>
      <c r="B165" s="1">
        <v>810601</v>
      </c>
      <c r="C165" s="79"/>
      <c r="F165" s="79"/>
      <c r="G165" s="1" t="s">
        <v>1744</v>
      </c>
    </row>
    <row r="166" spans="1:7" ht="17" x14ac:dyDescent="0.2">
      <c r="A166" s="1">
        <v>3</v>
      </c>
      <c r="B166" s="1"/>
      <c r="C166" s="79" t="s">
        <v>1525</v>
      </c>
      <c r="F166" s="79" t="s">
        <v>1525</v>
      </c>
      <c r="G166" s="1"/>
    </row>
    <row r="167" spans="1:7" x14ac:dyDescent="0.2">
      <c r="A167" s="1">
        <v>3</v>
      </c>
      <c r="B167" s="1">
        <v>810602</v>
      </c>
      <c r="C167" s="79"/>
      <c r="F167" s="79"/>
      <c r="G167" s="1" t="s">
        <v>1744</v>
      </c>
    </row>
    <row r="168" spans="1:7" ht="17" x14ac:dyDescent="0.2">
      <c r="A168" s="1">
        <v>4</v>
      </c>
      <c r="B168" s="1"/>
      <c r="C168" s="79" t="s">
        <v>1526</v>
      </c>
      <c r="F168" s="79" t="s">
        <v>1526</v>
      </c>
      <c r="G168" s="1"/>
    </row>
    <row r="169" spans="1:7" x14ac:dyDescent="0.2">
      <c r="A169" s="1">
        <v>4</v>
      </c>
      <c r="B169" s="1">
        <v>810604</v>
      </c>
      <c r="C169" s="79"/>
      <c r="F169" s="79"/>
      <c r="G169" s="1" t="s">
        <v>1744</v>
      </c>
    </row>
    <row r="170" spans="1:7" ht="17" x14ac:dyDescent="0.2">
      <c r="A170" s="1">
        <v>4</v>
      </c>
      <c r="B170" s="1"/>
      <c r="C170" s="79" t="s">
        <v>1526</v>
      </c>
      <c r="F170" s="79" t="s">
        <v>1526</v>
      </c>
      <c r="G170" s="1"/>
    </row>
    <row r="171" spans="1:7" x14ac:dyDescent="0.2">
      <c r="A171" s="1">
        <v>4</v>
      </c>
      <c r="B171" s="1">
        <v>810605</v>
      </c>
      <c r="C171" s="79"/>
      <c r="F171" s="79"/>
      <c r="G171" s="1" t="s">
        <v>1744</v>
      </c>
    </row>
    <row r="172" spans="1:7" ht="17" x14ac:dyDescent="0.2">
      <c r="A172" s="1">
        <v>4</v>
      </c>
      <c r="B172" s="1"/>
      <c r="C172" s="79" t="s">
        <v>1526</v>
      </c>
      <c r="F172" s="79" t="s">
        <v>1526</v>
      </c>
      <c r="G172" s="1"/>
    </row>
    <row r="173" spans="1:7" x14ac:dyDescent="0.2">
      <c r="A173" s="1">
        <v>4</v>
      </c>
      <c r="B173" s="1">
        <v>810606</v>
      </c>
      <c r="C173" s="79"/>
      <c r="F173" s="79"/>
      <c r="G173" s="1" t="s">
        <v>1744</v>
      </c>
    </row>
    <row r="174" spans="1:7" x14ac:dyDescent="0.2">
      <c r="A174" s="1">
        <v>421</v>
      </c>
      <c r="B174" s="1"/>
      <c r="C174" s="1" t="s">
        <v>1527</v>
      </c>
      <c r="F174" s="1" t="s">
        <v>1527</v>
      </c>
      <c r="G174" s="1"/>
    </row>
    <row r="175" spans="1:7" x14ac:dyDescent="0.2">
      <c r="A175" s="1">
        <v>423</v>
      </c>
      <c r="B175" s="1">
        <v>810607</v>
      </c>
      <c r="C175" s="1" t="s">
        <v>1528</v>
      </c>
      <c r="F175" s="1" t="s">
        <v>1528</v>
      </c>
      <c r="G175" s="1" t="s">
        <v>1749</v>
      </c>
    </row>
    <row r="176" spans="1:7" x14ac:dyDescent="0.2">
      <c r="A176" s="1">
        <v>430</v>
      </c>
      <c r="B176" s="1">
        <v>810608</v>
      </c>
      <c r="C176" s="1" t="s">
        <v>1527</v>
      </c>
      <c r="F176" s="1" t="s">
        <v>1527</v>
      </c>
      <c r="G176" s="1" t="s">
        <v>1749</v>
      </c>
    </row>
    <row r="177" spans="1:7" x14ac:dyDescent="0.2">
      <c r="A177" s="1">
        <v>427</v>
      </c>
      <c r="B177" s="1">
        <v>810609</v>
      </c>
      <c r="C177" s="1" t="s">
        <v>1529</v>
      </c>
      <c r="F177" s="1" t="s">
        <v>1529</v>
      </c>
      <c r="G177" s="1" t="s">
        <v>1749</v>
      </c>
    </row>
    <row r="178" spans="1:7" x14ac:dyDescent="0.2">
      <c r="A178" s="1">
        <v>425</v>
      </c>
      <c r="B178" s="1">
        <v>810610</v>
      </c>
      <c r="C178" s="1" t="s">
        <v>1530</v>
      </c>
      <c r="F178" s="1" t="s">
        <v>1530</v>
      </c>
      <c r="G178" s="1" t="s">
        <v>1749</v>
      </c>
    </row>
    <row r="179" spans="1:7" x14ac:dyDescent="0.2">
      <c r="A179" s="1">
        <v>432</v>
      </c>
      <c r="B179" s="1">
        <v>810611</v>
      </c>
      <c r="C179" s="1" t="s">
        <v>1528</v>
      </c>
      <c r="F179" s="1" t="s">
        <v>1528</v>
      </c>
      <c r="G179" s="1" t="s">
        <v>1749</v>
      </c>
    </row>
    <row r="180" spans="1:7" x14ac:dyDescent="0.2">
      <c r="A180" s="1">
        <v>433</v>
      </c>
      <c r="B180" s="1">
        <v>810612</v>
      </c>
      <c r="C180" s="1" t="s">
        <v>1530</v>
      </c>
      <c r="F180" s="1" t="s">
        <v>1530</v>
      </c>
      <c r="G180" s="1" t="s">
        <v>1749</v>
      </c>
    </row>
    <row r="181" spans="1:7" x14ac:dyDescent="0.2">
      <c r="A181" s="1">
        <v>435</v>
      </c>
      <c r="B181" s="1">
        <v>810613</v>
      </c>
      <c r="C181" s="1" t="s">
        <v>1529</v>
      </c>
      <c r="F181" s="1" t="s">
        <v>1529</v>
      </c>
      <c r="G181" s="1" t="s">
        <v>1749</v>
      </c>
    </row>
    <row r="182" spans="1:7" x14ac:dyDescent="0.2">
      <c r="A182" s="1">
        <v>421</v>
      </c>
      <c r="B182" s="1">
        <v>810614</v>
      </c>
      <c r="C182" s="1" t="s">
        <v>1527</v>
      </c>
      <c r="F182" s="1" t="s">
        <v>1527</v>
      </c>
      <c r="G182" s="1" t="s">
        <v>1749</v>
      </c>
    </row>
    <row r="183" spans="1:7" x14ac:dyDescent="0.2">
      <c r="A183" s="1">
        <v>423</v>
      </c>
      <c r="B183" s="1">
        <v>810607</v>
      </c>
      <c r="C183" s="1" t="s">
        <v>1528</v>
      </c>
      <c r="F183" s="1" t="s">
        <v>1528</v>
      </c>
      <c r="G183" s="1" t="s">
        <v>1749</v>
      </c>
    </row>
    <row r="184" spans="1:7" x14ac:dyDescent="0.2">
      <c r="A184" s="1">
        <v>468</v>
      </c>
      <c r="B184" s="1">
        <v>810608</v>
      </c>
      <c r="C184" s="1" t="s">
        <v>1531</v>
      </c>
      <c r="F184" s="1" t="s">
        <v>1531</v>
      </c>
      <c r="G184" s="1" t="s">
        <v>1749</v>
      </c>
    </row>
    <row r="185" spans="1:7" x14ac:dyDescent="0.2">
      <c r="A185" s="1"/>
      <c r="B185" s="1">
        <v>810617</v>
      </c>
      <c r="C185" s="1"/>
      <c r="F185" s="1"/>
      <c r="G185" s="1" t="s">
        <v>1749</v>
      </c>
    </row>
    <row r="186" spans="1:7" x14ac:dyDescent="0.2">
      <c r="A186" s="1"/>
      <c r="B186" s="1">
        <v>810618</v>
      </c>
      <c r="C186" s="1"/>
      <c r="F186" s="1"/>
      <c r="G186" s="1" t="s">
        <v>1749</v>
      </c>
    </row>
    <row r="187" spans="1:7" x14ac:dyDescent="0.2">
      <c r="A187" s="1"/>
      <c r="B187" s="1">
        <v>810623</v>
      </c>
      <c r="C187" s="1"/>
      <c r="F187" s="1"/>
      <c r="G187" s="1"/>
    </row>
    <row r="188" spans="1:7" x14ac:dyDescent="0.2">
      <c r="A188" s="1">
        <v>465</v>
      </c>
      <c r="B188" s="1">
        <v>810624</v>
      </c>
      <c r="C188" s="1" t="s">
        <v>1533</v>
      </c>
      <c r="F188" s="1" t="s">
        <v>1533</v>
      </c>
      <c r="G188" s="1"/>
    </row>
    <row r="189" spans="1:7" x14ac:dyDescent="0.2">
      <c r="A189" s="1"/>
      <c r="B189" s="1">
        <v>810625</v>
      </c>
      <c r="C189" s="1"/>
      <c r="F189" s="1"/>
      <c r="G189" s="1"/>
    </row>
    <row r="190" spans="1:7" x14ac:dyDescent="0.2">
      <c r="A190" s="1">
        <v>464</v>
      </c>
      <c r="B190" s="1">
        <v>810626</v>
      </c>
      <c r="C190" s="1" t="s">
        <v>1534</v>
      </c>
      <c r="F190" s="1" t="s">
        <v>1534</v>
      </c>
      <c r="G190" s="1"/>
    </row>
    <row r="191" spans="1:7" x14ac:dyDescent="0.2">
      <c r="A191" s="1"/>
      <c r="B191" s="1">
        <v>810627</v>
      </c>
      <c r="C191" s="1"/>
      <c r="F191" s="1"/>
      <c r="G191" s="1"/>
    </row>
    <row r="192" spans="1:7" x14ac:dyDescent="0.2">
      <c r="A192" s="1"/>
      <c r="B192" s="1">
        <v>810628</v>
      </c>
      <c r="C192" s="1"/>
      <c r="F192" s="1"/>
      <c r="G192" s="1"/>
    </row>
    <row r="193" spans="1:7" x14ac:dyDescent="0.2">
      <c r="A193" s="1"/>
      <c r="B193" s="1">
        <v>810629</v>
      </c>
      <c r="C193" s="1"/>
      <c r="F193" s="1"/>
      <c r="G193" s="1"/>
    </row>
    <row r="194" spans="1:7" x14ac:dyDescent="0.2">
      <c r="A194" s="1">
        <v>462</v>
      </c>
      <c r="B194" s="1">
        <v>810630</v>
      </c>
      <c r="C194" s="1" t="s">
        <v>1535</v>
      </c>
      <c r="F194" s="1" t="s">
        <v>1535</v>
      </c>
      <c r="G194" s="1"/>
    </row>
    <row r="195" spans="1:7" x14ac:dyDescent="0.2">
      <c r="B195" s="1">
        <v>810631</v>
      </c>
      <c r="G195" s="1"/>
    </row>
    <row r="196" spans="1:7" x14ac:dyDescent="0.2">
      <c r="B196" s="1">
        <v>810632</v>
      </c>
      <c r="G196" s="1"/>
    </row>
    <row r="197" spans="1:7" x14ac:dyDescent="0.2">
      <c r="B197" s="1">
        <v>810633</v>
      </c>
      <c r="G197" s="1"/>
    </row>
    <row r="198" spans="1:7" x14ac:dyDescent="0.2">
      <c r="B198" s="1">
        <v>810634</v>
      </c>
      <c r="G198" s="1"/>
    </row>
    <row r="199" spans="1:7" x14ac:dyDescent="0.2">
      <c r="B199" s="1">
        <v>810635</v>
      </c>
      <c r="G19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71B35-CE21-EF43-AE51-51EAEE4B869B}">
  <dimension ref="A1:AL242"/>
  <sheetViews>
    <sheetView workbookViewId="0">
      <pane xSplit="1" ySplit="2" topLeftCell="B4" activePane="bottomRight" state="frozen"/>
      <selection pane="topRight"/>
      <selection pane="bottomLeft"/>
      <selection pane="bottomRight" activeCell="B4" sqref="B4"/>
    </sheetView>
  </sheetViews>
  <sheetFormatPr baseColWidth="10" defaultColWidth="15.83203125" defaultRowHeight="16" x14ac:dyDescent="0.2"/>
  <cols>
    <col min="1" max="1" width="15.83203125" style="4"/>
    <col min="2" max="2" width="15.83203125" style="1"/>
    <col min="3" max="3" width="15.83203125" style="4"/>
    <col min="4" max="4" width="15.83203125" style="1"/>
    <col min="5" max="5" width="15.83203125" style="4"/>
    <col min="6" max="6" width="15.83203125" style="1"/>
    <col min="7" max="7" width="15.83203125" style="4"/>
    <col min="8" max="8" width="15.83203125" style="1"/>
    <col min="9" max="9" width="15.83203125" style="4"/>
    <col min="10" max="10" width="15.83203125" style="1"/>
    <col min="11" max="11" width="15.83203125" style="4"/>
    <col min="12" max="12" width="15.83203125" style="1"/>
    <col min="13" max="13" width="15.83203125" style="4"/>
    <col min="14" max="14" width="15.83203125" style="1"/>
    <col min="15" max="15" width="15.83203125" style="4"/>
    <col min="16" max="16" width="15.83203125" style="1"/>
    <col min="17" max="17" width="15.83203125" style="4"/>
    <col min="18" max="18" width="15.83203125" style="1"/>
    <col min="19" max="19" width="15.83203125" style="4"/>
    <col min="20" max="37" width="15.83203125" style="1"/>
    <col min="38" max="38" width="15.83203125" style="4"/>
    <col min="39" max="16384" width="15.83203125" style="1"/>
  </cols>
  <sheetData>
    <row r="1" spans="1:38" s="6" customFormat="1" ht="22" x14ac:dyDescent="0.3">
      <c r="A1" s="365" t="s">
        <v>1560</v>
      </c>
      <c r="B1" s="382" t="s">
        <v>1033</v>
      </c>
      <c r="C1" s="382"/>
      <c r="D1" s="367" t="s">
        <v>1050</v>
      </c>
      <c r="E1" s="367"/>
      <c r="F1" s="364" t="s">
        <v>1061</v>
      </c>
      <c r="G1" s="364"/>
      <c r="H1" s="383" t="s">
        <v>1750</v>
      </c>
      <c r="I1" s="383"/>
      <c r="J1" s="384" t="s">
        <v>1751</v>
      </c>
      <c r="K1" s="384"/>
      <c r="L1" s="385" t="s">
        <v>1022</v>
      </c>
      <c r="M1" s="385"/>
      <c r="N1" s="386" t="s">
        <v>296</v>
      </c>
      <c r="O1" s="386"/>
      <c r="P1" s="387" t="s">
        <v>864</v>
      </c>
      <c r="Q1" s="387"/>
      <c r="R1" s="381" t="s">
        <v>1752</v>
      </c>
      <c r="S1" s="381"/>
      <c r="T1" s="5"/>
      <c r="U1" s="382" t="s">
        <v>1033</v>
      </c>
      <c r="V1" s="382"/>
      <c r="W1" s="367" t="s">
        <v>1050</v>
      </c>
      <c r="X1" s="367"/>
      <c r="Y1" s="364" t="s">
        <v>1061</v>
      </c>
      <c r="Z1" s="364"/>
      <c r="AA1" s="383" t="s">
        <v>1750</v>
      </c>
      <c r="AB1" s="383"/>
      <c r="AC1" s="384" t="s">
        <v>1751</v>
      </c>
      <c r="AD1" s="384"/>
      <c r="AE1" s="385" t="s">
        <v>1022</v>
      </c>
      <c r="AF1" s="385"/>
      <c r="AG1" s="386" t="s">
        <v>296</v>
      </c>
      <c r="AH1" s="386"/>
      <c r="AI1" s="387" t="s">
        <v>864</v>
      </c>
      <c r="AJ1" s="387"/>
      <c r="AK1" s="381" t="s">
        <v>1752</v>
      </c>
      <c r="AL1" s="381"/>
    </row>
    <row r="2" spans="1:38" ht="21" x14ac:dyDescent="0.2">
      <c r="A2" s="366"/>
      <c r="B2" s="2" t="s">
        <v>0</v>
      </c>
      <c r="C2" s="3" t="s">
        <v>1</v>
      </c>
      <c r="D2" s="2" t="s">
        <v>0</v>
      </c>
      <c r="E2" s="8" t="s">
        <v>1</v>
      </c>
      <c r="F2" s="2" t="s">
        <v>0</v>
      </c>
      <c r="G2" s="3" t="s">
        <v>1</v>
      </c>
      <c r="H2" s="2" t="s">
        <v>0</v>
      </c>
      <c r="I2" s="3" t="s">
        <v>1</v>
      </c>
      <c r="J2" s="2" t="s">
        <v>0</v>
      </c>
      <c r="K2" s="3" t="s">
        <v>1</v>
      </c>
      <c r="L2" s="2" t="s">
        <v>0</v>
      </c>
      <c r="M2" s="3" t="s">
        <v>1</v>
      </c>
      <c r="N2" s="2" t="s">
        <v>0</v>
      </c>
      <c r="O2" s="3" t="s">
        <v>1</v>
      </c>
      <c r="P2" s="2" t="s">
        <v>0</v>
      </c>
      <c r="Q2" s="3" t="s">
        <v>1</v>
      </c>
      <c r="R2" s="2" t="s">
        <v>0</v>
      </c>
      <c r="S2" s="3" t="s">
        <v>1</v>
      </c>
      <c r="T2" s="4" t="s">
        <v>1753</v>
      </c>
      <c r="U2" s="2" t="s">
        <v>0</v>
      </c>
      <c r="V2" s="3" t="s">
        <v>1</v>
      </c>
      <c r="W2" s="2" t="s">
        <v>0</v>
      </c>
      <c r="X2" s="8" t="s">
        <v>1</v>
      </c>
      <c r="Y2" s="2" t="s">
        <v>0</v>
      </c>
      <c r="Z2" s="3" t="s">
        <v>1</v>
      </c>
      <c r="AA2" s="2" t="s">
        <v>0</v>
      </c>
      <c r="AB2" s="3" t="s">
        <v>1</v>
      </c>
      <c r="AC2" s="2" t="s">
        <v>0</v>
      </c>
      <c r="AD2" s="3" t="s">
        <v>1</v>
      </c>
      <c r="AE2" s="2" t="s">
        <v>0</v>
      </c>
      <c r="AF2" s="3" t="s">
        <v>1</v>
      </c>
      <c r="AG2" s="2" t="s">
        <v>0</v>
      </c>
      <c r="AH2" s="3" t="s">
        <v>1</v>
      </c>
      <c r="AI2" s="2" t="s">
        <v>0</v>
      </c>
      <c r="AJ2" s="3" t="s">
        <v>1</v>
      </c>
      <c r="AK2" s="2" t="s">
        <v>0</v>
      </c>
      <c r="AL2" s="3" t="s">
        <v>1</v>
      </c>
    </row>
    <row r="3" spans="1:38" x14ac:dyDescent="0.2">
      <c r="A3" s="4">
        <v>1</v>
      </c>
      <c r="B3" s="1" t="str" cm="1">
        <f t="array" ref="B3:B170">_xlfn._xlws.FILTER(MANIFEST!A:A, ISNUMBER(SEARCH("wounding", MANIFEST!E:E)), "No results")</f>
        <v>16  F PW 7  </v>
      </c>
      <c r="C3" s="4" t="str" cm="1">
        <f t="array" ref="C3:C170">_xlfn._xlws.FILTER(MANIFEST!G:G, ISNUMBER(SEARCH("wounding", MANIFEST!E:E)), "No results")</f>
        <v>Day 7</v>
      </c>
      <c r="D3" s="1" t="str" cm="1">
        <f t="array" ref="D3:D93">_xlfn._xlws.FILTER(MANIFEST!A:A, ISNUMBER(SEARCH("aging", MANIFEST!E:E)), "No results")</f>
        <v>40  N </v>
      </c>
      <c r="E3" s="4" t="str" cm="1">
        <f t="array" ref="E3:E93">_xlfn._xlws.FILTER(MANIFEST!G:G, ISNUMBER(SEARCH("aging", MANIFEST!E:E)), "No results")</f>
        <v>E16.5</v>
      </c>
      <c r="F3" s="1" t="str" cm="1">
        <f t="array" ref="F3:F128">_xlfn._xlws.FILTER(MANIFEST!A:A, ISNUMBER(SEARCH("bleomycin", MANIFEST!E:E)), "No results")</f>
        <v>46  P </v>
      </c>
      <c r="G3" s="4" t="str" cm="1">
        <f t="array" ref="G3:G128">_xlfn._xlws.FILTER(MANIFEST!G:G, ISNUMBER(SEARCH("bleomycin", MANIFEST!E:E)), "No results")</f>
        <v>2W</v>
      </c>
      <c r="H3" s="1" t="str" cm="1">
        <f t="array" ref="H3:H17">_xlfn._xlws.FILTER(MANIFEST!A:A, ISNUMBER(SEARCH("digestion", MANIFEST!E:E)), "No results")</f>
        <v>1 A - Undigested  </v>
      </c>
      <c r="I3" s="4" t="str" cm="1">
        <f t="array" ref="I3:I17">_xlfn._xlws.FILTER(MANIFEST!G:G, ISNUMBER(SEARCH("digestion", MANIFEST!E:E)), "No results")</f>
        <v>14 days digested</v>
      </c>
      <c r="J3" s="1" t="str" cm="1">
        <f t="array" ref="J3">_xlfn._xlws.FILTER(MANIFEST!A:A, ISNUMBER(SEARCH("vehicle", MANIFEST!E:E)), "No results")</f>
        <v>No results</v>
      </c>
      <c r="K3" s="4" t="str" cm="1">
        <f t="array" ref="K3">_xlfn._xlws.FILTER(MANIFEST!G:G, ISNUMBER(SEARCH("vehicle", MANIFEST!E:E)), "No results")</f>
        <v>No results</v>
      </c>
      <c r="L3" s="1" t="str" cm="1">
        <f t="array" ref="L3:L64">_xlfn._xlws.FILTER(MANIFEST!A:A, ISNUMBER(SEARCH("plain", MANIFEST!E:E)), "No results")</f>
        <v>1 Paper</v>
      </c>
      <c r="M3" s="4" t="str" cm="1">
        <f t="array" ref="M3:M64">_xlfn._xlws.FILTER(MANIFEST!G:G, ISNUMBER(SEARCH("plain", MANIFEST!E:E)), "No results")</f>
        <v>Plain</v>
      </c>
      <c r="N3" s="1" t="str" cm="1">
        <f t="array" ref="N3:N65">_xlfn._xlws.FILTER(MANIFEST!A:A, ISNUMBER(SEARCH("AP1", MANIFEST!E:E)), "No results")</f>
        <v>16 F ap1</v>
      </c>
      <c r="O3" s="4" t="str" cm="1">
        <f t="array" ref="O3:O65">_xlfn._xlws.FILTER(MANIFEST!G:G, ISNUMBER(SEARCH("AP1", MANIFEST!E:E)), "No results")</f>
        <v>T5224 Day 10</v>
      </c>
      <c r="P3" s="1" t="str" cm="1">
        <f t="array" ref="P3:P242">_xlfn._xlws.FILTER(MANIFEST!A:A, ISNUMBER(SEARCH("JEB", MANIFEST!E:E)), "No results")</f>
        <v>375B</v>
      </c>
      <c r="Q3" s="4" t="str" cm="1">
        <f t="array" ref="Q3:Q242">_xlfn._xlws.FILTER(MANIFEST!G:G, ISNUMBER(SEARCH("JEB", MANIFEST!E:E)), "No results")</f>
        <v>JEB</v>
      </c>
      <c r="R3" s="1" cm="1">
        <f t="array" ref="R3:R29">_xlfn._xlws.FILTER(MANIFEST!A:A, ISNUMBER(SEARCH("LASER", MANIFEST!E:E)), "No results")</f>
        <v>255</v>
      </c>
      <c r="S3" s="4" t="str" cm="1">
        <f t="array" ref="S3:S29">_xlfn._xlws.FILTER(MANIFEST!G:G, ISNUMBER(SEARCH("LASER", MANIFEST!E:E)), "No results")</f>
        <v>Incision</v>
      </c>
      <c r="T3" s="4">
        <v>1</v>
      </c>
      <c r="U3" s="1" t="str" cm="1">
        <f t="array" ref="U3">_xlfn._xlws.FILTER(MANIFEST!T:T, ISNUMBER(SEARCH("wounding", MANIFEST!X:X)), "No results")</f>
        <v>No results</v>
      </c>
      <c r="V3" s="4" t="str" cm="1">
        <f t="array" ref="V3">_xlfn._xlws.FILTER(MANIFEST!Y:Y, ISNUMBER(SEARCH("wounding", MANIFEST!X:X)), "No results")</f>
        <v>No results</v>
      </c>
      <c r="W3" s="1" t="str" cm="1">
        <f t="array" ref="W3">_xlfn._xlws.FILTER(MANIFEST!T:T, ISNUMBER(SEARCH("aging", MANIFEST!X:X)), "No results")</f>
        <v>No results</v>
      </c>
      <c r="X3" s="4" t="str" cm="1">
        <f t="array" ref="X3">_xlfn._xlws.FILTER(MANIFEST!Y:Y, ISNUMBER(SEARCH("aging", MANIFEST!X:X)), "No results")</f>
        <v>No results</v>
      </c>
      <c r="Y3" s="1" t="str" cm="1">
        <f t="array" ref="Y3">_xlfn._xlws.FILTER(MANIFEST!T:T, ISNUMBER(SEARCH("bleomycin", MANIFEST!X:X)), "No results")</f>
        <v>No results</v>
      </c>
      <c r="Z3" s="4" t="str" cm="1">
        <f t="array" ref="Z3">_xlfn._xlws.FILTER(MANIFEST!Y:Y, ISNUMBER(SEARCH("bleomycin", MANIFEST!X:X)), "No results")</f>
        <v>No results</v>
      </c>
      <c r="AA3" s="1" t="str" cm="1">
        <f t="array" ref="AA3">_xlfn._xlws.FILTER(MANIFEST!T:T, ISNUMBER(SEARCH("digestion", MANIFEST!X:X)), "No results")</f>
        <v>No results</v>
      </c>
      <c r="AB3" s="4" t="str" cm="1">
        <f t="array" ref="AB3">_xlfn._xlws.FILTER(MANIFEST!Y:Y, ISNUMBER(SEARCH("digestion", MANIFEST!X:X)), "No results")</f>
        <v>No results</v>
      </c>
      <c r="AC3" s="1" t="str" cm="1">
        <f t="array" ref="AC3">_xlfn._xlws.FILTER(MANIFEST!T:T, ISNUMBER(SEARCH("vehicle", MANIFEST!X:X)), "No results")</f>
        <v>No results</v>
      </c>
      <c r="AD3" s="4" t="str" cm="1">
        <f t="array" ref="AD3">_xlfn._xlws.FILTER(MANIFEST!Y:Y, ISNUMBER(SEARCH("vehicle", MANIFEST!X:X)), "No results")</f>
        <v>No results</v>
      </c>
      <c r="AE3" s="1" t="str" cm="1">
        <f t="array" ref="AE3">_xlfn._xlws.FILTER(MANIFEST!T:T, ISNUMBER(SEARCH("plain", MANIFEST!X:X)), "No results")</f>
        <v>No results</v>
      </c>
      <c r="AF3" s="4" t="str" cm="1">
        <f t="array" ref="AF3">_xlfn._xlws.FILTER(MANIFEST!Y:Y, ISNUMBER(SEARCH("plain", MANIFEST!X:X)), "No results")</f>
        <v>No results</v>
      </c>
      <c r="AG3" s="1" t="str" cm="1">
        <f t="array" ref="AG3">_xlfn._xlws.FILTER(MANIFEST!T:T, ISNUMBER(SEARCH("AP1", MANIFEST!X:X)), "No results")</f>
        <v>No results</v>
      </c>
      <c r="AH3" s="4" t="str" cm="1">
        <f t="array" ref="AH3">_xlfn._xlws.FILTER(MANIFEST!Y:Y, ISNUMBER(SEARCH("AP1", MANIFEST!X:X)), "No results")</f>
        <v>No results</v>
      </c>
      <c r="AI3" s="1" t="str" cm="1">
        <f t="array" ref="AI3">_xlfn._xlws.FILTER(MANIFEST!T:T, ISNUMBER(SEARCH("JEB", MANIFEST!X:X)), "No results")</f>
        <v>No results</v>
      </c>
      <c r="AJ3" s="4" t="str" cm="1">
        <f t="array" ref="AJ3">_xlfn._xlws.FILTER(MANIFEST!Y:Y, ISNUMBER(SEARCH("JEB", MANIFEST!X:X)), "No results")</f>
        <v>No results</v>
      </c>
      <c r="AK3" s="1" t="str" cm="1">
        <f t="array" ref="AK3">_xlfn._xlws.FILTER(MANIFEST!W:W, ISNUMBER(SEARCH("JEB", MANIFEST!AA:AA)), "No results")</f>
        <v>No results</v>
      </c>
      <c r="AL3" s="4" t="str" cm="1">
        <f t="array" ref="AL3">_xlfn._xlws.FILTER(MANIFEST!AB:AB, ISNUMBER(SEARCH("JEB", MANIFEST!AA:AA)), "No results")</f>
        <v>No results</v>
      </c>
    </row>
    <row r="4" spans="1:38" x14ac:dyDescent="0.2">
      <c r="A4" s="4">
        <v>2</v>
      </c>
      <c r="B4" s="1" t="str">
        <v>17  F PW 7  </v>
      </c>
      <c r="C4" s="4" t="str">
        <v>Day 7</v>
      </c>
      <c r="D4" s="1" t="str">
        <v>41  N </v>
      </c>
      <c r="E4" s="4" t="str">
        <v>E16.5</v>
      </c>
      <c r="F4" s="1" t="str">
        <v>47  P </v>
      </c>
      <c r="G4" s="4" t="str">
        <v>2W</v>
      </c>
      <c r="H4" s="1" t="str">
        <v>2 A - Undigested  </v>
      </c>
      <c r="I4" s="4" t="str">
        <v>14 days digested</v>
      </c>
      <c r="L4" s="1" t="str">
        <v>2 Paper</v>
      </c>
      <c r="M4" s="4" t="str">
        <v>Plain</v>
      </c>
      <c r="N4" s="1" t="str">
        <v>17 F ap1</v>
      </c>
      <c r="O4" s="4" t="str">
        <v>T5224 Day 10</v>
      </c>
      <c r="P4" s="1">
        <v>376</v>
      </c>
      <c r="Q4" s="4" t="str">
        <v>JEB</v>
      </c>
      <c r="R4" s="1">
        <v>256</v>
      </c>
      <c r="S4" s="4" t="str">
        <v>Incision</v>
      </c>
      <c r="T4" s="4">
        <v>2</v>
      </c>
      <c r="V4" s="4"/>
      <c r="X4" s="4"/>
      <c r="Z4" s="4"/>
      <c r="AB4" s="4"/>
      <c r="AD4" s="4"/>
      <c r="AF4" s="4"/>
      <c r="AH4" s="4"/>
      <c r="AJ4" s="4"/>
    </row>
    <row r="5" spans="1:38" x14ac:dyDescent="0.2">
      <c r="A5" s="4">
        <v>3</v>
      </c>
      <c r="B5" s="1" t="str">
        <v>18  F PW 7  </v>
      </c>
      <c r="C5" s="4" t="str">
        <v>Day 7</v>
      </c>
      <c r="D5" s="1" t="str">
        <v>42  N </v>
      </c>
      <c r="E5" s="4" t="str">
        <v>E16.5</v>
      </c>
      <c r="F5" s="1" t="str">
        <v>48  P </v>
      </c>
      <c r="G5" s="4" t="str">
        <v>2W</v>
      </c>
      <c r="H5" s="1" t="str">
        <v>3 A - Undigested  </v>
      </c>
      <c r="I5" s="4" t="str">
        <v>14 days digested</v>
      </c>
      <c r="L5" s="1" t="str">
        <v>3 Paper</v>
      </c>
      <c r="M5" s="4" t="str">
        <v>Plain</v>
      </c>
      <c r="N5" s="1" t="str">
        <v>18 G ap1</v>
      </c>
      <c r="O5" s="4" t="str">
        <v>T5224 Day 10</v>
      </c>
      <c r="P5" s="1">
        <v>377</v>
      </c>
      <c r="Q5" s="4" t="str">
        <v>JEB</v>
      </c>
      <c r="R5" s="1">
        <v>257</v>
      </c>
      <c r="S5" s="4" t="str">
        <v>Incision</v>
      </c>
      <c r="T5" s="4">
        <v>3</v>
      </c>
      <c r="V5" s="4"/>
      <c r="X5" s="4"/>
      <c r="Z5" s="4"/>
      <c r="AB5" s="4"/>
      <c r="AD5" s="4"/>
      <c r="AF5" s="4"/>
      <c r="AH5" s="4"/>
      <c r="AJ5" s="4"/>
    </row>
    <row r="6" spans="1:38" x14ac:dyDescent="0.2">
      <c r="A6" s="4">
        <v>4</v>
      </c>
      <c r="B6" s="1" t="str">
        <v>S1  SAXS 1 </v>
      </c>
      <c r="C6" s="4" t="str">
        <v>Day 7</v>
      </c>
      <c r="D6" s="1" t="str">
        <v>43  O </v>
      </c>
      <c r="E6" s="4" t="str">
        <v>E16.5</v>
      </c>
      <c r="F6" s="1" t="str">
        <v>49  Q </v>
      </c>
      <c r="G6" s="4" t="str">
        <v>2W</v>
      </c>
      <c r="H6" s="1" t="str">
        <v>4 B - Undigested </v>
      </c>
      <c r="I6" s="4" t="str">
        <v>21 days digested</v>
      </c>
      <c r="L6" s="1" t="str">
        <v>4 Paper</v>
      </c>
      <c r="M6" s="4" t="str">
        <v>Plain</v>
      </c>
      <c r="N6" s="1" t="str">
        <v>19 G ap1</v>
      </c>
      <c r="O6" s="4" t="str">
        <v>T5224 Day 10</v>
      </c>
      <c r="P6" s="1">
        <v>378</v>
      </c>
      <c r="Q6" s="4" t="str">
        <v>JEB</v>
      </c>
      <c r="R6" s="1">
        <v>258</v>
      </c>
      <c r="S6" s="4" t="str">
        <v>Incision</v>
      </c>
      <c r="T6" s="4">
        <v>4</v>
      </c>
      <c r="V6" s="4"/>
      <c r="X6" s="4"/>
      <c r="Z6" s="4"/>
      <c r="AB6" s="4"/>
      <c r="AD6" s="4"/>
      <c r="AF6" s="4"/>
      <c r="AH6" s="4"/>
      <c r="AJ6" s="4"/>
    </row>
    <row r="7" spans="1:38" x14ac:dyDescent="0.2">
      <c r="A7" s="4">
        <v>5</v>
      </c>
      <c r="B7" s="1" t="str">
        <v>S2  SAXS 2 </v>
      </c>
      <c r="C7" s="4" t="str">
        <v>Day 7</v>
      </c>
      <c r="D7" s="1" t="str">
        <v>44  O </v>
      </c>
      <c r="E7" s="4" t="str">
        <v>E16.5</v>
      </c>
      <c r="F7" s="1" t="str">
        <v>50  Q </v>
      </c>
      <c r="G7" s="4" t="str">
        <v>2W</v>
      </c>
      <c r="H7" s="1" t="str">
        <v>5 B - Undigested </v>
      </c>
      <c r="I7" s="4" t="str">
        <v>21 days digested</v>
      </c>
      <c r="L7" s="1" t="str">
        <v>5 Paper</v>
      </c>
      <c r="M7" s="4" t="str">
        <v>Plain</v>
      </c>
      <c r="N7" s="1" t="str">
        <v>20 H ap1</v>
      </c>
      <c r="O7" s="4" t="str">
        <v>Vehicle Day 10</v>
      </c>
      <c r="P7" s="1">
        <v>379</v>
      </c>
      <c r="Q7" s="4" t="str">
        <v>JEB</v>
      </c>
      <c r="R7" s="1">
        <v>259</v>
      </c>
      <c r="S7" s="4" t="str">
        <v>Incision</v>
      </c>
      <c r="T7" s="4">
        <v>5</v>
      </c>
      <c r="V7" s="4"/>
      <c r="X7" s="4"/>
      <c r="Z7" s="4"/>
      <c r="AB7" s="4"/>
      <c r="AD7" s="4"/>
      <c r="AF7" s="4"/>
      <c r="AH7" s="4"/>
      <c r="AJ7" s="4"/>
    </row>
    <row r="8" spans="1:38" x14ac:dyDescent="0.2">
      <c r="A8" s="4">
        <v>6</v>
      </c>
      <c r="B8" s="1" t="str">
        <v>S3  SAXS 3 </v>
      </c>
      <c r="C8" s="4" t="str">
        <v>Day 7</v>
      </c>
      <c r="D8" s="1" t="str">
        <v>45  O </v>
      </c>
      <c r="E8" s="4" t="str">
        <v>E16.5</v>
      </c>
      <c r="F8" s="1" t="str">
        <v>51  R </v>
      </c>
      <c r="G8" s="4" t="str">
        <v>2W</v>
      </c>
      <c r="H8" s="1" t="str">
        <v>6 B - Undigested </v>
      </c>
      <c r="I8" s="4" t="str">
        <v>21 days digested</v>
      </c>
      <c r="L8" s="1" t="str">
        <v>6 Paper</v>
      </c>
      <c r="M8" s="4" t="str">
        <v>Plain</v>
      </c>
      <c r="N8" s="1" t="str">
        <v>21 H ap1</v>
      </c>
      <c r="O8" s="4" t="str">
        <v>Vehicle Day 10</v>
      </c>
      <c r="P8" s="1">
        <v>380</v>
      </c>
      <c r="Q8" s="4" t="str">
        <v>JEB</v>
      </c>
      <c r="R8" s="1">
        <v>260</v>
      </c>
      <c r="S8" s="4" t="str">
        <v>Incision</v>
      </c>
      <c r="T8" s="4">
        <v>6</v>
      </c>
      <c r="V8" s="4"/>
      <c r="X8" s="4"/>
      <c r="Z8" s="4"/>
      <c r="AB8" s="4"/>
      <c r="AD8" s="4"/>
      <c r="AF8" s="4"/>
      <c r="AH8" s="4"/>
      <c r="AJ8" s="4"/>
    </row>
    <row r="9" spans="1:38" x14ac:dyDescent="0.2">
      <c r="A9" s="4">
        <v>7</v>
      </c>
      <c r="B9" s="1" t="str">
        <v>S4  SAXS 4 </v>
      </c>
      <c r="C9" s="4" t="str">
        <v>Unwounded</v>
      </c>
      <c r="D9" s="1" t="str">
        <v>66  W </v>
      </c>
      <c r="E9" s="4" t="str">
        <v>E16.5</v>
      </c>
      <c r="F9" s="1" t="str">
        <v>52  R </v>
      </c>
      <c r="G9" s="4" t="str">
        <v>2W</v>
      </c>
      <c r="H9" s="1" t="str">
        <v>7 C - Digested </v>
      </c>
      <c r="I9" s="4" t="str">
        <v>24hr digested</v>
      </c>
      <c r="L9" s="1" t="str">
        <v>7 Paper</v>
      </c>
      <c r="M9" s="4" t="str">
        <v>Plain</v>
      </c>
      <c r="N9" s="1" t="str">
        <v>22 H ap1</v>
      </c>
      <c r="O9" s="4" t="str">
        <v>Vehicle Day 10</v>
      </c>
      <c r="P9" s="1">
        <v>381</v>
      </c>
      <c r="Q9" s="4" t="str">
        <v>JEB</v>
      </c>
      <c r="R9" s="1">
        <v>261</v>
      </c>
      <c r="S9" s="4" t="str">
        <v>Incision</v>
      </c>
      <c r="T9" s="4">
        <v>7</v>
      </c>
      <c r="V9" s="4"/>
      <c r="X9" s="4"/>
      <c r="Z9" s="4"/>
      <c r="AB9" s="4"/>
      <c r="AD9" s="4"/>
      <c r="AF9" s="4"/>
      <c r="AH9" s="4"/>
      <c r="AJ9" s="4"/>
    </row>
    <row r="10" spans="1:38" x14ac:dyDescent="0.2">
      <c r="A10" s="4">
        <v>8</v>
      </c>
      <c r="B10" s="1" t="str">
        <v>S5  SAXS 5 </v>
      </c>
      <c r="C10" s="4" t="str">
        <v>Unwounded</v>
      </c>
      <c r="D10" s="1" t="str">
        <v>67  W </v>
      </c>
      <c r="E10" s="4" t="str">
        <v>E16.5</v>
      </c>
      <c r="F10" s="1" t="str">
        <v>53  R </v>
      </c>
      <c r="G10" s="4" t="str">
        <v>2W</v>
      </c>
      <c r="H10" s="1" t="str">
        <v>8 C - Digested </v>
      </c>
      <c r="I10" s="4" t="str">
        <v>24hr digested</v>
      </c>
      <c r="L10" s="1" t="str">
        <v>8 Paper</v>
      </c>
      <c r="M10" s="4" t="str">
        <v>Plain</v>
      </c>
      <c r="N10" s="1" t="str">
        <v>23 H ap1</v>
      </c>
      <c r="O10" s="4" t="str">
        <v>Vehicle Day 10</v>
      </c>
      <c r="P10" s="1">
        <v>382</v>
      </c>
      <c r="Q10" s="4" t="str">
        <v>JEB</v>
      </c>
      <c r="R10" s="1">
        <v>262</v>
      </c>
      <c r="S10" s="4" t="str">
        <v>Incision</v>
      </c>
      <c r="T10" s="4">
        <v>8</v>
      </c>
      <c r="V10" s="4"/>
      <c r="X10" s="4"/>
      <c r="Z10" s="4"/>
      <c r="AB10" s="4"/>
      <c r="AD10" s="4"/>
      <c r="AF10" s="4"/>
      <c r="AH10" s="4"/>
      <c r="AJ10" s="4"/>
    </row>
    <row r="11" spans="1:38" x14ac:dyDescent="0.2">
      <c r="A11" s="4">
        <v>9</v>
      </c>
      <c r="B11" s="1" t="str">
        <v>S6  SAXS 6 </v>
      </c>
      <c r="C11" s="4" t="str">
        <v>Unwounded</v>
      </c>
      <c r="D11" s="1" t="str">
        <v>68  W </v>
      </c>
      <c r="E11" s="4" t="str">
        <v>E16.5</v>
      </c>
      <c r="F11" s="1" t="str">
        <v>54  S </v>
      </c>
      <c r="G11" s="4" t="str">
        <v>4W</v>
      </c>
      <c r="H11" s="1" t="str">
        <v>9 C - Digested </v>
      </c>
      <c r="I11" s="4" t="str">
        <v>24hr digested</v>
      </c>
      <c r="L11" s="1" t="str">
        <v>9 Paper</v>
      </c>
      <c r="M11" s="4" t="str">
        <v>Plain</v>
      </c>
      <c r="N11" s="1">
        <v>301</v>
      </c>
      <c r="O11" s="4" t="str">
        <v>T5224 Day 10</v>
      </c>
      <c r="P11" s="1">
        <v>383</v>
      </c>
      <c r="Q11" s="4" t="str">
        <v>JEB</v>
      </c>
      <c r="R11" s="1">
        <v>263</v>
      </c>
      <c r="S11" s="4" t="str">
        <v>Incision</v>
      </c>
      <c r="T11" s="4">
        <v>9</v>
      </c>
      <c r="V11" s="4"/>
      <c r="X11" s="4"/>
      <c r="Z11" s="4"/>
      <c r="AB11" s="4"/>
      <c r="AD11" s="4"/>
      <c r="AF11" s="4"/>
      <c r="AH11" s="4"/>
      <c r="AJ11" s="4"/>
    </row>
    <row r="12" spans="1:38" x14ac:dyDescent="0.2">
      <c r="A12" s="4">
        <v>10</v>
      </c>
      <c r="B12" s="1" t="str">
        <v>S7  SAXS 7 </v>
      </c>
      <c r="C12" s="4" t="str">
        <v>Unwounded</v>
      </c>
      <c r="D12" s="1" t="str">
        <v>69  X </v>
      </c>
      <c r="E12" s="4" t="str">
        <v>PN10</v>
      </c>
      <c r="F12" s="1" t="str">
        <v>55  S </v>
      </c>
      <c r="G12" s="4" t="str">
        <v>4W</v>
      </c>
      <c r="H12" s="1" t="str">
        <v>10 D - Digested </v>
      </c>
      <c r="I12" s="4" t="str">
        <v>48hr digested</v>
      </c>
      <c r="L12" s="1" t="str">
        <v>10 Paper</v>
      </c>
      <c r="M12" s="4" t="str">
        <v>Plain</v>
      </c>
      <c r="N12" s="1">
        <v>302</v>
      </c>
      <c r="O12" s="4" t="str">
        <v>T5224 Day 10</v>
      </c>
      <c r="P12" s="1">
        <v>384</v>
      </c>
      <c r="Q12" s="4" t="str">
        <v>JEB</v>
      </c>
      <c r="R12" s="1">
        <v>264</v>
      </c>
      <c r="S12" s="4" t="str">
        <v>Incision</v>
      </c>
      <c r="T12" s="4">
        <v>10</v>
      </c>
      <c r="V12" s="4"/>
      <c r="X12" s="4"/>
      <c r="Z12" s="4"/>
      <c r="AB12" s="4"/>
      <c r="AD12" s="4"/>
      <c r="AF12" s="4"/>
      <c r="AH12" s="4"/>
      <c r="AJ12" s="4"/>
    </row>
    <row r="13" spans="1:38" x14ac:dyDescent="0.2">
      <c r="A13" s="4">
        <v>11</v>
      </c>
      <c r="B13" s="1" t="str">
        <v>S8  SAXS 8 </v>
      </c>
      <c r="C13" s="4" t="str">
        <v>Unwounded</v>
      </c>
      <c r="D13" s="1" t="str">
        <v>70  X </v>
      </c>
      <c r="E13" s="4" t="str">
        <v>PN10</v>
      </c>
      <c r="F13" s="1" t="str">
        <v>56  S </v>
      </c>
      <c r="G13" s="4" t="str">
        <v>4W</v>
      </c>
      <c r="H13" s="1" t="str">
        <v>11 D - Digested </v>
      </c>
      <c r="I13" s="4" t="str">
        <v>48hr digested</v>
      </c>
      <c r="L13" s="1" t="str">
        <v>11 Paper</v>
      </c>
      <c r="M13" s="4" t="str">
        <v>Plain</v>
      </c>
      <c r="N13" s="1">
        <v>303</v>
      </c>
      <c r="O13" s="4" t="str">
        <v>Vehicle Day 10</v>
      </c>
      <c r="P13" s="1">
        <v>385</v>
      </c>
      <c r="Q13" s="4" t="str">
        <v>JEB</v>
      </c>
      <c r="R13" s="1">
        <v>265</v>
      </c>
      <c r="S13" s="4" t="str">
        <v>Incision</v>
      </c>
      <c r="T13" s="4">
        <v>11</v>
      </c>
      <c r="V13" s="4"/>
      <c r="X13" s="4"/>
      <c r="Z13" s="4"/>
      <c r="AB13" s="4"/>
      <c r="AD13" s="4"/>
      <c r="AF13" s="4"/>
      <c r="AH13" s="4"/>
      <c r="AJ13" s="4"/>
    </row>
    <row r="14" spans="1:38" x14ac:dyDescent="0.2">
      <c r="A14" s="4">
        <v>12</v>
      </c>
      <c r="B14" s="1" t="str">
        <v>19  G </v>
      </c>
      <c r="C14" s="4" t="str">
        <v>Unwounded</v>
      </c>
      <c r="D14" s="1" t="str">
        <v>71  X </v>
      </c>
      <c r="E14" s="4" t="str">
        <v>PN10</v>
      </c>
      <c r="F14" s="1" t="str">
        <v>57  T </v>
      </c>
      <c r="G14" s="4" t="str">
        <v>4W</v>
      </c>
      <c r="H14" s="1" t="str">
        <v>12 D - Digested </v>
      </c>
      <c r="I14" s="4" t="str">
        <v>48hr digested</v>
      </c>
      <c r="L14" s="1" t="str">
        <v>12 Paper</v>
      </c>
      <c r="M14" s="4" t="str">
        <v>Plain</v>
      </c>
      <c r="N14" s="1">
        <v>304</v>
      </c>
      <c r="O14" s="4" t="str">
        <v>T5224 Day 10</v>
      </c>
      <c r="P14" s="1">
        <v>386</v>
      </c>
      <c r="Q14" s="4" t="str">
        <v>JEB</v>
      </c>
      <c r="R14" s="1">
        <v>266</v>
      </c>
      <c r="S14" s="4" t="str">
        <v>Incision</v>
      </c>
      <c r="T14" s="4">
        <v>12</v>
      </c>
      <c r="V14" s="4"/>
      <c r="X14" s="4"/>
      <c r="Z14" s="4"/>
      <c r="AB14" s="4"/>
      <c r="AD14" s="4"/>
      <c r="AF14" s="4"/>
      <c r="AH14" s="4"/>
      <c r="AJ14" s="4"/>
    </row>
    <row r="15" spans="1:38" x14ac:dyDescent="0.2">
      <c r="A15" s="4">
        <v>13</v>
      </c>
      <c r="B15" s="1" t="str">
        <v>20  G </v>
      </c>
      <c r="C15" s="4" t="str">
        <v>Unwounded</v>
      </c>
      <c r="D15" s="1" t="str">
        <v>72  Y </v>
      </c>
      <c r="E15" s="4" t="str">
        <v>PN10</v>
      </c>
      <c r="F15" s="1" t="str">
        <v>58  T </v>
      </c>
      <c r="G15" s="4" t="str">
        <v>4W</v>
      </c>
      <c r="H15" s="1" t="str">
        <v>13 E - Digested </v>
      </c>
      <c r="I15" s="4" t="str">
        <v>48hr digested</v>
      </c>
      <c r="L15" s="1" t="str">
        <v>13 Paper</v>
      </c>
      <c r="M15" s="4" t="str">
        <v>Plain</v>
      </c>
      <c r="N15" s="1">
        <v>305</v>
      </c>
      <c r="O15" s="4" t="str">
        <v>T5224 Day 10</v>
      </c>
      <c r="P15" s="1">
        <v>387</v>
      </c>
      <c r="Q15" s="4" t="str">
        <v>JEB</v>
      </c>
      <c r="R15" s="1">
        <v>267</v>
      </c>
      <c r="S15" s="4" t="str">
        <v>Incision</v>
      </c>
      <c r="T15" s="4">
        <v>13</v>
      </c>
      <c r="V15" s="4"/>
      <c r="X15" s="4"/>
      <c r="Z15" s="4"/>
      <c r="AB15" s="4"/>
      <c r="AD15" s="4"/>
      <c r="AF15" s="4"/>
      <c r="AH15" s="4"/>
      <c r="AJ15" s="4"/>
    </row>
    <row r="16" spans="1:38" x14ac:dyDescent="0.2">
      <c r="A16" s="4">
        <v>14</v>
      </c>
      <c r="B16" s="1" t="str">
        <v>21  G  </v>
      </c>
      <c r="C16" s="4" t="str">
        <v>Unwounded</v>
      </c>
      <c r="D16" s="1" t="str">
        <v>73  Y </v>
      </c>
      <c r="E16" s="4" t="str">
        <v>PN10</v>
      </c>
      <c r="F16" s="1" t="str">
        <v>59  T </v>
      </c>
      <c r="G16" s="4" t="str">
        <v>4W</v>
      </c>
      <c r="H16" s="1" t="str">
        <v>14 E - Digested </v>
      </c>
      <c r="I16" s="4" t="str">
        <v>48hr digested</v>
      </c>
      <c r="L16" s="1" t="str">
        <v>14 Paper</v>
      </c>
      <c r="M16" s="4" t="str">
        <v>Plain</v>
      </c>
      <c r="N16" s="1">
        <v>306</v>
      </c>
      <c r="O16" s="4" t="str">
        <v>T5224 Day 10</v>
      </c>
      <c r="P16" s="1">
        <v>388</v>
      </c>
      <c r="Q16" s="4" t="str">
        <v>JEB</v>
      </c>
      <c r="R16" s="1">
        <v>268</v>
      </c>
      <c r="S16" s="4" t="str">
        <v>Incision</v>
      </c>
      <c r="T16" s="4">
        <v>14</v>
      </c>
      <c r="V16" s="4"/>
      <c r="X16" s="4"/>
      <c r="Z16" s="4"/>
      <c r="AB16" s="4"/>
      <c r="AD16" s="4"/>
      <c r="AF16" s="4"/>
      <c r="AH16" s="4"/>
      <c r="AJ16" s="4"/>
    </row>
    <row r="17" spans="1:36" x14ac:dyDescent="0.2">
      <c r="A17" s="4">
        <v>15</v>
      </c>
      <c r="B17" s="1" t="str">
        <v>22  H </v>
      </c>
      <c r="C17" s="4" t="str">
        <v>Unwounded</v>
      </c>
      <c r="D17" s="1" t="str">
        <v>74  Y </v>
      </c>
      <c r="E17" s="4" t="str">
        <v>PN10</v>
      </c>
      <c r="F17" s="1" t="str">
        <v>60  U </v>
      </c>
      <c r="G17" s="4" t="str">
        <v>PBS</v>
      </c>
      <c r="H17" s="1" t="str">
        <v>15 E - Digested </v>
      </c>
      <c r="I17" s="4" t="str">
        <v>48hr digested</v>
      </c>
      <c r="L17" s="1" t="str">
        <v>15 Paper</v>
      </c>
      <c r="M17" s="4" t="str">
        <v>Plain</v>
      </c>
      <c r="N17" s="1">
        <v>307</v>
      </c>
      <c r="O17" s="4" t="str">
        <v>Vehicle Day 10</v>
      </c>
      <c r="P17" s="1">
        <v>389</v>
      </c>
      <c r="Q17" s="4" t="str">
        <v>JEB</v>
      </c>
      <c r="R17" s="1" t="str">
        <v>1H</v>
      </c>
      <c r="S17" s="4" t="str">
        <v>Incision</v>
      </c>
      <c r="T17" s="4">
        <v>15</v>
      </c>
      <c r="V17" s="4"/>
      <c r="X17" s="4"/>
      <c r="Z17" s="4"/>
      <c r="AB17" s="4"/>
      <c r="AD17" s="4"/>
      <c r="AF17" s="4"/>
      <c r="AH17" s="4"/>
      <c r="AJ17" s="4"/>
    </row>
    <row r="18" spans="1:36" x14ac:dyDescent="0.2">
      <c r="A18" s="4">
        <v>16</v>
      </c>
      <c r="B18" s="1" t="str">
        <v>23  H </v>
      </c>
      <c r="C18" s="4" t="str">
        <v>Unwounded</v>
      </c>
      <c r="D18" s="1" t="str">
        <v>P2 1</v>
      </c>
      <c r="E18" s="4" t="str">
        <v>PN2</v>
      </c>
      <c r="F18" s="1" t="str">
        <v>61  U </v>
      </c>
      <c r="G18" s="4" t="str">
        <v>PBS</v>
      </c>
      <c r="L18" s="1" t="str">
        <v>16 Paper</v>
      </c>
      <c r="M18" s="4" t="str">
        <v>Plain</v>
      </c>
      <c r="N18" s="1">
        <v>308</v>
      </c>
      <c r="O18" s="4" t="str">
        <v>Vehicle Day 10</v>
      </c>
      <c r="P18" s="1">
        <v>390</v>
      </c>
      <c r="Q18" s="4" t="str">
        <v>JEB</v>
      </c>
      <c r="R18" s="1" t="str">
        <v>2H</v>
      </c>
      <c r="S18" s="4" t="str">
        <v>Incision</v>
      </c>
      <c r="T18" s="4">
        <v>16</v>
      </c>
      <c r="V18" s="4"/>
      <c r="X18" s="4"/>
      <c r="Z18" s="4"/>
      <c r="AB18" s="4"/>
      <c r="AD18" s="4"/>
      <c r="AF18" s="4"/>
      <c r="AH18" s="4"/>
      <c r="AJ18" s="4"/>
    </row>
    <row r="19" spans="1:36" x14ac:dyDescent="0.2">
      <c r="A19" s="4">
        <v>17</v>
      </c>
      <c r="B19" s="1" t="str">
        <v>24  H </v>
      </c>
      <c r="C19" s="4" t="str">
        <v>Unwounded</v>
      </c>
      <c r="D19" s="1" t="str">
        <v>E18.5</v>
      </c>
      <c r="E19" s="4" t="str">
        <v>E18.5</v>
      </c>
      <c r="F19" s="1" t="str">
        <v>62  U </v>
      </c>
      <c r="G19" s="4" t="str">
        <v>PBS</v>
      </c>
      <c r="L19" s="1" t="str">
        <v>17 Paper</v>
      </c>
      <c r="M19" s="4" t="str">
        <v>Plain</v>
      </c>
      <c r="N19" s="1">
        <v>309</v>
      </c>
      <c r="O19" s="4" t="str">
        <v>Vehicle Day 10</v>
      </c>
      <c r="P19" s="1">
        <v>391</v>
      </c>
      <c r="Q19" s="4" t="str">
        <v>JEB</v>
      </c>
      <c r="R19" s="1" t="str">
        <v>3H</v>
      </c>
      <c r="S19" s="4" t="str">
        <v>Incision</v>
      </c>
      <c r="T19" s="4">
        <v>17</v>
      </c>
      <c r="V19" s="4"/>
      <c r="X19" s="4"/>
      <c r="Z19" s="4"/>
      <c r="AB19" s="4"/>
      <c r="AD19" s="4"/>
      <c r="AF19" s="4"/>
      <c r="AH19" s="4"/>
      <c r="AJ19" s="4"/>
    </row>
    <row r="20" spans="1:36" x14ac:dyDescent="0.2">
      <c r="A20" s="4">
        <v>18</v>
      </c>
      <c r="B20" s="1" t="str">
        <v>25  I </v>
      </c>
      <c r="C20" s="4" t="str">
        <v>Day 7</v>
      </c>
      <c r="D20" s="1" t="str">
        <v>1 SAXS</v>
      </c>
      <c r="E20" s="4" t="str">
        <v>PN2</v>
      </c>
      <c r="F20" s="1" t="str">
        <v>63  V </v>
      </c>
      <c r="G20" s="4" t="str">
        <v>PBS</v>
      </c>
      <c r="L20" s="1" t="str">
        <v>18 Paper</v>
      </c>
      <c r="M20" s="4" t="str">
        <v>Plain</v>
      </c>
      <c r="N20" s="1">
        <v>310</v>
      </c>
      <c r="O20" s="4" t="str">
        <v>Vehicle Day 10</v>
      </c>
      <c r="P20" s="1">
        <v>392</v>
      </c>
      <c r="Q20" s="4" t="str">
        <v>JEB</v>
      </c>
      <c r="R20" s="1" t="str">
        <v>4H</v>
      </c>
      <c r="S20" s="4" t="str">
        <v>Incision</v>
      </c>
      <c r="T20" s="4">
        <v>18</v>
      </c>
      <c r="V20" s="4"/>
      <c r="X20" s="4"/>
      <c r="Z20" s="4"/>
      <c r="AB20" s="4"/>
      <c r="AD20" s="4"/>
      <c r="AF20" s="4"/>
      <c r="AH20" s="4"/>
      <c r="AJ20" s="4"/>
    </row>
    <row r="21" spans="1:36" x14ac:dyDescent="0.2">
      <c r="A21" s="4">
        <v>19</v>
      </c>
      <c r="B21" s="1" t="str">
        <v>26  I </v>
      </c>
      <c r="C21" s="4" t="str">
        <v>Day 7</v>
      </c>
      <c r="D21" s="1" t="str">
        <v>2 SAXS</v>
      </c>
      <c r="E21" s="4" t="str">
        <v>PN2</v>
      </c>
      <c r="F21" s="1" t="str">
        <v>64  V </v>
      </c>
      <c r="G21" s="4" t="str">
        <v>PBS</v>
      </c>
      <c r="L21" s="1" t="str">
        <v>19 Paper</v>
      </c>
      <c r="M21" s="4" t="str">
        <v>Plain</v>
      </c>
      <c r="N21" s="1">
        <v>200</v>
      </c>
      <c r="O21" s="4" t="str">
        <v>T5224 Day 10</v>
      </c>
      <c r="P21" s="1">
        <v>393</v>
      </c>
      <c r="Q21" s="4" t="str">
        <v>JEB</v>
      </c>
      <c r="R21" s="1" t="str">
        <v>5H</v>
      </c>
      <c r="S21" s="4" t="str">
        <v>Incision</v>
      </c>
      <c r="T21" s="4">
        <v>19</v>
      </c>
      <c r="V21" s="4"/>
      <c r="X21" s="4"/>
      <c r="Z21" s="4"/>
      <c r="AB21" s="4"/>
      <c r="AD21" s="4"/>
      <c r="AF21" s="4"/>
      <c r="AH21" s="4"/>
      <c r="AJ21" s="4"/>
    </row>
    <row r="22" spans="1:36" x14ac:dyDescent="0.2">
      <c r="A22" s="4">
        <v>20</v>
      </c>
      <c r="B22" s="1" t="str">
        <v>27  I </v>
      </c>
      <c r="C22" s="4" t="str">
        <v>Day 7</v>
      </c>
      <c r="D22" s="1" t="str">
        <v>3 SAXS</v>
      </c>
      <c r="E22" s="4" t="str">
        <v>PN2</v>
      </c>
      <c r="F22" s="1" t="str">
        <v>65  V </v>
      </c>
      <c r="G22" s="4" t="str">
        <v>PBS</v>
      </c>
      <c r="L22" s="1" t="str">
        <v>20 Paper</v>
      </c>
      <c r="M22" s="4" t="str">
        <v>Plain</v>
      </c>
      <c r="N22" s="1">
        <v>201</v>
      </c>
      <c r="O22" s="4" t="str">
        <v>Vehicle Day 10</v>
      </c>
      <c r="P22" s="1">
        <v>394</v>
      </c>
      <c r="Q22" s="4" t="str">
        <v>JEB</v>
      </c>
      <c r="R22" s="1" t="str">
        <v>6H</v>
      </c>
      <c r="S22" s="4" t="str">
        <v>Incision</v>
      </c>
      <c r="T22" s="4">
        <v>20</v>
      </c>
      <c r="V22" s="4"/>
      <c r="X22" s="4"/>
      <c r="Z22" s="4"/>
      <c r="AB22" s="4"/>
      <c r="AD22" s="4"/>
      <c r="AF22" s="4"/>
      <c r="AH22" s="4"/>
      <c r="AJ22" s="4"/>
    </row>
    <row r="23" spans="1:36" x14ac:dyDescent="0.2">
      <c r="A23" s="4">
        <v>21</v>
      </c>
      <c r="B23" s="1" t="str">
        <v>28  J </v>
      </c>
      <c r="C23" s="4" t="str">
        <v>Unwounded</v>
      </c>
      <c r="D23" s="1" t="str">
        <v>4 SAXS</v>
      </c>
      <c r="E23" s="4" t="str">
        <v>PN2</v>
      </c>
      <c r="F23" s="1" t="str">
        <v>75  Z </v>
      </c>
      <c r="G23" s="4" t="str">
        <v>4W</v>
      </c>
      <c r="L23" s="1" t="str">
        <v>21 Paper</v>
      </c>
      <c r="M23" s="4" t="str">
        <v>Plain</v>
      </c>
      <c r="N23" s="1">
        <v>202</v>
      </c>
      <c r="O23" s="4" t="str">
        <v>T5224 Day 10</v>
      </c>
      <c r="P23" s="1">
        <v>400</v>
      </c>
      <c r="Q23" s="4" t="str">
        <v>JEB</v>
      </c>
      <c r="R23" s="1" t="str">
        <v>7H</v>
      </c>
      <c r="S23" s="4" t="str">
        <v>Incision</v>
      </c>
      <c r="T23" s="4">
        <v>21</v>
      </c>
      <c r="V23" s="4"/>
      <c r="X23" s="4"/>
      <c r="Z23" s="4"/>
      <c r="AB23" s="4"/>
      <c r="AD23" s="4"/>
      <c r="AF23" s="4"/>
      <c r="AH23" s="4"/>
      <c r="AJ23" s="4"/>
    </row>
    <row r="24" spans="1:36" x14ac:dyDescent="0.2">
      <c r="A24" s="4">
        <v>22</v>
      </c>
      <c r="B24" s="1" t="str">
        <v>29  J </v>
      </c>
      <c r="C24" s="4" t="str">
        <v>Unwounded</v>
      </c>
      <c r="D24" s="1" t="str">
        <v>5 SAXS</v>
      </c>
      <c r="E24" s="4" t="str">
        <v>PN2</v>
      </c>
      <c r="F24" s="1" t="str">
        <v>76  Z </v>
      </c>
      <c r="G24" s="4" t="str">
        <v>4W</v>
      </c>
      <c r="L24" s="1" t="str">
        <v>22 Paper</v>
      </c>
      <c r="M24" s="4" t="str">
        <v>Plain</v>
      </c>
      <c r="N24" s="1">
        <v>203</v>
      </c>
      <c r="O24" s="4" t="str">
        <v>T5224 Day 10</v>
      </c>
      <c r="P24" s="1">
        <v>401</v>
      </c>
      <c r="Q24" s="4" t="str">
        <v>JEB</v>
      </c>
      <c r="R24" s="1" t="str">
        <v>8H</v>
      </c>
      <c r="S24" s="4" t="str">
        <v>Incision</v>
      </c>
      <c r="T24" s="4">
        <v>22</v>
      </c>
      <c r="V24" s="4"/>
      <c r="X24" s="4"/>
      <c r="Z24" s="4"/>
      <c r="AB24" s="4"/>
      <c r="AD24" s="4"/>
      <c r="AF24" s="4"/>
      <c r="AH24" s="4"/>
      <c r="AJ24" s="4"/>
    </row>
    <row r="25" spans="1:36" x14ac:dyDescent="0.2">
      <c r="A25" s="4">
        <v>23</v>
      </c>
      <c r="B25" s="1" t="str">
        <v>30  J </v>
      </c>
      <c r="C25" s="4" t="str">
        <v>Unwounded</v>
      </c>
      <c r="D25" s="1" t="str">
        <v>6 SAXS</v>
      </c>
      <c r="E25" s="4" t="str">
        <v>PN2</v>
      </c>
      <c r="F25" s="1" t="str">
        <v>77  Z </v>
      </c>
      <c r="G25" s="4" t="str">
        <v>4W</v>
      </c>
      <c r="L25" s="1" t="str">
        <v>23 Paper</v>
      </c>
      <c r="M25" s="4" t="str">
        <v>Plain</v>
      </c>
      <c r="N25" s="1">
        <v>204</v>
      </c>
      <c r="O25" s="4" t="str">
        <v>Vehicle Day 10</v>
      </c>
      <c r="P25" s="1">
        <v>402</v>
      </c>
      <c r="Q25" s="4" t="str">
        <v>JEB</v>
      </c>
      <c r="R25" s="1" t="str">
        <v xml:space="preserve">9H </v>
      </c>
      <c r="S25" s="4" t="str">
        <v>Incision</v>
      </c>
      <c r="T25" s="4">
        <v>23</v>
      </c>
      <c r="V25" s="4"/>
      <c r="X25" s="4"/>
      <c r="Z25" s="4"/>
      <c r="AB25" s="4"/>
      <c r="AD25" s="4"/>
      <c r="AF25" s="4"/>
      <c r="AH25" s="4"/>
      <c r="AJ25" s="4"/>
    </row>
    <row r="26" spans="1:36" x14ac:dyDescent="0.2">
      <c r="A26" s="4">
        <v>24</v>
      </c>
      <c r="B26" s="1" t="str">
        <v>31  K </v>
      </c>
      <c r="C26" s="4" t="str">
        <v>Day 7</v>
      </c>
      <c r="D26" s="1" t="str">
        <v>7 SAXS</v>
      </c>
      <c r="E26" s="4" t="str">
        <v>PN2</v>
      </c>
      <c r="F26" s="1" t="str">
        <v>78  Z </v>
      </c>
      <c r="G26" s="4" t="str">
        <v>4W</v>
      </c>
      <c r="L26" s="1" t="str">
        <v>24 Paper</v>
      </c>
      <c r="M26" s="4" t="str">
        <v>Plain</v>
      </c>
      <c r="N26" s="1">
        <v>205</v>
      </c>
      <c r="O26" s="4" t="str">
        <v>Vehicle Day 10</v>
      </c>
      <c r="P26" s="1">
        <v>403</v>
      </c>
      <c r="Q26" s="4" t="str">
        <v>JEB</v>
      </c>
      <c r="R26" s="1" t="str">
        <v>10H</v>
      </c>
      <c r="S26" s="4" t="str">
        <v>Incision</v>
      </c>
      <c r="T26" s="4">
        <v>24</v>
      </c>
      <c r="V26" s="4"/>
      <c r="X26" s="4"/>
      <c r="Z26" s="4"/>
      <c r="AB26" s="4"/>
      <c r="AD26" s="4"/>
      <c r="AF26" s="4"/>
      <c r="AH26" s="4"/>
      <c r="AJ26" s="4"/>
    </row>
    <row r="27" spans="1:36" x14ac:dyDescent="0.2">
      <c r="A27" s="4">
        <v>25</v>
      </c>
      <c r="B27" s="1" t="str">
        <v>32  K </v>
      </c>
      <c r="C27" s="4" t="str">
        <v>Day 7</v>
      </c>
      <c r="D27" s="1" t="str">
        <v>8 SAXS</v>
      </c>
      <c r="E27" s="4" t="str">
        <v>PN2</v>
      </c>
      <c r="F27" s="1" t="str">
        <v>79  AA </v>
      </c>
      <c r="G27" s="4" t="str">
        <v>4W</v>
      </c>
      <c r="L27" s="1" t="str">
        <v>25 Paper</v>
      </c>
      <c r="M27" s="4" t="str">
        <v>Plain</v>
      </c>
      <c r="N27" s="1" t="str">
        <v>269A</v>
      </c>
      <c r="O27" s="4" t="str">
        <v>T5224 Day 10</v>
      </c>
      <c r="P27" s="1">
        <v>404</v>
      </c>
      <c r="Q27" s="4" t="str">
        <v>JEB</v>
      </c>
      <c r="R27" s="1" t="str">
        <v>2a</v>
      </c>
      <c r="S27" s="4" t="str">
        <v>Incision</v>
      </c>
      <c r="T27" s="4">
        <v>25</v>
      </c>
      <c r="V27" s="4"/>
      <c r="X27" s="4"/>
      <c r="Z27" s="4"/>
      <c r="AB27" s="4"/>
      <c r="AD27" s="4"/>
      <c r="AF27" s="4"/>
      <c r="AH27" s="4"/>
      <c r="AJ27" s="4"/>
    </row>
    <row r="28" spans="1:36" x14ac:dyDescent="0.2">
      <c r="A28" s="4">
        <v>26</v>
      </c>
      <c r="B28" s="1" t="str">
        <v>33  K </v>
      </c>
      <c r="C28" s="4" t="str">
        <v>Day 7</v>
      </c>
      <c r="D28" s="1" t="str">
        <v>9 SAXS</v>
      </c>
      <c r="E28" s="4" t="str">
        <v>PN2</v>
      </c>
      <c r="F28" s="1" t="str">
        <v>80  AA </v>
      </c>
      <c r="G28" s="4" t="str">
        <v>4W</v>
      </c>
      <c r="L28" s="1" t="str">
        <v>26 Paper</v>
      </c>
      <c r="M28" s="4" t="str">
        <v>Plain</v>
      </c>
      <c r="N28" s="1" t="str">
        <v>270A</v>
      </c>
      <c r="O28" s="4" t="str">
        <v>Vehicle Day 10</v>
      </c>
      <c r="P28" s="1">
        <v>405</v>
      </c>
      <c r="Q28" s="4" t="str">
        <v>JEB</v>
      </c>
      <c r="R28" s="1" t="str">
        <v>2b</v>
      </c>
      <c r="S28" s="4" t="str">
        <v>Incision</v>
      </c>
      <c r="T28" s="4">
        <v>26</v>
      </c>
      <c r="V28" s="4"/>
      <c r="X28" s="4"/>
      <c r="Z28" s="4"/>
      <c r="AB28" s="4"/>
      <c r="AD28" s="4"/>
      <c r="AF28" s="4"/>
      <c r="AH28" s="4"/>
      <c r="AJ28" s="4"/>
    </row>
    <row r="29" spans="1:36" x14ac:dyDescent="0.2">
      <c r="A29" s="4">
        <v>27</v>
      </c>
      <c r="B29" s="1" t="str">
        <v>34  L </v>
      </c>
      <c r="C29" s="4" t="str">
        <v>Unwounded</v>
      </c>
      <c r="D29" s="1" t="str">
        <v>10 SAXS</v>
      </c>
      <c r="E29" s="4" t="str">
        <v>E16.5</v>
      </c>
      <c r="F29" s="1" t="str">
        <v>81  AA </v>
      </c>
      <c r="G29" s="4" t="str">
        <v>4W</v>
      </c>
      <c r="L29" s="1" t="str">
        <v>27 Paper</v>
      </c>
      <c r="M29" s="4" t="str">
        <v>Plain</v>
      </c>
      <c r="N29" s="1" t="str">
        <v>271A</v>
      </c>
      <c r="O29" s="4" t="str">
        <v>T5224 Day 10</v>
      </c>
      <c r="P29" s="1">
        <v>406</v>
      </c>
      <c r="Q29" s="4" t="str">
        <v>JEB</v>
      </c>
      <c r="R29" s="1" t="str">
        <v>2c</v>
      </c>
      <c r="S29" s="4" t="str">
        <v>Incision</v>
      </c>
      <c r="T29" s="4">
        <v>27</v>
      </c>
      <c r="V29" s="4"/>
      <c r="X29" s="4"/>
      <c r="Z29" s="4"/>
      <c r="AB29" s="4"/>
      <c r="AD29" s="4"/>
      <c r="AF29" s="4"/>
      <c r="AH29" s="4"/>
      <c r="AJ29" s="4"/>
    </row>
    <row r="30" spans="1:36" x14ac:dyDescent="0.2">
      <c r="A30" s="4">
        <v>28</v>
      </c>
      <c r="B30" s="1" t="str">
        <v>35  L </v>
      </c>
      <c r="C30" s="4" t="str">
        <v>Unwounded</v>
      </c>
      <c r="D30" s="1" t="str">
        <v>11 SAXS</v>
      </c>
      <c r="E30" s="4" t="str">
        <v>E16.5</v>
      </c>
      <c r="F30" s="1" t="str">
        <v>82  AA </v>
      </c>
      <c r="G30" s="4" t="str">
        <v>4W</v>
      </c>
      <c r="L30" s="1" t="str">
        <v>28 Paper</v>
      </c>
      <c r="M30" s="4" t="str">
        <v>Plain</v>
      </c>
      <c r="N30" s="1" t="str">
        <v>272A</v>
      </c>
      <c r="O30" s="4" t="str">
        <v>T5224 Day 10</v>
      </c>
      <c r="P30" s="1">
        <v>407</v>
      </c>
      <c r="Q30" s="4" t="str">
        <v>JEB</v>
      </c>
      <c r="T30" s="4">
        <v>28</v>
      </c>
      <c r="V30" s="4"/>
      <c r="X30" s="4"/>
      <c r="Z30" s="4"/>
      <c r="AB30" s="4"/>
      <c r="AD30" s="4"/>
      <c r="AF30" s="4"/>
      <c r="AH30" s="4"/>
      <c r="AJ30" s="4"/>
    </row>
    <row r="31" spans="1:36" x14ac:dyDescent="0.2">
      <c r="A31" s="4">
        <v>29</v>
      </c>
      <c r="B31" s="1" t="str">
        <v>36  L </v>
      </c>
      <c r="C31" s="4" t="str">
        <v>Unwounded</v>
      </c>
      <c r="D31" s="1" t="str">
        <v>12 SAXS</v>
      </c>
      <c r="E31" s="4" t="str">
        <v>E16.5</v>
      </c>
      <c r="F31" s="1" t="str">
        <v>83  AB </v>
      </c>
      <c r="G31" s="4" t="str">
        <v>PBS</v>
      </c>
      <c r="L31" s="1" t="str">
        <v>29 Paper</v>
      </c>
      <c r="M31" s="4" t="str">
        <v>Plain</v>
      </c>
      <c r="N31" s="1" t="str">
        <v>273A</v>
      </c>
      <c r="O31" s="4" t="str">
        <v>T5224 Day 10</v>
      </c>
      <c r="P31" s="1">
        <v>408</v>
      </c>
      <c r="Q31" s="4" t="str">
        <v>JEB</v>
      </c>
      <c r="T31" s="4">
        <v>29</v>
      </c>
      <c r="V31" s="4"/>
      <c r="X31" s="4"/>
      <c r="Z31" s="4"/>
      <c r="AB31" s="4"/>
      <c r="AD31" s="4"/>
      <c r="AF31" s="4"/>
      <c r="AH31" s="4"/>
      <c r="AJ31" s="4"/>
    </row>
    <row r="32" spans="1:36" x14ac:dyDescent="0.2">
      <c r="A32" s="4">
        <v>30</v>
      </c>
      <c r="B32" s="1" t="str">
        <v>37  M </v>
      </c>
      <c r="C32" s="4" t="str">
        <v>Day 7</v>
      </c>
      <c r="D32" s="1" t="str">
        <v>13 SAXS</v>
      </c>
      <c r="E32" s="4" t="str">
        <v>E16.5</v>
      </c>
      <c r="F32" s="1" t="str">
        <v>84  AB </v>
      </c>
      <c r="G32" s="4" t="str">
        <v>PBS</v>
      </c>
      <c r="L32" s="1" t="str">
        <v>30 Paper</v>
      </c>
      <c r="M32" s="4" t="str">
        <v>Plain</v>
      </c>
      <c r="N32" s="1" t="str">
        <v>274A</v>
      </c>
      <c r="O32" s="4" t="str">
        <v>T5224 Day 10</v>
      </c>
      <c r="P32" s="1">
        <v>409</v>
      </c>
      <c r="Q32" s="4" t="str">
        <v>JEB</v>
      </c>
      <c r="T32" s="4">
        <v>30</v>
      </c>
      <c r="V32" s="4"/>
      <c r="X32" s="4"/>
      <c r="Z32" s="4"/>
      <c r="AB32" s="4"/>
      <c r="AD32" s="4"/>
      <c r="AF32" s="4"/>
      <c r="AH32" s="4"/>
      <c r="AJ32" s="4"/>
    </row>
    <row r="33" spans="1:36" x14ac:dyDescent="0.2">
      <c r="A33" s="4">
        <v>31</v>
      </c>
      <c r="B33" s="1" t="str">
        <v>38  M </v>
      </c>
      <c r="C33" s="4" t="str">
        <v>Day 7</v>
      </c>
      <c r="D33" s="1" t="str">
        <v>14 SAXS</v>
      </c>
      <c r="E33" s="4" t="str">
        <v>E16.5</v>
      </c>
      <c r="F33" s="1" t="str">
        <v>85  AB </v>
      </c>
      <c r="G33" s="4" t="str">
        <v>PBS</v>
      </c>
      <c r="L33" s="1" t="str">
        <v>31 Paper</v>
      </c>
      <c r="M33" s="4" t="str">
        <v>Plain</v>
      </c>
      <c r="N33" s="1" t="str">
        <v>275A</v>
      </c>
      <c r="O33" s="4" t="str">
        <v>Vehicle Day 10</v>
      </c>
      <c r="P33" s="1">
        <v>410</v>
      </c>
      <c r="Q33" s="4" t="str">
        <v>JEB</v>
      </c>
      <c r="T33" s="4">
        <v>31</v>
      </c>
      <c r="V33" s="4"/>
      <c r="X33" s="4"/>
      <c r="Z33" s="4"/>
      <c r="AB33" s="4"/>
      <c r="AD33" s="4"/>
      <c r="AF33" s="4"/>
      <c r="AH33" s="4"/>
      <c r="AJ33" s="4"/>
    </row>
    <row r="34" spans="1:36" x14ac:dyDescent="0.2">
      <c r="A34" s="4">
        <v>32</v>
      </c>
      <c r="B34" s="1" t="str">
        <v>39  M </v>
      </c>
      <c r="C34" s="4" t="str">
        <v>Day 7</v>
      </c>
      <c r="D34" s="1" t="str">
        <v>15 SAXS</v>
      </c>
      <c r="E34" s="4" t="str">
        <v>E16.5</v>
      </c>
      <c r="F34" s="1" t="str">
        <v>86  AB </v>
      </c>
      <c r="G34" s="4" t="str">
        <v>PBS</v>
      </c>
      <c r="L34" s="1" t="str">
        <v>32 Paper</v>
      </c>
      <c r="M34" s="4" t="str">
        <v>Plain</v>
      </c>
      <c r="N34" s="1" t="str">
        <v>276A</v>
      </c>
      <c r="O34" s="4" t="str">
        <v>T5224 Day 10</v>
      </c>
      <c r="P34" s="1">
        <v>411</v>
      </c>
      <c r="Q34" s="4" t="str">
        <v>JEB</v>
      </c>
      <c r="T34" s="4">
        <v>32</v>
      </c>
      <c r="V34" s="4"/>
      <c r="X34" s="4"/>
      <c r="Z34" s="4"/>
      <c r="AB34" s="4"/>
      <c r="AD34" s="4"/>
      <c r="AF34" s="4"/>
      <c r="AH34" s="4"/>
      <c r="AJ34" s="4"/>
    </row>
    <row r="35" spans="1:36" x14ac:dyDescent="0.2">
      <c r="A35" s="4">
        <v>33</v>
      </c>
      <c r="B35" s="1" t="str">
        <v>151  AF </v>
      </c>
      <c r="C35" s="4" t="str">
        <v>Day 7</v>
      </c>
      <c r="D35" s="1" t="str">
        <v>16 SAXS</v>
      </c>
      <c r="E35" s="4" t="str">
        <v>E16.5</v>
      </c>
      <c r="F35" s="1" t="str">
        <v>87  AC </v>
      </c>
      <c r="G35" s="4" t="str">
        <v>PBS</v>
      </c>
      <c r="L35" s="1" t="str">
        <v>33 Paper</v>
      </c>
      <c r="M35" s="4" t="str">
        <v>Plain</v>
      </c>
      <c r="N35" s="1" t="str">
        <v>277A</v>
      </c>
      <c r="O35" s="4" t="str">
        <v>Vehicle Day 10</v>
      </c>
      <c r="P35" s="1">
        <v>412</v>
      </c>
      <c r="Q35" s="4" t="str">
        <v>JEB</v>
      </c>
      <c r="T35" s="4">
        <v>33</v>
      </c>
      <c r="V35" s="4"/>
      <c r="X35" s="4"/>
      <c r="Z35" s="4"/>
      <c r="AB35" s="4"/>
      <c r="AD35" s="4"/>
      <c r="AF35" s="4"/>
      <c r="AH35" s="4"/>
      <c r="AJ35" s="4"/>
    </row>
    <row r="36" spans="1:36" x14ac:dyDescent="0.2">
      <c r="A36" s="4">
        <v>34</v>
      </c>
      <c r="B36" s="1" t="str">
        <v>152  AF </v>
      </c>
      <c r="C36" s="4" t="str">
        <v>Day 7</v>
      </c>
      <c r="D36" s="1" t="str">
        <v>17 SAXS</v>
      </c>
      <c r="E36" s="4" t="str">
        <v>E16.5</v>
      </c>
      <c r="F36" s="1" t="str">
        <v>88  AC </v>
      </c>
      <c r="G36" s="4" t="str">
        <v>PBS</v>
      </c>
      <c r="L36" s="1" t="str">
        <v>34 Paper</v>
      </c>
      <c r="M36" s="4" t="str">
        <v>Plain</v>
      </c>
      <c r="N36" s="1" t="str">
        <v>278A</v>
      </c>
      <c r="O36" s="4" t="str">
        <v>CL Day 21</v>
      </c>
      <c r="P36" s="1">
        <v>413</v>
      </c>
      <c r="Q36" s="4" t="str">
        <v>JEB</v>
      </c>
      <c r="T36" s="4">
        <v>34</v>
      </c>
      <c r="V36" s="4"/>
      <c r="X36" s="4"/>
      <c r="Z36" s="4"/>
      <c r="AB36" s="4"/>
      <c r="AD36" s="4"/>
      <c r="AF36" s="4"/>
      <c r="AH36" s="4"/>
      <c r="AJ36" s="4"/>
    </row>
    <row r="37" spans="1:36" x14ac:dyDescent="0.2">
      <c r="A37" s="4">
        <v>35</v>
      </c>
      <c r="B37" s="1" t="str">
        <v>153  AF </v>
      </c>
      <c r="C37" s="4" t="str">
        <v>Day 7</v>
      </c>
      <c r="D37" s="1" t="str">
        <v>18 SAXS</v>
      </c>
      <c r="E37" s="4" t="str">
        <v>E16.5</v>
      </c>
      <c r="F37" s="1" t="str">
        <v>89  AC </v>
      </c>
      <c r="G37" s="4" t="str">
        <v>PBS</v>
      </c>
      <c r="L37" s="1" t="str">
        <v>35 Paper</v>
      </c>
      <c r="M37" s="4" t="str">
        <v>Plain</v>
      </c>
      <c r="N37" s="1" t="str">
        <v>279A</v>
      </c>
      <c r="O37" s="4" t="str">
        <v>Acetone Day 21</v>
      </c>
      <c r="P37" s="1">
        <v>414</v>
      </c>
      <c r="Q37" s="4" t="str">
        <v>JEB</v>
      </c>
      <c r="T37" s="4">
        <v>35</v>
      </c>
      <c r="V37" s="4"/>
      <c r="X37" s="4"/>
      <c r="Z37" s="4"/>
      <c r="AB37" s="4"/>
      <c r="AD37" s="4"/>
      <c r="AF37" s="4"/>
      <c r="AH37" s="4"/>
      <c r="AJ37" s="4"/>
    </row>
    <row r="38" spans="1:36" x14ac:dyDescent="0.2">
      <c r="A38" s="4">
        <v>36</v>
      </c>
      <c r="B38" s="1" t="str">
        <v>154  AF </v>
      </c>
      <c r="C38" s="4" t="str">
        <v>Day 7</v>
      </c>
      <c r="D38" s="1" t="str">
        <v>19 SAXS</v>
      </c>
      <c r="E38" s="4" t="str">
        <v>E16.5</v>
      </c>
      <c r="F38" s="1" t="str">
        <v>90  AD </v>
      </c>
      <c r="G38" s="4" t="str">
        <v>PBS</v>
      </c>
      <c r="L38" s="1" t="str">
        <v>36 Paper</v>
      </c>
      <c r="M38" s="4" t="str">
        <v>Plain</v>
      </c>
      <c r="N38" s="1" t="str">
        <v>280A</v>
      </c>
      <c r="O38" s="4" t="str">
        <v>Acetone Day 21</v>
      </c>
      <c r="P38" s="1">
        <v>415</v>
      </c>
      <c r="Q38" s="4" t="str">
        <v>JEB</v>
      </c>
      <c r="T38" s="4">
        <v>36</v>
      </c>
      <c r="V38" s="4"/>
      <c r="X38" s="4"/>
      <c r="Z38" s="4"/>
      <c r="AB38" s="4"/>
      <c r="AD38" s="4"/>
      <c r="AF38" s="4"/>
      <c r="AH38" s="4"/>
      <c r="AJ38" s="4"/>
    </row>
    <row r="39" spans="1:36" x14ac:dyDescent="0.2">
      <c r="A39" s="4">
        <v>37</v>
      </c>
      <c r="B39" s="1" t="str">
        <v>155  AG </v>
      </c>
      <c r="C39" s="4" t="str">
        <v>Day 14</v>
      </c>
      <c r="D39" s="1" t="str">
        <v>20 SAXS</v>
      </c>
      <c r="E39" s="4" t="str">
        <v>E16.5</v>
      </c>
      <c r="F39" s="1" t="str">
        <v>91   AE </v>
      </c>
      <c r="G39" s="4" t="str">
        <v>PBS</v>
      </c>
      <c r="L39" s="1" t="str">
        <v>37 Paper</v>
      </c>
      <c r="M39" s="4" t="str">
        <v>Plain</v>
      </c>
      <c r="N39" s="1" t="str">
        <v>281A</v>
      </c>
      <c r="O39" s="4" t="str">
        <v>CL Day 21</v>
      </c>
      <c r="P39" s="1">
        <v>416</v>
      </c>
      <c r="Q39" s="4" t="str">
        <v>JEB</v>
      </c>
      <c r="T39" s="4">
        <v>37</v>
      </c>
      <c r="V39" s="4"/>
      <c r="X39" s="4"/>
      <c r="Z39" s="4"/>
      <c r="AB39" s="4"/>
      <c r="AD39" s="4"/>
      <c r="AF39" s="4"/>
      <c r="AH39" s="4"/>
      <c r="AJ39" s="4"/>
    </row>
    <row r="40" spans="1:36" x14ac:dyDescent="0.2">
      <c r="A40" s="4">
        <v>38</v>
      </c>
      <c r="B40" s="1" t="str">
        <v>156  AG </v>
      </c>
      <c r="C40" s="4" t="str">
        <v>Day 14</v>
      </c>
      <c r="D40" s="1" t="str">
        <v>21 SAXS</v>
      </c>
      <c r="E40" s="4" t="str">
        <v>PN10</v>
      </c>
      <c r="F40" s="1" t="str">
        <v>92  AE </v>
      </c>
      <c r="G40" s="4" t="str">
        <v>PBS</v>
      </c>
      <c r="L40" s="1" t="str">
        <v>38 Paper</v>
      </c>
      <c r="M40" s="4" t="str">
        <v>Plain</v>
      </c>
      <c r="N40" s="1" t="str">
        <v>282A</v>
      </c>
      <c r="O40" s="4" t="str">
        <v>CL Day 21</v>
      </c>
      <c r="P40" s="1">
        <v>417</v>
      </c>
      <c r="Q40" s="4" t="str">
        <v>JEB</v>
      </c>
      <c r="T40" s="4">
        <v>38</v>
      </c>
      <c r="V40" s="4"/>
      <c r="X40" s="4"/>
      <c r="Z40" s="4"/>
      <c r="AB40" s="4"/>
      <c r="AD40" s="4"/>
      <c r="AF40" s="4"/>
      <c r="AH40" s="4"/>
      <c r="AJ40" s="4"/>
    </row>
    <row r="41" spans="1:36" x14ac:dyDescent="0.2">
      <c r="A41" s="4">
        <v>39</v>
      </c>
      <c r="B41" s="1" t="str">
        <v>157  AG </v>
      </c>
      <c r="C41" s="4" t="str">
        <v>Day 14</v>
      </c>
      <c r="D41" s="1" t="str">
        <v>22 SAXS</v>
      </c>
      <c r="E41" s="4" t="str">
        <v>PN10</v>
      </c>
      <c r="F41" s="1" t="str">
        <v>93  AE </v>
      </c>
      <c r="G41" s="4" t="str">
        <v>PBS</v>
      </c>
      <c r="L41" s="1" t="str">
        <v>39 Paper</v>
      </c>
      <c r="M41" s="4" t="str">
        <v>Plain</v>
      </c>
      <c r="N41" s="1" t="str">
        <v>283A</v>
      </c>
      <c r="O41" s="4" t="str">
        <v>Acetone Day 21</v>
      </c>
      <c r="P41" s="1">
        <v>418</v>
      </c>
      <c r="Q41" s="4" t="str">
        <v>JEB</v>
      </c>
      <c r="T41" s="4">
        <v>39</v>
      </c>
      <c r="V41" s="4"/>
      <c r="X41" s="4"/>
      <c r="Z41" s="4"/>
      <c r="AB41" s="4"/>
      <c r="AD41" s="4"/>
      <c r="AF41" s="4"/>
      <c r="AH41" s="4"/>
      <c r="AJ41" s="4"/>
    </row>
    <row r="42" spans="1:36" x14ac:dyDescent="0.2">
      <c r="A42" s="4">
        <v>40</v>
      </c>
      <c r="B42" s="1" t="str">
        <v>158  AG </v>
      </c>
      <c r="C42" s="4" t="str">
        <v>Day 14</v>
      </c>
      <c r="D42" s="1" t="str">
        <v>23 SAXS</v>
      </c>
      <c r="E42" s="4" t="str">
        <v>PN10</v>
      </c>
      <c r="F42" s="1" t="str">
        <v>119 SAXS</v>
      </c>
      <c r="G42" s="4" t="str">
        <v>PBS</v>
      </c>
      <c r="L42" s="1" t="str">
        <v>40 Paper</v>
      </c>
      <c r="M42" s="4" t="str">
        <v>Plain</v>
      </c>
      <c r="N42" s="1" t="str">
        <v>284A</v>
      </c>
      <c r="O42" s="4" t="str">
        <v>CL Day 21</v>
      </c>
      <c r="P42" s="1">
        <v>419</v>
      </c>
      <c r="Q42" s="4" t="str">
        <v>JEB</v>
      </c>
      <c r="T42" s="4">
        <v>40</v>
      </c>
      <c r="V42" s="4"/>
      <c r="X42" s="4"/>
      <c r="Z42" s="4"/>
      <c r="AB42" s="4"/>
      <c r="AD42" s="4"/>
      <c r="AF42" s="4"/>
      <c r="AH42" s="4"/>
      <c r="AJ42" s="4"/>
    </row>
    <row r="43" spans="1:36" x14ac:dyDescent="0.2">
      <c r="A43" s="4">
        <v>41</v>
      </c>
      <c r="B43" s="1" t="str">
        <v>159  AH </v>
      </c>
      <c r="C43" s="4" t="str">
        <v>Day 14</v>
      </c>
      <c r="D43" s="1" t="str">
        <v>24 SAXS</v>
      </c>
      <c r="E43" s="4" t="str">
        <v>PN10</v>
      </c>
      <c r="F43" s="1" t="str">
        <v>120 SAXS</v>
      </c>
      <c r="G43" s="4" t="str">
        <v>4W</v>
      </c>
      <c r="L43" s="1" t="str">
        <v>41 Paper</v>
      </c>
      <c r="M43" s="4" t="str">
        <v>Plain</v>
      </c>
      <c r="N43" s="1" t="str">
        <v>285A</v>
      </c>
      <c r="O43" s="4" t="str">
        <v>CL Day 21</v>
      </c>
      <c r="P43" s="1">
        <v>420</v>
      </c>
      <c r="Q43" s="4" t="str">
        <v>JEB</v>
      </c>
      <c r="T43" s="4">
        <v>41</v>
      </c>
      <c r="V43" s="4"/>
      <c r="X43" s="4"/>
      <c r="Z43" s="4"/>
      <c r="AB43" s="4"/>
      <c r="AD43" s="4"/>
      <c r="AF43" s="4"/>
      <c r="AH43" s="4"/>
      <c r="AJ43" s="4"/>
    </row>
    <row r="44" spans="1:36" x14ac:dyDescent="0.2">
      <c r="A44" s="4">
        <v>42</v>
      </c>
      <c r="B44" s="1" t="str">
        <v>160  AH </v>
      </c>
      <c r="C44" s="4" t="str">
        <v>Day 14</v>
      </c>
      <c r="D44" s="1" t="str">
        <v>25 SAXS</v>
      </c>
      <c r="E44" s="4" t="str">
        <v>PN10</v>
      </c>
      <c r="F44" s="1" t="str">
        <v>121 SAXS</v>
      </c>
      <c r="G44" s="4" t="str">
        <v>4W</v>
      </c>
      <c r="L44" s="1" t="str">
        <v>42 Paper</v>
      </c>
      <c r="M44" s="4" t="str">
        <v>Plain</v>
      </c>
      <c r="N44" s="1" t="str">
        <v>286A</v>
      </c>
      <c r="O44" s="4" t="str">
        <v>Acetone Day 21</v>
      </c>
      <c r="P44" s="1">
        <v>421</v>
      </c>
      <c r="Q44" s="4" t="str">
        <v>JEB</v>
      </c>
      <c r="T44" s="4">
        <v>42</v>
      </c>
      <c r="V44" s="4"/>
      <c r="X44" s="4"/>
      <c r="Z44" s="4"/>
      <c r="AB44" s="4"/>
      <c r="AD44" s="4"/>
      <c r="AF44" s="4"/>
      <c r="AH44" s="4"/>
      <c r="AJ44" s="4"/>
    </row>
    <row r="45" spans="1:36" x14ac:dyDescent="0.2">
      <c r="A45" s="4">
        <v>43</v>
      </c>
      <c r="B45" s="1" t="str">
        <v>161  AH </v>
      </c>
      <c r="C45" s="4" t="str">
        <v>Day 14</v>
      </c>
      <c r="D45" s="1" t="str">
        <v>26 SAXS</v>
      </c>
      <c r="E45" s="4" t="str">
        <v>PN10</v>
      </c>
      <c r="F45" s="1" t="str">
        <v>122 SAXS</v>
      </c>
      <c r="G45" s="4" t="str">
        <v>4W</v>
      </c>
      <c r="L45" s="1" t="str">
        <v>43 Paper</v>
      </c>
      <c r="M45" s="4" t="str">
        <v>Plain</v>
      </c>
      <c r="N45" s="1" t="str">
        <v>287A</v>
      </c>
      <c r="O45" s="4" t="str">
        <v>CL Day 21</v>
      </c>
      <c r="P45" s="1">
        <v>422</v>
      </c>
      <c r="Q45" s="4" t="str">
        <v>JEB</v>
      </c>
      <c r="T45" s="4">
        <v>43</v>
      </c>
      <c r="V45" s="4"/>
      <c r="X45" s="4"/>
      <c r="Z45" s="4"/>
      <c r="AB45" s="4"/>
      <c r="AD45" s="4"/>
      <c r="AF45" s="4"/>
      <c r="AH45" s="4"/>
      <c r="AJ45" s="4"/>
    </row>
    <row r="46" spans="1:36" x14ac:dyDescent="0.2">
      <c r="A46" s="4">
        <v>44</v>
      </c>
      <c r="B46" s="1" t="str">
        <v>162  AH </v>
      </c>
      <c r="C46" s="4" t="str">
        <v>Day 14</v>
      </c>
      <c r="D46" s="1" t="str">
        <v>27 SAXS</v>
      </c>
      <c r="E46" s="4" t="str">
        <v>PN10</v>
      </c>
      <c r="F46" s="1" t="str">
        <v>123 SAXS</v>
      </c>
      <c r="G46" s="4" t="str">
        <v>2W</v>
      </c>
      <c r="L46" s="1" t="str">
        <v>44 Paper</v>
      </c>
      <c r="M46" s="4" t="str">
        <v>Plain</v>
      </c>
      <c r="N46" s="1" t="str">
        <v>288A</v>
      </c>
      <c r="O46" s="4" t="str">
        <v>Acetone Day 21</v>
      </c>
      <c r="P46" s="1">
        <v>423</v>
      </c>
      <c r="Q46" s="4" t="str">
        <v>JEB</v>
      </c>
      <c r="T46" s="4">
        <v>44</v>
      </c>
      <c r="V46" s="4"/>
      <c r="X46" s="4"/>
      <c r="Z46" s="4"/>
      <c r="AB46" s="4"/>
      <c r="AD46" s="4"/>
      <c r="AF46" s="4"/>
      <c r="AH46" s="4"/>
      <c r="AJ46" s="4"/>
    </row>
    <row r="47" spans="1:36" x14ac:dyDescent="0.2">
      <c r="A47" s="4">
        <v>45</v>
      </c>
      <c r="B47" s="1" t="str">
        <v>163  AH </v>
      </c>
      <c r="C47" s="4" t="str">
        <v>Day 14</v>
      </c>
      <c r="D47" s="1" t="str">
        <v>28 SAXS</v>
      </c>
      <c r="E47" s="4" t="str">
        <v>PN10</v>
      </c>
      <c r="F47" s="1" t="str">
        <v>124 SAXS</v>
      </c>
      <c r="G47" s="4" t="str">
        <v>2W</v>
      </c>
      <c r="L47" s="1" t="str">
        <v>45 Paper</v>
      </c>
      <c r="M47" s="4" t="str">
        <v>Plain</v>
      </c>
      <c r="N47" s="1" t="str">
        <v>289A</v>
      </c>
      <c r="O47" s="4" t="str">
        <v>Acetone Day 21</v>
      </c>
      <c r="P47" s="1">
        <v>424</v>
      </c>
      <c r="Q47" s="4" t="str">
        <v>JEB</v>
      </c>
      <c r="T47" s="4">
        <v>45</v>
      </c>
      <c r="V47" s="4"/>
      <c r="X47" s="4"/>
      <c r="Z47" s="4"/>
      <c r="AB47" s="4"/>
      <c r="AD47" s="4"/>
      <c r="AF47" s="4"/>
      <c r="AH47" s="4"/>
      <c r="AJ47" s="4"/>
    </row>
    <row r="48" spans="1:36" x14ac:dyDescent="0.2">
      <c r="A48" s="4">
        <v>46</v>
      </c>
      <c r="B48" s="1" t="str">
        <v>164  AI </v>
      </c>
      <c r="C48" s="4" t="str">
        <v>Day 14</v>
      </c>
      <c r="D48" s="1" t="str">
        <v>29 SAXS</v>
      </c>
      <c r="E48" s="4" t="str">
        <v>PN10</v>
      </c>
      <c r="F48" s="1" t="str">
        <v>125 SAXS</v>
      </c>
      <c r="G48" s="4" t="str">
        <v>2W</v>
      </c>
      <c r="L48" s="1" t="str">
        <v>46 Paper</v>
      </c>
      <c r="M48" s="4" t="str">
        <v>Plain</v>
      </c>
      <c r="N48" s="1" t="str">
        <v>294A</v>
      </c>
      <c r="O48" s="4" t="str">
        <v>CL Day 21</v>
      </c>
      <c r="P48" s="1">
        <v>425</v>
      </c>
      <c r="Q48" s="4" t="str">
        <v>JEB</v>
      </c>
      <c r="T48" s="4">
        <v>46</v>
      </c>
      <c r="V48" s="4"/>
      <c r="X48" s="4"/>
      <c r="Z48" s="4"/>
      <c r="AB48" s="4"/>
      <c r="AD48" s="4"/>
      <c r="AF48" s="4"/>
      <c r="AH48" s="4"/>
      <c r="AJ48" s="4"/>
    </row>
    <row r="49" spans="1:36" x14ac:dyDescent="0.2">
      <c r="A49" s="4">
        <v>47</v>
      </c>
      <c r="B49" s="1" t="str">
        <v>165  AI </v>
      </c>
      <c r="C49" s="4" t="str">
        <v>Day 14</v>
      </c>
      <c r="D49" s="1" t="str">
        <v>30 SAXS</v>
      </c>
      <c r="E49" s="4" t="str">
        <v>E18.5</v>
      </c>
      <c r="F49" s="1" t="str">
        <v>126 SAXS</v>
      </c>
      <c r="G49" s="4" t="str">
        <v>PBSMET</v>
      </c>
      <c r="L49" s="1" t="str">
        <v>47 Paper</v>
      </c>
      <c r="M49" s="4" t="str">
        <v>Plain</v>
      </c>
      <c r="N49" s="1" t="str">
        <v>295A</v>
      </c>
      <c r="O49" s="4" t="str">
        <v>CL Day 21</v>
      </c>
      <c r="P49" s="1">
        <v>426</v>
      </c>
      <c r="Q49" s="4" t="str">
        <v>JEB</v>
      </c>
      <c r="T49" s="4">
        <v>47</v>
      </c>
      <c r="V49" s="4"/>
      <c r="X49" s="4"/>
      <c r="Z49" s="4"/>
      <c r="AB49" s="4"/>
      <c r="AD49" s="4"/>
      <c r="AF49" s="4"/>
      <c r="AH49" s="4"/>
      <c r="AJ49" s="4"/>
    </row>
    <row r="50" spans="1:36" x14ac:dyDescent="0.2">
      <c r="A50" s="4">
        <v>48</v>
      </c>
      <c r="B50" s="1" t="str">
        <v>166  AI </v>
      </c>
      <c r="C50" s="4" t="str">
        <v>Day 14</v>
      </c>
      <c r="D50" s="1" t="str">
        <v>31 SAXS</v>
      </c>
      <c r="E50" s="4" t="str">
        <v>E18.5</v>
      </c>
      <c r="F50" s="1" t="str">
        <v>127 SAXS</v>
      </c>
      <c r="G50" s="4" t="str">
        <v>PBSMET</v>
      </c>
      <c r="L50" s="1" t="str">
        <v>48 Paper</v>
      </c>
      <c r="M50" s="4" t="str">
        <v>Plain</v>
      </c>
      <c r="N50" s="1" t="str">
        <v>296A</v>
      </c>
      <c r="O50" s="4" t="str">
        <v>CL Day 21</v>
      </c>
      <c r="P50" s="1">
        <v>427</v>
      </c>
      <c r="Q50" s="4" t="str">
        <v>JEB</v>
      </c>
      <c r="T50" s="4">
        <v>48</v>
      </c>
      <c r="V50" s="4"/>
      <c r="X50" s="4"/>
      <c r="Z50" s="4"/>
      <c r="AB50" s="4"/>
      <c r="AD50" s="4"/>
      <c r="AF50" s="4"/>
      <c r="AH50" s="4"/>
      <c r="AJ50" s="4"/>
    </row>
    <row r="51" spans="1:36" x14ac:dyDescent="0.2">
      <c r="A51" s="4">
        <v>49</v>
      </c>
      <c r="B51" s="1" t="str">
        <v>167  AI </v>
      </c>
      <c r="C51" s="4" t="str">
        <v>Day 14</v>
      </c>
      <c r="D51" s="1" t="str">
        <v>32 SAXS</v>
      </c>
      <c r="E51" s="4" t="str">
        <v>E18.5</v>
      </c>
      <c r="F51" s="1" t="str">
        <v>128 SAXS</v>
      </c>
      <c r="G51" s="4" t="str">
        <v>PBSMET</v>
      </c>
      <c r="L51" s="1" t="str">
        <v>49 Paper</v>
      </c>
      <c r="M51" s="4" t="str">
        <v>Plain</v>
      </c>
      <c r="N51" s="1" t="str">
        <v>297A</v>
      </c>
      <c r="O51" s="4" t="str">
        <v>Acetone Day 21</v>
      </c>
      <c r="P51" s="1">
        <v>428</v>
      </c>
      <c r="Q51" s="4" t="str">
        <v>JEB</v>
      </c>
      <c r="T51" s="4">
        <v>49</v>
      </c>
      <c r="V51" s="4"/>
      <c r="X51" s="4"/>
      <c r="Z51" s="4"/>
      <c r="AB51" s="4"/>
      <c r="AD51" s="4"/>
      <c r="AF51" s="4"/>
      <c r="AH51" s="4"/>
      <c r="AJ51" s="4"/>
    </row>
    <row r="52" spans="1:36" x14ac:dyDescent="0.2">
      <c r="A52" s="4">
        <v>50</v>
      </c>
      <c r="B52" s="1" t="str">
        <v>60 SAXS</v>
      </c>
      <c r="C52" s="4" t="str">
        <v>Day 4</v>
      </c>
      <c r="D52" s="1" t="str">
        <v>33 SAXS</v>
      </c>
      <c r="E52" s="4" t="str">
        <v>E18.5</v>
      </c>
      <c r="F52" s="1" t="str">
        <v>129 SAXS</v>
      </c>
      <c r="G52" s="4" t="str">
        <v>PBSMET</v>
      </c>
      <c r="L52" s="1" t="str">
        <v>50 Paper</v>
      </c>
      <c r="M52" s="4" t="str">
        <v>Plain</v>
      </c>
      <c r="N52" s="1" t="str">
        <v>298A</v>
      </c>
      <c r="O52" s="4" t="str">
        <v>Acetone Day 21</v>
      </c>
      <c r="P52" s="1">
        <v>429</v>
      </c>
      <c r="Q52" s="4" t="str">
        <v>JEB</v>
      </c>
      <c r="T52" s="4">
        <v>50</v>
      </c>
      <c r="V52" s="4"/>
      <c r="X52" s="4"/>
      <c r="Z52" s="4"/>
      <c r="AB52" s="4"/>
      <c r="AD52" s="4"/>
      <c r="AF52" s="4"/>
      <c r="AH52" s="4"/>
      <c r="AJ52" s="4"/>
    </row>
    <row r="53" spans="1:36" x14ac:dyDescent="0.2">
      <c r="A53" s="4">
        <v>51</v>
      </c>
      <c r="B53" s="1" t="str">
        <v>61 SAXS</v>
      </c>
      <c r="C53" s="4" t="str">
        <v>Day 4</v>
      </c>
      <c r="D53" s="1" t="str">
        <v>34 SAXS</v>
      </c>
      <c r="E53" s="4" t="str">
        <v>E18.5</v>
      </c>
      <c r="F53" s="1" t="str">
        <v>130 SAXS</v>
      </c>
      <c r="G53" s="4" t="str">
        <v>PBSMET</v>
      </c>
      <c r="L53" s="1" t="str">
        <v>51 Paper</v>
      </c>
      <c r="M53" s="4" t="str">
        <v>Plain</v>
      </c>
      <c r="N53" s="1" t="str">
        <v>299A</v>
      </c>
      <c r="O53" s="4" t="str">
        <v>Acetone Day 21</v>
      </c>
      <c r="P53" s="1">
        <v>430</v>
      </c>
      <c r="Q53" s="4" t="str">
        <v>JEB</v>
      </c>
      <c r="T53" s="4">
        <v>51</v>
      </c>
      <c r="V53" s="4"/>
      <c r="X53" s="4"/>
      <c r="Z53" s="4"/>
      <c r="AB53" s="4"/>
      <c r="AD53" s="4"/>
      <c r="AF53" s="4"/>
      <c r="AH53" s="4"/>
      <c r="AJ53" s="4"/>
    </row>
    <row r="54" spans="1:36" x14ac:dyDescent="0.2">
      <c r="A54" s="4">
        <v>52</v>
      </c>
      <c r="B54" s="1" t="str">
        <v>62 SAXS</v>
      </c>
      <c r="C54" s="4" t="str">
        <v>Day 4</v>
      </c>
      <c r="D54" s="1" t="str">
        <v>35 SAXS</v>
      </c>
      <c r="E54" s="4" t="str">
        <v>E18.5</v>
      </c>
      <c r="F54" s="1" t="str">
        <v>131 SAXS</v>
      </c>
      <c r="G54" s="4" t="str">
        <v>PBSMET</v>
      </c>
      <c r="L54" s="1" t="str">
        <v>52 Paper</v>
      </c>
      <c r="M54" s="4" t="str">
        <v>Plain</v>
      </c>
      <c r="N54" s="1" t="str">
        <v>300A</v>
      </c>
      <c r="O54" s="4" t="str">
        <v>T5224 Day 10</v>
      </c>
      <c r="P54" s="1">
        <v>431</v>
      </c>
      <c r="Q54" s="4" t="str">
        <v>JEB</v>
      </c>
      <c r="T54" s="4">
        <v>52</v>
      </c>
      <c r="V54" s="4"/>
      <c r="X54" s="4"/>
      <c r="Z54" s="4"/>
      <c r="AB54" s="4"/>
      <c r="AD54" s="4"/>
      <c r="AF54" s="4"/>
      <c r="AH54" s="4"/>
      <c r="AJ54" s="4"/>
    </row>
    <row r="55" spans="1:36" x14ac:dyDescent="0.2">
      <c r="A55" s="4">
        <v>53</v>
      </c>
      <c r="B55" s="1" t="str">
        <v>63 SAXS</v>
      </c>
      <c r="C55" s="4" t="str">
        <v>Unwounded</v>
      </c>
      <c r="D55" s="1" t="str">
        <v>36 SAXS</v>
      </c>
      <c r="E55" s="4" t="str">
        <v>E18.5</v>
      </c>
      <c r="F55" s="1" t="str">
        <v>132 SAXS</v>
      </c>
      <c r="G55" s="4" t="str">
        <v>BM</v>
      </c>
      <c r="L55" s="1" t="str">
        <v>53 Paper</v>
      </c>
      <c r="M55" s="4" t="str">
        <v>Plain</v>
      </c>
      <c r="N55" s="1" t="str">
        <v>301A</v>
      </c>
      <c r="O55" s="4" t="str">
        <v>T5224 Day 10</v>
      </c>
      <c r="P55" s="1">
        <v>432</v>
      </c>
      <c r="Q55" s="4" t="str">
        <v>JEB</v>
      </c>
      <c r="T55" s="4">
        <v>53</v>
      </c>
      <c r="V55" s="4"/>
      <c r="X55" s="4"/>
      <c r="Z55" s="4"/>
      <c r="AB55" s="4"/>
      <c r="AD55" s="4"/>
      <c r="AF55" s="4"/>
      <c r="AH55" s="4"/>
      <c r="AJ55" s="4"/>
    </row>
    <row r="56" spans="1:36" x14ac:dyDescent="0.2">
      <c r="A56" s="4">
        <v>54</v>
      </c>
      <c r="B56" s="1" t="str">
        <v>64 SAXS</v>
      </c>
      <c r="C56" s="4" t="str">
        <v>Unwounded</v>
      </c>
      <c r="D56" s="1" t="str">
        <v>37 SAXS</v>
      </c>
      <c r="E56" s="4" t="str">
        <v>E18.5</v>
      </c>
      <c r="F56" s="1" t="str">
        <v>133 SAXS</v>
      </c>
      <c r="G56" s="4" t="str">
        <v>BM</v>
      </c>
      <c r="L56" s="1" t="str">
        <v>54 Paper</v>
      </c>
      <c r="M56" s="4" t="str">
        <v>Plain</v>
      </c>
      <c r="N56" s="1" t="str">
        <v>302A</v>
      </c>
      <c r="O56" s="4" t="str">
        <v>Vehicle Day 10</v>
      </c>
      <c r="P56" s="1">
        <v>433</v>
      </c>
      <c r="Q56" s="4" t="str">
        <v>JEB</v>
      </c>
      <c r="T56" s="4">
        <v>54</v>
      </c>
      <c r="V56" s="4"/>
      <c r="X56" s="4"/>
      <c r="Z56" s="4"/>
      <c r="AB56" s="4"/>
      <c r="AD56" s="4"/>
      <c r="AF56" s="4"/>
      <c r="AH56" s="4"/>
      <c r="AJ56" s="4"/>
    </row>
    <row r="57" spans="1:36" x14ac:dyDescent="0.2">
      <c r="A57" s="4">
        <v>55</v>
      </c>
      <c r="B57" s="1" t="str">
        <v>65 SAXS</v>
      </c>
      <c r="C57" s="4" t="str">
        <v>Unwounded</v>
      </c>
      <c r="D57" s="1" t="str">
        <v>38 SAXS</v>
      </c>
      <c r="E57" s="4" t="str">
        <v>E18.5</v>
      </c>
      <c r="F57" s="1" t="str">
        <v>134 SAXS</v>
      </c>
      <c r="G57" s="4" t="str">
        <v>BM</v>
      </c>
      <c r="L57" s="1" t="str">
        <v>55 Paper</v>
      </c>
      <c r="M57" s="4" t="str">
        <v>Plain</v>
      </c>
      <c r="N57" s="1" t="str">
        <v>303A</v>
      </c>
      <c r="O57" s="4" t="str">
        <v>Vehicle Day 10</v>
      </c>
      <c r="P57" s="1">
        <v>434</v>
      </c>
      <c r="Q57" s="4" t="str">
        <v>JEB</v>
      </c>
      <c r="T57" s="4">
        <v>55</v>
      </c>
      <c r="V57" s="4"/>
      <c r="X57" s="4"/>
      <c r="Z57" s="4"/>
      <c r="AB57" s="4"/>
      <c r="AD57" s="4"/>
      <c r="AF57" s="4"/>
      <c r="AH57" s="4"/>
      <c r="AJ57" s="4"/>
    </row>
    <row r="58" spans="1:36" x14ac:dyDescent="0.2">
      <c r="A58" s="4">
        <v>56</v>
      </c>
      <c r="B58" s="1" t="str">
        <v>66 SAXS</v>
      </c>
      <c r="C58" s="4" t="str">
        <v>Day 4</v>
      </c>
      <c r="D58" s="1" t="str">
        <v>39 SAXS</v>
      </c>
      <c r="E58" s="4" t="str">
        <v>PN10</v>
      </c>
      <c r="F58" s="1" t="str">
        <v>135 SAXS</v>
      </c>
      <c r="G58" s="4" t="str">
        <v>BM</v>
      </c>
      <c r="L58" s="1" t="str">
        <v>56 Paper</v>
      </c>
      <c r="M58" s="4" t="str">
        <v>Plain</v>
      </c>
      <c r="N58" s="1">
        <v>447</v>
      </c>
      <c r="O58" s="4" t="str">
        <v>CL</v>
      </c>
      <c r="P58" s="1">
        <v>435</v>
      </c>
      <c r="Q58" s="4" t="str">
        <v>JEB</v>
      </c>
      <c r="T58" s="4">
        <v>56</v>
      </c>
      <c r="V58" s="4"/>
      <c r="X58" s="4"/>
      <c r="Z58" s="4"/>
      <c r="AB58" s="4"/>
      <c r="AD58" s="4"/>
      <c r="AF58" s="4"/>
      <c r="AH58" s="4"/>
      <c r="AJ58" s="4"/>
    </row>
    <row r="59" spans="1:36" x14ac:dyDescent="0.2">
      <c r="A59" s="4">
        <v>57</v>
      </c>
      <c r="B59" s="1" t="str">
        <v>67 SAXS</v>
      </c>
      <c r="C59" s="4" t="str">
        <v>Day 4</v>
      </c>
      <c r="D59" s="1" t="str">
        <v>40 SAXS</v>
      </c>
      <c r="E59" s="4" t="str">
        <v>PN10</v>
      </c>
      <c r="F59" s="1" t="str">
        <v>138 SAXS</v>
      </c>
      <c r="G59" s="4" t="str">
        <v>2W</v>
      </c>
      <c r="L59" s="1">
        <v>359</v>
      </c>
      <c r="M59" s="4" t="str">
        <v>Day 7</v>
      </c>
      <c r="N59" s="1">
        <v>448</v>
      </c>
      <c r="O59" s="4" t="str">
        <v>CL</v>
      </c>
      <c r="P59" s="1">
        <v>436</v>
      </c>
      <c r="Q59" s="4" t="str">
        <v>JEB</v>
      </c>
      <c r="T59" s="4">
        <v>57</v>
      </c>
      <c r="V59" s="4"/>
      <c r="X59" s="4"/>
      <c r="Z59" s="4"/>
      <c r="AB59" s="4"/>
      <c r="AD59" s="4"/>
      <c r="AF59" s="4"/>
      <c r="AH59" s="4"/>
      <c r="AJ59" s="4"/>
    </row>
    <row r="60" spans="1:36" x14ac:dyDescent="0.2">
      <c r="A60" s="4">
        <v>58</v>
      </c>
      <c r="B60" s="1" t="str">
        <v>68 SAXS</v>
      </c>
      <c r="C60" s="4" t="str">
        <v>Day 4</v>
      </c>
      <c r="D60" s="1" t="str">
        <v>41 SAXS</v>
      </c>
      <c r="E60" s="4" t="str">
        <v>PN10</v>
      </c>
      <c r="F60" s="1" t="str">
        <v>139 SAXS</v>
      </c>
      <c r="G60" s="4" t="str">
        <v>2W</v>
      </c>
      <c r="L60" s="1">
        <v>360</v>
      </c>
      <c r="M60" s="4" t="str">
        <v>Plain</v>
      </c>
      <c r="N60" s="1">
        <v>449</v>
      </c>
      <c r="O60" s="4" t="str">
        <v>CL</v>
      </c>
      <c r="P60" s="1">
        <v>469</v>
      </c>
      <c r="Q60" s="4" t="str">
        <v>KO Day14</v>
      </c>
      <c r="T60" s="4">
        <v>58</v>
      </c>
      <c r="V60" s="4"/>
      <c r="X60" s="4"/>
      <c r="Z60" s="4"/>
      <c r="AB60" s="4"/>
      <c r="AD60" s="4"/>
      <c r="AF60" s="4"/>
      <c r="AH60" s="4"/>
      <c r="AJ60" s="4"/>
    </row>
    <row r="61" spans="1:36" x14ac:dyDescent="0.2">
      <c r="A61" s="4">
        <v>59</v>
      </c>
      <c r="B61" s="1" t="str">
        <v>69 SAXS</v>
      </c>
      <c r="C61" s="4" t="str">
        <v>Unwounded</v>
      </c>
      <c r="D61" s="1" t="str">
        <v>42 SAXS</v>
      </c>
      <c r="E61" s="4" t="str">
        <v>PN10</v>
      </c>
      <c r="F61" s="1" t="str">
        <v>140 SAXS</v>
      </c>
      <c r="G61" s="4" t="str">
        <v>2W</v>
      </c>
      <c r="L61" s="1">
        <v>361</v>
      </c>
      <c r="M61" s="4" t="str">
        <v>Plain</v>
      </c>
      <c r="N61" s="1">
        <v>450</v>
      </c>
      <c r="O61" s="4" t="str">
        <v>CL</v>
      </c>
      <c r="P61" s="1">
        <v>470</v>
      </c>
      <c r="Q61" s="4" t="str">
        <v>KO Day14</v>
      </c>
      <c r="T61" s="4">
        <v>59</v>
      </c>
      <c r="V61" s="4"/>
      <c r="X61" s="4"/>
      <c r="Z61" s="4"/>
      <c r="AB61" s="4"/>
      <c r="AD61" s="4"/>
      <c r="AF61" s="4"/>
      <c r="AH61" s="4"/>
      <c r="AJ61" s="4"/>
    </row>
    <row r="62" spans="1:36" x14ac:dyDescent="0.2">
      <c r="A62" s="4">
        <v>60</v>
      </c>
      <c r="B62" s="1" t="str">
        <v>70 SAXS</v>
      </c>
      <c r="C62" s="4" t="str">
        <v>Unwounded</v>
      </c>
      <c r="D62" s="1" t="str">
        <v>43 SAXS</v>
      </c>
      <c r="E62" s="4" t="str">
        <v>PN10</v>
      </c>
      <c r="F62" s="1" t="str">
        <v>141 SAXS</v>
      </c>
      <c r="G62" s="4" t="str">
        <v>4W</v>
      </c>
      <c r="L62" s="1">
        <v>362</v>
      </c>
      <c r="M62" s="4" t="str">
        <v>Plain</v>
      </c>
      <c r="N62" s="1">
        <v>451</v>
      </c>
      <c r="O62" s="4" t="str">
        <v>AC</v>
      </c>
      <c r="P62" s="1">
        <v>471</v>
      </c>
      <c r="Q62" s="4" t="str">
        <v>KO Day14</v>
      </c>
      <c r="T62" s="4">
        <v>60</v>
      </c>
      <c r="V62" s="4"/>
      <c r="X62" s="4"/>
      <c r="Z62" s="4"/>
      <c r="AB62" s="4"/>
      <c r="AD62" s="4"/>
      <c r="AF62" s="4"/>
      <c r="AH62" s="4"/>
      <c r="AJ62" s="4"/>
    </row>
    <row r="63" spans="1:36" x14ac:dyDescent="0.2">
      <c r="A63" s="4">
        <v>61</v>
      </c>
      <c r="B63" s="1" t="str">
        <v>71 SAXS</v>
      </c>
      <c r="C63" s="4" t="str">
        <v>Unwounded</v>
      </c>
      <c r="D63" s="1" t="str">
        <v>44 SAXS</v>
      </c>
      <c r="E63" s="4" t="str">
        <v>PN10</v>
      </c>
      <c r="F63" s="1" t="str">
        <v>142 SAXS</v>
      </c>
      <c r="G63" s="4" t="str">
        <v>4W</v>
      </c>
      <c r="L63" s="1">
        <v>363</v>
      </c>
      <c r="M63" s="4" t="str">
        <v>Plain</v>
      </c>
      <c r="N63" s="1">
        <v>452</v>
      </c>
      <c r="O63" s="4" t="str">
        <v>AC</v>
      </c>
      <c r="P63" s="1">
        <v>472</v>
      </c>
      <c r="Q63" s="4" t="str">
        <v>WT Day10</v>
      </c>
      <c r="T63" s="4">
        <v>61</v>
      </c>
      <c r="V63" s="4"/>
      <c r="X63" s="4"/>
      <c r="Z63" s="4"/>
      <c r="AB63" s="4"/>
      <c r="AD63" s="4"/>
      <c r="AF63" s="4"/>
      <c r="AH63" s="4"/>
      <c r="AJ63" s="4"/>
    </row>
    <row r="64" spans="1:36" x14ac:dyDescent="0.2">
      <c r="A64" s="4">
        <v>62</v>
      </c>
      <c r="B64" s="1" t="str">
        <v>72 SAXS</v>
      </c>
      <c r="C64" s="4" t="str">
        <v>Unwounded</v>
      </c>
      <c r="D64" s="1" t="str">
        <v>45 SAXS</v>
      </c>
      <c r="E64" s="4" t="str">
        <v>PN10</v>
      </c>
      <c r="F64" s="1" t="str">
        <v>143 SAXS</v>
      </c>
      <c r="G64" s="4" t="str">
        <v>4W</v>
      </c>
      <c r="L64" s="1">
        <v>364</v>
      </c>
      <c r="M64" s="4" t="str">
        <v>Plain</v>
      </c>
      <c r="N64" s="1">
        <v>453</v>
      </c>
      <c r="O64" s="4" t="str">
        <v>AC</v>
      </c>
      <c r="P64" s="1">
        <v>473</v>
      </c>
      <c r="Q64" s="4" t="str">
        <v>WT Day10</v>
      </c>
      <c r="T64" s="4">
        <v>62</v>
      </c>
      <c r="V64" s="4"/>
      <c r="X64" s="4"/>
      <c r="Z64" s="4"/>
      <c r="AB64" s="4"/>
      <c r="AD64" s="4"/>
      <c r="AF64" s="4"/>
      <c r="AH64" s="4"/>
      <c r="AJ64" s="4"/>
    </row>
    <row r="65" spans="1:36" x14ac:dyDescent="0.2">
      <c r="A65" s="4">
        <v>63</v>
      </c>
      <c r="B65" s="1" t="str">
        <v>73 SAXS</v>
      </c>
      <c r="C65" s="4" t="str">
        <v>Unwounded</v>
      </c>
      <c r="D65" s="1" t="str">
        <v>46 SAXS</v>
      </c>
      <c r="E65" s="4" t="str">
        <v>PN10</v>
      </c>
      <c r="F65" s="1" t="str">
        <v>144 SAXS</v>
      </c>
      <c r="G65" s="4" t="str">
        <v>4W</v>
      </c>
      <c r="N65" s="1">
        <v>454</v>
      </c>
      <c r="O65" s="4" t="str">
        <v>AC</v>
      </c>
      <c r="P65" s="1">
        <v>474</v>
      </c>
      <c r="Q65" s="4" t="str">
        <v>WT Day10</v>
      </c>
      <c r="T65" s="4">
        <v>63</v>
      </c>
      <c r="V65" s="4"/>
      <c r="X65" s="4"/>
      <c r="Z65" s="4"/>
      <c r="AB65" s="4"/>
      <c r="AD65" s="4"/>
      <c r="AF65" s="4"/>
      <c r="AH65" s="4"/>
      <c r="AJ65" s="4"/>
    </row>
    <row r="66" spans="1:36" x14ac:dyDescent="0.2">
      <c r="A66" s="4">
        <v>64</v>
      </c>
      <c r="B66" s="1" t="str">
        <v>74 SAXS</v>
      </c>
      <c r="C66" s="4" t="str">
        <v>Day 4</v>
      </c>
      <c r="D66" s="1" t="str">
        <v>47 SAXS</v>
      </c>
      <c r="E66" s="4" t="str">
        <v>PN10</v>
      </c>
      <c r="F66" s="1" t="str">
        <v>145 SAXS</v>
      </c>
      <c r="G66" s="4" t="str">
        <v>4W</v>
      </c>
      <c r="P66" s="1">
        <v>475</v>
      </c>
      <c r="Q66" s="4" t="str">
        <v>WT Day10</v>
      </c>
      <c r="T66" s="4">
        <v>64</v>
      </c>
      <c r="V66" s="4"/>
      <c r="X66" s="4"/>
      <c r="Z66" s="4"/>
      <c r="AB66" s="4"/>
      <c r="AD66" s="4"/>
      <c r="AF66" s="4"/>
      <c r="AH66" s="4"/>
      <c r="AJ66" s="4"/>
    </row>
    <row r="67" spans="1:36" x14ac:dyDescent="0.2">
      <c r="A67" s="4">
        <v>65</v>
      </c>
      <c r="B67" s="1" t="str">
        <v>75 SAXS</v>
      </c>
      <c r="C67" s="4" t="str">
        <v>Day 4</v>
      </c>
      <c r="D67" s="1" t="str">
        <v>110 SAXS</v>
      </c>
      <c r="E67" s="4" t="str">
        <v>PN4</v>
      </c>
      <c r="F67" s="1" t="str">
        <v>146 SAXS</v>
      </c>
      <c r="G67" s="4" t="str">
        <v>4W</v>
      </c>
      <c r="P67" s="1">
        <v>476</v>
      </c>
      <c r="Q67" s="4" t="str">
        <v>WT Day10</v>
      </c>
      <c r="T67" s="4">
        <v>65</v>
      </c>
      <c r="V67" s="4"/>
      <c r="X67" s="4"/>
      <c r="Z67" s="4"/>
      <c r="AB67" s="4"/>
      <c r="AD67" s="4"/>
      <c r="AF67" s="4"/>
      <c r="AH67" s="4"/>
      <c r="AJ67" s="4"/>
    </row>
    <row r="68" spans="1:36" x14ac:dyDescent="0.2">
      <c r="A68" s="4">
        <v>66</v>
      </c>
      <c r="B68" s="1" t="str">
        <v>76 SAXS</v>
      </c>
      <c r="C68" s="4" t="str">
        <v>Day 4</v>
      </c>
      <c r="D68" s="1" t="str">
        <v>111 SAXS</v>
      </c>
      <c r="E68" s="4" t="str">
        <v>PN4</v>
      </c>
      <c r="F68" s="1" t="str">
        <v>147 SAXS</v>
      </c>
      <c r="G68" s="4" t="str">
        <v>PBSMET</v>
      </c>
      <c r="P68" s="1">
        <v>477</v>
      </c>
      <c r="Q68" s="4" t="str">
        <v>WT Day10</v>
      </c>
      <c r="T68" s="4">
        <v>66</v>
      </c>
      <c r="V68" s="4"/>
      <c r="X68" s="4"/>
      <c r="Z68" s="4"/>
      <c r="AB68" s="4"/>
      <c r="AD68" s="4"/>
      <c r="AF68" s="4"/>
      <c r="AH68" s="4"/>
      <c r="AJ68" s="4"/>
    </row>
    <row r="69" spans="1:36" x14ac:dyDescent="0.2">
      <c r="A69" s="4">
        <v>67</v>
      </c>
      <c r="B69" s="1" t="str">
        <v>77 SAXS</v>
      </c>
      <c r="C69" s="4" t="str">
        <v>Unwounded</v>
      </c>
      <c r="D69" s="1" t="str">
        <v>112 SAXS</v>
      </c>
      <c r="E69" s="4" t="str">
        <v>PN4</v>
      </c>
      <c r="F69" s="1" t="str">
        <v>148 SAXS</v>
      </c>
      <c r="G69" s="4" t="str">
        <v>PBSMET</v>
      </c>
      <c r="P69" s="1">
        <v>478</v>
      </c>
      <c r="Q69" s="4" t="str">
        <v>KO Day10</v>
      </c>
      <c r="T69" s="4">
        <v>67</v>
      </c>
      <c r="V69" s="4"/>
      <c r="X69" s="4"/>
      <c r="Z69" s="4"/>
      <c r="AB69" s="4"/>
      <c r="AD69" s="4"/>
      <c r="AF69" s="4"/>
      <c r="AH69" s="4"/>
      <c r="AJ69" s="4"/>
    </row>
    <row r="70" spans="1:36" x14ac:dyDescent="0.2">
      <c r="A70" s="4">
        <v>68</v>
      </c>
      <c r="B70" s="1" t="str">
        <v>78 SAXS</v>
      </c>
      <c r="C70" s="4" t="str">
        <v>Unwounded</v>
      </c>
      <c r="D70" s="1" t="str">
        <v>113 SAXS</v>
      </c>
      <c r="E70" s="4" t="str">
        <v>PN4</v>
      </c>
      <c r="F70" s="1" t="str">
        <v>149 SAXS</v>
      </c>
      <c r="G70" s="4" t="str">
        <v>PBSMET</v>
      </c>
      <c r="P70" s="1">
        <v>479</v>
      </c>
      <c r="Q70" s="4" t="str">
        <v>KO Day10</v>
      </c>
      <c r="T70" s="4">
        <v>68</v>
      </c>
      <c r="V70" s="4"/>
      <c r="X70" s="4"/>
      <c r="Z70" s="4"/>
      <c r="AB70" s="4"/>
      <c r="AD70" s="4"/>
      <c r="AF70" s="4"/>
      <c r="AH70" s="4"/>
      <c r="AJ70" s="4"/>
    </row>
    <row r="71" spans="1:36" x14ac:dyDescent="0.2">
      <c r="A71" s="4">
        <v>69</v>
      </c>
      <c r="B71" s="1" t="str">
        <v>79 SAXS</v>
      </c>
      <c r="C71" s="4" t="str">
        <v>Unwounded</v>
      </c>
      <c r="D71" s="1" t="str">
        <v>114 SAXS</v>
      </c>
      <c r="E71" s="4" t="str">
        <v>PN4</v>
      </c>
      <c r="F71" s="1" t="str">
        <v>150 SAXS</v>
      </c>
      <c r="G71" s="4" t="str">
        <v>2W</v>
      </c>
      <c r="P71" s="1">
        <v>480</v>
      </c>
      <c r="Q71" s="4" t="str">
        <v>KO Day10</v>
      </c>
      <c r="T71" s="4">
        <v>69</v>
      </c>
      <c r="V71" s="4"/>
      <c r="X71" s="4"/>
      <c r="Z71" s="4"/>
      <c r="AB71" s="4"/>
      <c r="AD71" s="4"/>
      <c r="AF71" s="4"/>
      <c r="AH71" s="4"/>
      <c r="AJ71" s="4"/>
    </row>
    <row r="72" spans="1:36" x14ac:dyDescent="0.2">
      <c r="A72" s="4">
        <v>70</v>
      </c>
      <c r="B72" s="1" t="str">
        <v>80 SAXS</v>
      </c>
      <c r="C72" s="4" t="str">
        <v>Day 7</v>
      </c>
      <c r="D72" s="1" t="str">
        <v>115 SAXS</v>
      </c>
      <c r="E72" s="4" t="str">
        <v>PN4</v>
      </c>
      <c r="F72" s="1" t="str">
        <v>151 SAXS</v>
      </c>
      <c r="G72" s="4" t="str">
        <v>2W</v>
      </c>
      <c r="P72" s="1">
        <v>481</v>
      </c>
      <c r="Q72" s="4" t="str">
        <v>KO Day10</v>
      </c>
      <c r="T72" s="4">
        <v>70</v>
      </c>
      <c r="V72" s="4"/>
      <c r="X72" s="4"/>
      <c r="Z72" s="4"/>
      <c r="AB72" s="4"/>
      <c r="AD72" s="4"/>
      <c r="AF72" s="4"/>
      <c r="AH72" s="4"/>
      <c r="AJ72" s="4"/>
    </row>
    <row r="73" spans="1:36" x14ac:dyDescent="0.2">
      <c r="A73" s="4">
        <v>71</v>
      </c>
      <c r="B73" s="1" t="str">
        <v>81 SAXS</v>
      </c>
      <c r="C73" s="4" t="str">
        <v>Day 7</v>
      </c>
      <c r="D73" s="1" t="str">
        <v>116 SAXS</v>
      </c>
      <c r="E73" s="4" t="str">
        <v>PN4</v>
      </c>
      <c r="F73" s="1" t="str">
        <v>152 SAXS</v>
      </c>
      <c r="G73" s="4" t="str">
        <v>2W</v>
      </c>
      <c r="P73" s="1">
        <v>482</v>
      </c>
      <c r="Q73" s="4" t="str">
        <v>KO Day10</v>
      </c>
      <c r="T73" s="4">
        <v>71</v>
      </c>
      <c r="V73" s="4"/>
      <c r="X73" s="4"/>
      <c r="Z73" s="4"/>
      <c r="AB73" s="4"/>
      <c r="AD73" s="4"/>
      <c r="AF73" s="4"/>
      <c r="AH73" s="4"/>
      <c r="AJ73" s="4"/>
    </row>
    <row r="74" spans="1:36" x14ac:dyDescent="0.2">
      <c r="A74" s="4">
        <v>72</v>
      </c>
      <c r="B74" s="1" t="str">
        <v>82 SAXS</v>
      </c>
      <c r="C74" s="4" t="str">
        <v>Day 7</v>
      </c>
      <c r="D74" s="1" t="str">
        <v>117 SAXS</v>
      </c>
      <c r="E74" s="4" t="str">
        <v>PN4</v>
      </c>
      <c r="F74" s="1" t="str">
        <v>153 SAXS</v>
      </c>
      <c r="G74" s="4" t="str">
        <v>BM</v>
      </c>
      <c r="P74" s="1">
        <v>483</v>
      </c>
      <c r="Q74" s="4" t="str">
        <v>KO Day10</v>
      </c>
      <c r="T74" s="4">
        <v>72</v>
      </c>
      <c r="V74" s="4"/>
      <c r="X74" s="4"/>
      <c r="Z74" s="4"/>
      <c r="AB74" s="4"/>
      <c r="AD74" s="4"/>
      <c r="AF74" s="4"/>
      <c r="AH74" s="4"/>
      <c r="AJ74" s="4"/>
    </row>
    <row r="75" spans="1:36" x14ac:dyDescent="0.2">
      <c r="A75" s="4">
        <v>73</v>
      </c>
      <c r="B75" s="1" t="str">
        <v>83 SAXS</v>
      </c>
      <c r="C75" s="4" t="str">
        <v>Day 7</v>
      </c>
      <c r="D75" s="1" t="str">
        <v>118 SAXS</v>
      </c>
      <c r="E75" s="4" t="str">
        <v>PN4</v>
      </c>
      <c r="F75" s="1" t="str">
        <v>154 SAXS</v>
      </c>
      <c r="G75" s="4" t="str">
        <v>BM</v>
      </c>
      <c r="P75" s="1">
        <v>484</v>
      </c>
      <c r="Q75" s="4" t="str">
        <v>KO Day10</v>
      </c>
      <c r="T75" s="4">
        <v>73</v>
      </c>
      <c r="V75" s="4"/>
      <c r="X75" s="4"/>
      <c r="Z75" s="4"/>
      <c r="AB75" s="4"/>
      <c r="AD75" s="4"/>
      <c r="AF75" s="4"/>
      <c r="AH75" s="4"/>
      <c r="AJ75" s="4"/>
    </row>
    <row r="76" spans="1:36" x14ac:dyDescent="0.2">
      <c r="A76" s="4">
        <v>74</v>
      </c>
      <c r="B76" s="1" t="str">
        <v>84 SAXS</v>
      </c>
      <c r="C76" s="4" t="str">
        <v>Day 7</v>
      </c>
      <c r="D76" s="1">
        <v>313</v>
      </c>
      <c r="E76" s="4" t="str">
        <v>PN2</v>
      </c>
      <c r="F76" s="1" t="str">
        <v>155 SAXS</v>
      </c>
      <c r="G76" s="4" t="str">
        <v>BM</v>
      </c>
      <c r="P76" s="1">
        <v>485</v>
      </c>
      <c r="Q76" s="4" t="str">
        <v>KO Day10</v>
      </c>
      <c r="T76" s="4">
        <v>74</v>
      </c>
      <c r="V76" s="4"/>
      <c r="X76" s="4"/>
      <c r="Z76" s="4"/>
      <c r="AB76" s="4"/>
      <c r="AD76" s="4"/>
      <c r="AF76" s="4"/>
      <c r="AH76" s="4"/>
      <c r="AJ76" s="4"/>
    </row>
    <row r="77" spans="1:36" x14ac:dyDescent="0.2">
      <c r="A77" s="4">
        <v>75</v>
      </c>
      <c r="B77" s="1" t="str">
        <v>85 SAXS</v>
      </c>
      <c r="C77" s="4" t="str">
        <v>Day 7</v>
      </c>
      <c r="D77" s="1">
        <v>314</v>
      </c>
      <c r="E77" s="4" t="str">
        <v>E16.5</v>
      </c>
      <c r="F77" s="1" t="str">
        <v>156 SAXS</v>
      </c>
      <c r="G77" s="4" t="str">
        <v>2W</v>
      </c>
      <c r="P77" s="1">
        <v>486</v>
      </c>
      <c r="Q77" s="4" t="str">
        <v>KO Day10</v>
      </c>
      <c r="T77" s="4">
        <v>75</v>
      </c>
      <c r="V77" s="4"/>
      <c r="X77" s="4"/>
      <c r="Z77" s="4"/>
      <c r="AB77" s="4"/>
      <c r="AD77" s="4"/>
      <c r="AF77" s="4"/>
      <c r="AH77" s="4"/>
      <c r="AJ77" s="4"/>
    </row>
    <row r="78" spans="1:36" x14ac:dyDescent="0.2">
      <c r="A78" s="4">
        <v>76</v>
      </c>
      <c r="B78" s="1" t="str">
        <v>86 SAXS</v>
      </c>
      <c r="C78" s="4" t="str">
        <v>Day 7</v>
      </c>
      <c r="D78" s="1">
        <v>315</v>
      </c>
      <c r="E78" s="4" t="str">
        <v>E16.5</v>
      </c>
      <c r="F78" s="1" t="str">
        <v>157 SAXS</v>
      </c>
      <c r="G78" s="4" t="str">
        <v>2W</v>
      </c>
      <c r="P78" s="1">
        <v>487</v>
      </c>
      <c r="Q78" s="4" t="str">
        <v>WT Day10</v>
      </c>
      <c r="T78" s="4">
        <v>76</v>
      </c>
      <c r="V78" s="4"/>
      <c r="X78" s="4"/>
      <c r="Z78" s="4"/>
      <c r="AB78" s="4"/>
      <c r="AD78" s="4"/>
      <c r="AF78" s="4"/>
      <c r="AH78" s="4"/>
      <c r="AJ78" s="4"/>
    </row>
    <row r="79" spans="1:36" x14ac:dyDescent="0.2">
      <c r="A79" s="4">
        <v>77</v>
      </c>
      <c r="B79" s="1" t="str">
        <v>87 SAXS</v>
      </c>
      <c r="C79" s="4" t="str">
        <v>Day 7</v>
      </c>
      <c r="D79" s="1">
        <v>316</v>
      </c>
      <c r="E79" s="4" t="str">
        <v>PN10</v>
      </c>
      <c r="F79" s="1" t="str">
        <v>158 SAXS</v>
      </c>
      <c r="G79" s="4" t="str">
        <v>2W</v>
      </c>
      <c r="P79" s="1">
        <v>488</v>
      </c>
      <c r="Q79" s="4" t="str">
        <v>WT Day10</v>
      </c>
      <c r="T79" s="4">
        <v>77</v>
      </c>
      <c r="V79" s="4"/>
      <c r="X79" s="4"/>
      <c r="Z79" s="4"/>
      <c r="AB79" s="4"/>
      <c r="AD79" s="4"/>
      <c r="AF79" s="4"/>
      <c r="AH79" s="4"/>
      <c r="AJ79" s="4"/>
    </row>
    <row r="80" spans="1:36" x14ac:dyDescent="0.2">
      <c r="A80" s="4">
        <v>78</v>
      </c>
      <c r="B80" s="1" t="str">
        <v>88 SAXS</v>
      </c>
      <c r="C80" s="4" t="str">
        <v>Day 7</v>
      </c>
      <c r="D80" s="1">
        <v>317</v>
      </c>
      <c r="E80" s="4" t="str">
        <v>E18.5</v>
      </c>
      <c r="F80" s="1" t="str">
        <v>159 SAXS</v>
      </c>
      <c r="G80" s="4" t="str">
        <v>2W</v>
      </c>
      <c r="P80" s="1">
        <v>489</v>
      </c>
      <c r="Q80" s="4" t="str">
        <v>WT Day10</v>
      </c>
      <c r="T80" s="4">
        <v>78</v>
      </c>
      <c r="V80" s="4"/>
      <c r="X80" s="4"/>
      <c r="Z80" s="4"/>
      <c r="AB80" s="4"/>
      <c r="AD80" s="4"/>
      <c r="AF80" s="4"/>
      <c r="AH80" s="4"/>
      <c r="AJ80" s="4"/>
    </row>
    <row r="81" spans="1:36" x14ac:dyDescent="0.2">
      <c r="A81" s="4">
        <v>79</v>
      </c>
      <c r="B81" s="1" t="str">
        <v>89 SAXS</v>
      </c>
      <c r="C81" s="4" t="str">
        <v>Day 7</v>
      </c>
      <c r="D81" s="1">
        <v>318</v>
      </c>
      <c r="E81" s="4" t="str">
        <v>E18.5</v>
      </c>
      <c r="F81" s="1" t="str">
        <v>160 SAXS</v>
      </c>
      <c r="G81" s="4" t="str">
        <v>2W</v>
      </c>
      <c r="P81" s="1">
        <v>490</v>
      </c>
      <c r="Q81" s="4" t="str">
        <v>KO Day10</v>
      </c>
      <c r="T81" s="4">
        <v>79</v>
      </c>
      <c r="V81" s="4"/>
      <c r="X81" s="4"/>
      <c r="Z81" s="4"/>
      <c r="AB81" s="4"/>
      <c r="AD81" s="4"/>
      <c r="AF81" s="4"/>
      <c r="AH81" s="4"/>
      <c r="AJ81" s="4"/>
    </row>
    <row r="82" spans="1:36" x14ac:dyDescent="0.2">
      <c r="A82" s="4">
        <v>80</v>
      </c>
      <c r="B82" s="1" t="str">
        <v>90 SAXS</v>
      </c>
      <c r="C82" s="4" t="str">
        <v>Day 7</v>
      </c>
      <c r="D82" s="1">
        <v>247</v>
      </c>
      <c r="E82" s="4" t="str">
        <v>PN2</v>
      </c>
      <c r="F82" s="1" t="str">
        <v>161 SAXS</v>
      </c>
      <c r="G82" s="4" t="str">
        <v>2W</v>
      </c>
      <c r="P82" s="1">
        <v>491</v>
      </c>
      <c r="Q82" s="4" t="str">
        <v>KO Day10</v>
      </c>
      <c r="T82" s="4">
        <v>80</v>
      </c>
      <c r="V82" s="4"/>
      <c r="X82" s="4"/>
      <c r="Z82" s="4"/>
      <c r="AB82" s="4"/>
      <c r="AD82" s="4"/>
      <c r="AF82" s="4"/>
      <c r="AH82" s="4"/>
      <c r="AJ82" s="4"/>
    </row>
    <row r="83" spans="1:36" x14ac:dyDescent="0.2">
      <c r="A83" s="4">
        <v>81</v>
      </c>
      <c r="B83" s="1" t="str">
        <v>91 SAXS</v>
      </c>
      <c r="C83" s="4" t="str">
        <v>Day 7</v>
      </c>
      <c r="D83" s="1">
        <v>248</v>
      </c>
      <c r="E83" s="4" t="str">
        <v>PN2</v>
      </c>
      <c r="F83" s="1" t="str">
        <v>162 SAXS</v>
      </c>
      <c r="G83" s="4" t="str">
        <v>2W</v>
      </c>
      <c r="P83" s="1">
        <v>492</v>
      </c>
      <c r="Q83" s="4" t="str">
        <v>KO Day10</v>
      </c>
      <c r="T83" s="4">
        <v>81</v>
      </c>
      <c r="V83" s="4"/>
      <c r="X83" s="4"/>
      <c r="Z83" s="4"/>
      <c r="AB83" s="4"/>
      <c r="AD83" s="4"/>
      <c r="AF83" s="4"/>
      <c r="AH83" s="4"/>
      <c r="AJ83" s="4"/>
    </row>
    <row r="84" spans="1:36" x14ac:dyDescent="0.2">
      <c r="A84" s="4">
        <v>82</v>
      </c>
      <c r="B84" s="1" t="str">
        <v>92 SAXS</v>
      </c>
      <c r="C84" s="4" t="str">
        <v>Day 14</v>
      </c>
      <c r="D84" s="1">
        <v>249</v>
      </c>
      <c r="E84" s="4" t="str">
        <v>PN2</v>
      </c>
      <c r="F84" s="1" t="str">
        <v>170 SAXS</v>
      </c>
      <c r="G84" s="4" t="str">
        <v>PBS</v>
      </c>
      <c r="P84" s="1">
        <v>493</v>
      </c>
      <c r="Q84" s="4" t="str">
        <v>KO Day4</v>
      </c>
      <c r="T84" s="4">
        <v>82</v>
      </c>
      <c r="V84" s="4"/>
      <c r="X84" s="4"/>
      <c r="Z84" s="4"/>
      <c r="AB84" s="4"/>
      <c r="AD84" s="4"/>
      <c r="AF84" s="4"/>
      <c r="AH84" s="4"/>
      <c r="AJ84" s="4"/>
    </row>
    <row r="85" spans="1:36" x14ac:dyDescent="0.2">
      <c r="A85" s="4">
        <v>83</v>
      </c>
      <c r="B85" s="1" t="str">
        <v>93 SAXS</v>
      </c>
      <c r="C85" s="4" t="str">
        <v>Day 14</v>
      </c>
      <c r="D85" s="1">
        <v>250</v>
      </c>
      <c r="E85" s="4" t="str">
        <v>PN2</v>
      </c>
      <c r="F85" s="1" t="str">
        <v>171 SAXS</v>
      </c>
      <c r="G85" s="4" t="str">
        <v>PBS</v>
      </c>
      <c r="P85" s="1">
        <v>494</v>
      </c>
      <c r="Q85" s="4" t="str">
        <v>KO Day4</v>
      </c>
      <c r="T85" s="4">
        <v>83</v>
      </c>
      <c r="V85" s="4"/>
      <c r="X85" s="4"/>
      <c r="Z85" s="4"/>
      <c r="AB85" s="4"/>
      <c r="AD85" s="4"/>
      <c r="AF85" s="4"/>
      <c r="AH85" s="4"/>
      <c r="AJ85" s="4"/>
    </row>
    <row r="86" spans="1:36" x14ac:dyDescent="0.2">
      <c r="A86" s="4">
        <v>84</v>
      </c>
      <c r="B86" s="1" t="str">
        <v>94 SAXS</v>
      </c>
      <c r="C86" s="4" t="str">
        <v>Day 14</v>
      </c>
      <c r="D86" s="1">
        <v>251</v>
      </c>
      <c r="E86" s="4" t="str">
        <v>PN2</v>
      </c>
      <c r="F86" s="1" t="str">
        <v>172 SAXS</v>
      </c>
      <c r="G86" s="4" t="str">
        <v>PBS</v>
      </c>
      <c r="P86" s="1">
        <v>495</v>
      </c>
      <c r="Q86" s="4" t="str">
        <v>KO Day4</v>
      </c>
      <c r="T86" s="4">
        <v>84</v>
      </c>
      <c r="V86" s="4"/>
      <c r="X86" s="4"/>
      <c r="Z86" s="4"/>
      <c r="AB86" s="4"/>
      <c r="AD86" s="4"/>
      <c r="AF86" s="4"/>
      <c r="AH86" s="4"/>
      <c r="AJ86" s="4"/>
    </row>
    <row r="87" spans="1:36" x14ac:dyDescent="0.2">
      <c r="A87" s="4">
        <v>85</v>
      </c>
      <c r="B87" s="1" t="str">
        <v>95 SAXS</v>
      </c>
      <c r="C87" s="4" t="str">
        <v>Day 14</v>
      </c>
      <c r="D87" s="1">
        <v>252</v>
      </c>
      <c r="E87" s="4" t="str">
        <v>PN2</v>
      </c>
      <c r="F87" s="1" t="str">
        <v>173 SAXS</v>
      </c>
      <c r="G87" s="4" t="str">
        <v>PBS</v>
      </c>
      <c r="P87" s="1">
        <v>496</v>
      </c>
      <c r="Q87" s="4" t="str">
        <v>WT Day4</v>
      </c>
      <c r="T87" s="4">
        <v>85</v>
      </c>
      <c r="V87" s="4"/>
      <c r="X87" s="4"/>
      <c r="Z87" s="4"/>
      <c r="AB87" s="4"/>
      <c r="AD87" s="4"/>
      <c r="AF87" s="4"/>
      <c r="AH87" s="4"/>
      <c r="AJ87" s="4"/>
    </row>
    <row r="88" spans="1:36" x14ac:dyDescent="0.2">
      <c r="A88" s="4">
        <v>86</v>
      </c>
      <c r="B88" s="1" t="str">
        <v>96 SAXS</v>
      </c>
      <c r="C88" s="4" t="str">
        <v>Day 14</v>
      </c>
      <c r="D88" s="1">
        <v>253</v>
      </c>
      <c r="E88" s="4" t="str">
        <v>E18.5</v>
      </c>
      <c r="F88" s="1" t="str">
        <v>174 SAXS</v>
      </c>
      <c r="G88" s="4" t="str">
        <v>PBS</v>
      </c>
      <c r="P88" s="1">
        <v>497</v>
      </c>
      <c r="Q88" s="4" t="str">
        <v>WT Day4</v>
      </c>
      <c r="T88" s="4">
        <v>86</v>
      </c>
      <c r="V88" s="4"/>
      <c r="X88" s="4"/>
      <c r="Z88" s="4"/>
      <c r="AB88" s="4"/>
      <c r="AD88" s="4"/>
      <c r="AF88" s="4"/>
      <c r="AH88" s="4"/>
      <c r="AJ88" s="4"/>
    </row>
    <row r="89" spans="1:36" x14ac:dyDescent="0.2">
      <c r="A89" s="4">
        <v>87</v>
      </c>
      <c r="B89" s="1" t="str">
        <v>97 SAXS</v>
      </c>
      <c r="C89" s="4" t="str">
        <v>Day 14</v>
      </c>
      <c r="D89" s="1">
        <v>254</v>
      </c>
      <c r="E89" s="4" t="str">
        <v>E18.5</v>
      </c>
      <c r="F89" s="1" t="str">
        <v>175 SAXS</v>
      </c>
      <c r="G89" s="4" t="str">
        <v>PBS</v>
      </c>
      <c r="P89" s="1">
        <v>498</v>
      </c>
      <c r="Q89" s="4" t="str">
        <v>WT Day4</v>
      </c>
      <c r="T89" s="4">
        <v>87</v>
      </c>
      <c r="V89" s="4"/>
      <c r="X89" s="4"/>
      <c r="Z89" s="4"/>
      <c r="AB89" s="4"/>
      <c r="AD89" s="4"/>
      <c r="AF89" s="4"/>
      <c r="AH89" s="4"/>
      <c r="AJ89" s="4"/>
    </row>
    <row r="90" spans="1:36" x14ac:dyDescent="0.2">
      <c r="A90" s="4">
        <v>88</v>
      </c>
      <c r="B90" s="1" t="str">
        <v>98 SAXS</v>
      </c>
      <c r="C90" s="4" t="str">
        <v>Day 14</v>
      </c>
      <c r="D90" s="1" t="str">
        <v>P2 1</v>
      </c>
      <c r="E90" s="4" t="str">
        <v>PN2</v>
      </c>
      <c r="F90" s="1" t="str">
        <v>304A</v>
      </c>
      <c r="G90" s="4" t="str">
        <v>4W</v>
      </c>
      <c r="P90" s="1">
        <v>499</v>
      </c>
      <c r="Q90" s="4" t="str">
        <v>KO Day4</v>
      </c>
      <c r="T90" s="4">
        <v>88</v>
      </c>
      <c r="V90" s="4"/>
      <c r="X90" s="4"/>
      <c r="Z90" s="4"/>
      <c r="AB90" s="4"/>
      <c r="AD90" s="4"/>
      <c r="AF90" s="4"/>
      <c r="AH90" s="4"/>
      <c r="AJ90" s="4"/>
    </row>
    <row r="91" spans="1:36" x14ac:dyDescent="0.2">
      <c r="A91" s="4">
        <v>89</v>
      </c>
      <c r="B91" s="1" t="str">
        <v>99 SAXS</v>
      </c>
      <c r="C91" s="4" t="str">
        <v>Day 14</v>
      </c>
      <c r="D91" s="1" t="str">
        <v>P0 2</v>
      </c>
      <c r="E91" s="4" t="str">
        <v>PN0</v>
      </c>
      <c r="F91" s="1" t="str">
        <v>305A</v>
      </c>
      <c r="G91" s="4" t="str">
        <v>PBS</v>
      </c>
      <c r="P91" s="1">
        <v>500</v>
      </c>
      <c r="Q91" s="4" t="str">
        <v>KO Day4</v>
      </c>
      <c r="T91" s="4">
        <v>89</v>
      </c>
      <c r="V91" s="4"/>
      <c r="X91" s="4"/>
      <c r="Z91" s="4"/>
      <c r="AB91" s="4"/>
      <c r="AD91" s="4"/>
      <c r="AF91" s="4"/>
      <c r="AH91" s="4"/>
      <c r="AJ91" s="4"/>
    </row>
    <row r="92" spans="1:36" x14ac:dyDescent="0.2">
      <c r="A92" s="4">
        <v>90</v>
      </c>
      <c r="B92" s="1" t="str">
        <v>100 SAXS</v>
      </c>
      <c r="C92" s="4" t="str">
        <v>Day 14</v>
      </c>
      <c r="D92" s="1" t="str">
        <v>E18.5 3</v>
      </c>
      <c r="E92" s="4" t="str">
        <v>E18.5</v>
      </c>
      <c r="F92" s="1" t="str">
        <v>306A</v>
      </c>
      <c r="G92" s="4" t="str">
        <v>2W</v>
      </c>
      <c r="P92" s="1">
        <v>501</v>
      </c>
      <c r="Q92" s="4" t="str">
        <v>KO Day4</v>
      </c>
      <c r="T92" s="4">
        <v>90</v>
      </c>
      <c r="V92" s="4"/>
      <c r="X92" s="4"/>
      <c r="Z92" s="4"/>
      <c r="AB92" s="4"/>
      <c r="AD92" s="4"/>
      <c r="AF92" s="4"/>
      <c r="AH92" s="4"/>
      <c r="AJ92" s="4"/>
    </row>
    <row r="93" spans="1:36" x14ac:dyDescent="0.2">
      <c r="A93" s="4">
        <v>91</v>
      </c>
      <c r="B93" s="1" t="str">
        <v>101 SAXS</v>
      </c>
      <c r="C93" s="4" t="str">
        <v>Day 14</v>
      </c>
      <c r="D93" s="1" t="str">
        <v>E18.5 4</v>
      </c>
      <c r="E93" s="4" t="str">
        <v>E18.5</v>
      </c>
      <c r="F93" s="1" t="str">
        <v>307A</v>
      </c>
      <c r="G93" s="4" t="str">
        <v>4W</v>
      </c>
      <c r="P93" s="1">
        <v>502</v>
      </c>
      <c r="Q93" s="4" t="str">
        <v>WT Day4</v>
      </c>
      <c r="T93" s="4">
        <v>91</v>
      </c>
      <c r="V93" s="4"/>
      <c r="X93" s="4"/>
      <c r="Z93" s="4"/>
      <c r="AB93" s="4"/>
      <c r="AD93" s="4"/>
      <c r="AF93" s="4"/>
      <c r="AH93" s="4"/>
      <c r="AJ93" s="4"/>
    </row>
    <row r="94" spans="1:36" x14ac:dyDescent="0.2">
      <c r="A94" s="4">
        <v>92</v>
      </c>
      <c r="B94" s="1" t="str">
        <v>102 SAXS</v>
      </c>
      <c r="C94" s="4" t="str">
        <v>Day 14</v>
      </c>
      <c r="F94" s="1" t="str">
        <v>308A</v>
      </c>
      <c r="G94" s="4" t="str">
        <v>PBS</v>
      </c>
      <c r="P94" s="1">
        <v>503</v>
      </c>
      <c r="Q94" s="4" t="str">
        <v>WT Day4</v>
      </c>
      <c r="T94" s="4">
        <v>92</v>
      </c>
      <c r="V94" s="4"/>
      <c r="X94" s="4"/>
      <c r="Z94" s="4"/>
      <c r="AB94" s="4"/>
      <c r="AD94" s="4"/>
      <c r="AF94" s="4"/>
      <c r="AH94" s="4"/>
      <c r="AJ94" s="4"/>
    </row>
    <row r="95" spans="1:36" x14ac:dyDescent="0.2">
      <c r="A95" s="4">
        <v>93</v>
      </c>
      <c r="B95" s="1" t="str">
        <v>103 SAXS</v>
      </c>
      <c r="C95" s="4" t="str">
        <v>Day 10</v>
      </c>
      <c r="F95" s="1" t="str">
        <v>309A</v>
      </c>
      <c r="G95" s="4" t="str">
        <v>PBS</v>
      </c>
      <c r="P95" s="1">
        <v>504</v>
      </c>
      <c r="Q95" s="4" t="str">
        <v>WT Day4</v>
      </c>
      <c r="T95" s="4">
        <v>93</v>
      </c>
      <c r="V95" s="4"/>
      <c r="X95" s="4"/>
      <c r="Z95" s="4"/>
      <c r="AB95" s="4"/>
      <c r="AD95" s="4"/>
      <c r="AF95" s="4"/>
      <c r="AH95" s="4"/>
      <c r="AJ95" s="4"/>
    </row>
    <row r="96" spans="1:36" x14ac:dyDescent="0.2">
      <c r="A96" s="4">
        <v>94</v>
      </c>
      <c r="B96" s="1" t="str">
        <v>104 SAXS</v>
      </c>
      <c r="C96" s="4" t="str">
        <v>Day 10</v>
      </c>
      <c r="F96" s="1" t="str">
        <v>310A</v>
      </c>
      <c r="G96" s="4" t="str">
        <v>PBS</v>
      </c>
      <c r="P96" s="1">
        <v>505</v>
      </c>
      <c r="Q96" s="4" t="str">
        <v>WT Day4</v>
      </c>
      <c r="T96" s="4">
        <v>94</v>
      </c>
      <c r="V96" s="4"/>
      <c r="X96" s="4"/>
      <c r="Z96" s="4"/>
      <c r="AB96" s="4"/>
      <c r="AD96" s="4"/>
      <c r="AF96" s="4"/>
      <c r="AH96" s="4"/>
      <c r="AJ96" s="4"/>
    </row>
    <row r="97" spans="1:36" x14ac:dyDescent="0.2">
      <c r="A97" s="4">
        <v>95</v>
      </c>
      <c r="B97" s="1" t="str">
        <v>105 SAXS</v>
      </c>
      <c r="C97" s="4" t="str">
        <v>Day 10</v>
      </c>
      <c r="F97" s="1" t="str">
        <v>311A</v>
      </c>
      <c r="G97" s="4" t="str">
        <v>2W</v>
      </c>
      <c r="P97" s="1">
        <v>506</v>
      </c>
      <c r="Q97" s="4" t="str">
        <v>WT Day4</v>
      </c>
      <c r="T97" s="4">
        <v>95</v>
      </c>
      <c r="V97" s="4"/>
      <c r="X97" s="4"/>
      <c r="Z97" s="4"/>
      <c r="AB97" s="4"/>
      <c r="AD97" s="4"/>
      <c r="AF97" s="4"/>
      <c r="AH97" s="4"/>
      <c r="AJ97" s="4"/>
    </row>
    <row r="98" spans="1:36" x14ac:dyDescent="0.2">
      <c r="A98" s="4">
        <v>96</v>
      </c>
      <c r="B98" s="1" t="str">
        <v>106 SAXS</v>
      </c>
      <c r="C98" s="4" t="str">
        <v>Day 10</v>
      </c>
      <c r="F98" s="1" t="str">
        <v>312A</v>
      </c>
      <c r="G98" s="4" t="str">
        <v>2W</v>
      </c>
      <c r="P98" s="1">
        <v>507</v>
      </c>
      <c r="Q98" s="4" t="str">
        <v>WT Day4</v>
      </c>
      <c r="T98" s="4">
        <v>96</v>
      </c>
      <c r="V98" s="4"/>
      <c r="X98" s="4"/>
      <c r="Z98" s="4"/>
      <c r="AB98" s="4"/>
      <c r="AD98" s="4"/>
      <c r="AF98" s="4"/>
      <c r="AH98" s="4"/>
      <c r="AJ98" s="4"/>
    </row>
    <row r="99" spans="1:36" x14ac:dyDescent="0.2">
      <c r="A99" s="4">
        <v>97</v>
      </c>
      <c r="B99" s="1" t="str">
        <v>107 SAXS</v>
      </c>
      <c r="C99" s="4" t="str">
        <v>Day 10</v>
      </c>
      <c r="F99" s="1" t="str">
        <v>313A</v>
      </c>
      <c r="G99" s="4" t="str">
        <v>4W</v>
      </c>
      <c r="P99" s="1">
        <v>508</v>
      </c>
      <c r="Q99" s="4" t="str">
        <v>KO Day4</v>
      </c>
      <c r="T99" s="4">
        <v>97</v>
      </c>
      <c r="V99" s="4"/>
      <c r="X99" s="4"/>
      <c r="Z99" s="4"/>
      <c r="AB99" s="4"/>
      <c r="AD99" s="4"/>
      <c r="AF99" s="4"/>
      <c r="AH99" s="4"/>
      <c r="AJ99" s="4"/>
    </row>
    <row r="100" spans="1:36" x14ac:dyDescent="0.2">
      <c r="A100" s="4">
        <v>98</v>
      </c>
      <c r="B100" s="1" t="str">
        <v>108 SAXS</v>
      </c>
      <c r="C100" s="4" t="str">
        <v>Day 10</v>
      </c>
      <c r="F100" s="1" t="str">
        <v>314A</v>
      </c>
      <c r="G100" s="4" t="str">
        <v>4W + OKN-007</v>
      </c>
      <c r="P100" s="1">
        <v>509</v>
      </c>
      <c r="Q100" s="4" t="str">
        <v>KO Day4</v>
      </c>
      <c r="T100" s="4">
        <v>98</v>
      </c>
      <c r="V100" s="4"/>
      <c r="X100" s="4"/>
      <c r="Z100" s="4"/>
      <c r="AB100" s="4"/>
      <c r="AD100" s="4"/>
      <c r="AF100" s="4"/>
      <c r="AH100" s="4"/>
      <c r="AJ100" s="4"/>
    </row>
    <row r="101" spans="1:36" x14ac:dyDescent="0.2">
      <c r="A101" s="4">
        <v>99</v>
      </c>
      <c r="B101" s="1" t="str">
        <v>109 SAXS</v>
      </c>
      <c r="C101" s="4" t="str">
        <v>Day 10</v>
      </c>
      <c r="F101" s="1" t="str">
        <v>315A</v>
      </c>
      <c r="G101" s="4" t="str">
        <v>4W + OKN-007</v>
      </c>
      <c r="P101" s="1">
        <v>510</v>
      </c>
      <c r="Q101" s="4" t="str">
        <v>KO Day4</v>
      </c>
      <c r="T101" s="4">
        <v>99</v>
      </c>
      <c r="V101" s="4"/>
      <c r="X101" s="4"/>
      <c r="Z101" s="4"/>
      <c r="AB101" s="4"/>
      <c r="AD101" s="4"/>
      <c r="AF101" s="4"/>
      <c r="AH101" s="4"/>
      <c r="AJ101" s="4"/>
    </row>
    <row r="102" spans="1:36" x14ac:dyDescent="0.2">
      <c r="A102" s="4">
        <v>100</v>
      </c>
      <c r="B102" s="1" t="str">
        <v xml:space="preserve">151(1) SAXS-2 </v>
      </c>
      <c r="C102" s="4" t="str">
        <v>Day 7</v>
      </c>
      <c r="F102" s="1" t="str">
        <v>316A</v>
      </c>
      <c r="G102" s="4" t="str">
        <v>4W + OKN-007</v>
      </c>
      <c r="P102" s="1">
        <v>511</v>
      </c>
      <c r="Q102" s="4" t="str">
        <v>WT Day4</v>
      </c>
      <c r="T102" s="4">
        <v>100</v>
      </c>
      <c r="V102" s="4"/>
      <c r="X102" s="4"/>
      <c r="Z102" s="4"/>
      <c r="AB102" s="4"/>
      <c r="AD102" s="4"/>
      <c r="AF102" s="4"/>
      <c r="AH102" s="4"/>
      <c r="AJ102" s="4"/>
    </row>
    <row r="103" spans="1:36" x14ac:dyDescent="0.2">
      <c r="A103" s="4">
        <v>101</v>
      </c>
      <c r="B103" s="1" t="str">
        <v>152(2) SAXS-2</v>
      </c>
      <c r="C103" s="4" t="str">
        <v>Day 7</v>
      </c>
      <c r="F103" s="1" t="str">
        <v>317A</v>
      </c>
      <c r="G103" s="4" t="str">
        <v>4W + OKN-007</v>
      </c>
      <c r="P103" s="1">
        <v>512</v>
      </c>
      <c r="Q103" s="4" t="str">
        <v>WT Day4</v>
      </c>
      <c r="T103" s="4">
        <v>101</v>
      </c>
      <c r="V103" s="4"/>
      <c r="X103" s="4"/>
      <c r="Z103" s="4"/>
      <c r="AB103" s="4"/>
      <c r="AD103" s="4"/>
      <c r="AF103" s="4"/>
      <c r="AH103" s="4"/>
      <c r="AJ103" s="4"/>
    </row>
    <row r="104" spans="1:36" x14ac:dyDescent="0.2">
      <c r="A104" s="4">
        <v>102</v>
      </c>
      <c r="B104" s="1" t="str">
        <v>153(3) SAXS-2</v>
      </c>
      <c r="C104" s="4" t="str">
        <v>Day 7</v>
      </c>
      <c r="F104" s="1" t="str">
        <v>318A</v>
      </c>
      <c r="G104" s="4" t="str">
        <v>4W + OKN-007</v>
      </c>
      <c r="P104" s="1">
        <v>513</v>
      </c>
      <c r="Q104" s="4" t="str">
        <v>WT Day4</v>
      </c>
      <c r="T104" s="4">
        <v>102</v>
      </c>
      <c r="V104" s="4"/>
      <c r="X104" s="4"/>
      <c r="Z104" s="4"/>
      <c r="AB104" s="4"/>
      <c r="AD104" s="4"/>
      <c r="AF104" s="4"/>
      <c r="AH104" s="4"/>
      <c r="AJ104" s="4"/>
    </row>
    <row r="105" spans="1:36" x14ac:dyDescent="0.2">
      <c r="A105" s="4">
        <v>103</v>
      </c>
      <c r="B105" s="1" t="str">
        <v>154(4) SAXS-2</v>
      </c>
      <c r="C105" s="4" t="str">
        <v>Day 7</v>
      </c>
      <c r="F105" s="1" t="str">
        <v>319A</v>
      </c>
      <c r="G105" s="4" t="str">
        <v>4W</v>
      </c>
      <c r="P105" s="1">
        <v>514</v>
      </c>
      <c r="Q105" s="4" t="str">
        <v>KO Day4</v>
      </c>
      <c r="T105" s="4">
        <v>103</v>
      </c>
      <c r="V105" s="4"/>
      <c r="X105" s="4"/>
      <c r="Z105" s="4"/>
      <c r="AB105" s="4"/>
      <c r="AD105" s="4"/>
      <c r="AF105" s="4"/>
      <c r="AH105" s="4"/>
      <c r="AJ105" s="4"/>
    </row>
    <row r="106" spans="1:36" x14ac:dyDescent="0.2">
      <c r="A106" s="4">
        <v>104</v>
      </c>
      <c r="B106" s="1" t="str">
        <v>155(5) SAXS-2</v>
      </c>
      <c r="C106" s="4" t="str">
        <v>Day 7</v>
      </c>
      <c r="F106" s="1" t="str">
        <v>320a</v>
      </c>
      <c r="G106" s="4" t="str">
        <v>4W</v>
      </c>
      <c r="P106" s="1">
        <v>515</v>
      </c>
      <c r="Q106" s="4" t="str">
        <v>KO Day4</v>
      </c>
      <c r="T106" s="4">
        <v>104</v>
      </c>
      <c r="V106" s="4"/>
      <c r="X106" s="4"/>
      <c r="Z106" s="4"/>
      <c r="AB106" s="4"/>
      <c r="AD106" s="4"/>
      <c r="AF106" s="4"/>
      <c r="AH106" s="4"/>
      <c r="AJ106" s="4"/>
    </row>
    <row r="107" spans="1:36" x14ac:dyDescent="0.2">
      <c r="A107" s="4">
        <v>105</v>
      </c>
      <c r="B107" s="1" t="str">
        <v>156(6) SAXS-2</v>
      </c>
      <c r="C107" s="4" t="str">
        <v>Day 7</v>
      </c>
      <c r="F107" s="1" t="str">
        <v>321a</v>
      </c>
      <c r="G107" s="4" t="str">
        <v>4W</v>
      </c>
      <c r="P107" s="1">
        <v>516</v>
      </c>
      <c r="Q107" s="4" t="str">
        <v>KO Day4</v>
      </c>
      <c r="T107" s="4">
        <v>105</v>
      </c>
      <c r="V107" s="4"/>
      <c r="X107" s="4"/>
      <c r="Z107" s="4"/>
      <c r="AB107" s="4"/>
      <c r="AD107" s="4"/>
      <c r="AF107" s="4"/>
      <c r="AH107" s="4"/>
      <c r="AJ107" s="4"/>
    </row>
    <row r="108" spans="1:36" x14ac:dyDescent="0.2">
      <c r="A108" s="4">
        <v>106</v>
      </c>
      <c r="B108" s="1" t="str">
        <v>157(7) SAXS-2</v>
      </c>
      <c r="C108" s="4" t="str">
        <v>Day 14</v>
      </c>
      <c r="F108" s="1" t="str">
        <v>322a</v>
      </c>
      <c r="G108" s="4" t="str">
        <v>4W</v>
      </c>
      <c r="P108" s="1">
        <v>517</v>
      </c>
      <c r="Q108" s="4" t="str">
        <v>KO Day19</v>
      </c>
      <c r="T108" s="4">
        <v>106</v>
      </c>
      <c r="V108" s="4"/>
      <c r="X108" s="4"/>
      <c r="Z108" s="4"/>
      <c r="AB108" s="4"/>
      <c r="AD108" s="4"/>
      <c r="AF108" s="4"/>
      <c r="AH108" s="4"/>
      <c r="AJ108" s="4"/>
    </row>
    <row r="109" spans="1:36" x14ac:dyDescent="0.2">
      <c r="A109" s="4">
        <v>107</v>
      </c>
      <c r="B109" s="1" t="str">
        <v>158(8) SAXS-2</v>
      </c>
      <c r="C109" s="4" t="str">
        <v>Day 14</v>
      </c>
      <c r="F109" s="1" t="str">
        <v>323a</v>
      </c>
      <c r="G109" s="4" t="str">
        <v>4W</v>
      </c>
      <c r="P109" s="1">
        <v>518</v>
      </c>
      <c r="Q109" s="4" t="str">
        <v>KO Day19</v>
      </c>
      <c r="T109" s="4">
        <v>107</v>
      </c>
      <c r="V109" s="4"/>
      <c r="X109" s="4"/>
      <c r="Z109" s="4"/>
      <c r="AB109" s="4"/>
      <c r="AD109" s="4"/>
      <c r="AF109" s="4"/>
      <c r="AH109" s="4"/>
      <c r="AJ109" s="4"/>
    </row>
    <row r="110" spans="1:36" x14ac:dyDescent="0.2">
      <c r="A110" s="4">
        <v>108</v>
      </c>
      <c r="B110" s="1" t="str">
        <v>159(9) SAXS-2</v>
      </c>
      <c r="C110" s="4" t="str">
        <v>Day 14</v>
      </c>
      <c r="F110" s="1" t="str">
        <v>324a</v>
      </c>
      <c r="G110" s="4" t="str">
        <v>2W</v>
      </c>
      <c r="P110" s="1">
        <v>519</v>
      </c>
      <c r="Q110" s="4" t="str">
        <v>KO Day19</v>
      </c>
      <c r="T110" s="4">
        <v>108</v>
      </c>
      <c r="V110" s="4"/>
      <c r="X110" s="4"/>
      <c r="Z110" s="4"/>
      <c r="AB110" s="4"/>
      <c r="AD110" s="4"/>
      <c r="AF110" s="4"/>
      <c r="AH110" s="4"/>
      <c r="AJ110" s="4"/>
    </row>
    <row r="111" spans="1:36" x14ac:dyDescent="0.2">
      <c r="A111" s="4">
        <v>109</v>
      </c>
      <c r="B111" s="1" t="str">
        <v>160(10) SAXS-2</v>
      </c>
      <c r="C111" s="4" t="str">
        <v>Day 14</v>
      </c>
      <c r="F111" s="1" t="str">
        <v>325a</v>
      </c>
      <c r="G111" s="4" t="str">
        <v>4W</v>
      </c>
      <c r="P111" s="1">
        <v>520</v>
      </c>
      <c r="Q111" s="4" t="str">
        <v>WT Day19</v>
      </c>
      <c r="T111" s="4">
        <v>109</v>
      </c>
      <c r="V111" s="4"/>
      <c r="X111" s="4"/>
      <c r="Z111" s="4"/>
      <c r="AB111" s="4"/>
      <c r="AD111" s="4"/>
      <c r="AF111" s="4"/>
      <c r="AH111" s="4"/>
      <c r="AJ111" s="4"/>
    </row>
    <row r="112" spans="1:36" x14ac:dyDescent="0.2">
      <c r="A112" s="4">
        <v>110</v>
      </c>
      <c r="B112" s="1" t="str">
        <v>161(11) SAXS-2</v>
      </c>
      <c r="C112" s="4" t="str">
        <v>Day 14</v>
      </c>
      <c r="F112" s="1" t="str">
        <v>326a</v>
      </c>
      <c r="G112" s="4" t="str">
        <v>2W</v>
      </c>
      <c r="P112" s="1">
        <v>521</v>
      </c>
      <c r="Q112" s="4" t="str">
        <v>WT Day19</v>
      </c>
      <c r="T112" s="4">
        <v>110</v>
      </c>
      <c r="V112" s="4"/>
      <c r="X112" s="4"/>
      <c r="Z112" s="4"/>
      <c r="AB112" s="4"/>
      <c r="AD112" s="4"/>
      <c r="AF112" s="4"/>
      <c r="AH112" s="4"/>
      <c r="AJ112" s="4"/>
    </row>
    <row r="113" spans="1:36" x14ac:dyDescent="0.2">
      <c r="A113" s="4">
        <v>111</v>
      </c>
      <c r="B113" s="1" t="str">
        <v>162(12) SAXS-2</v>
      </c>
      <c r="C113" s="4" t="str">
        <v>Day 14</v>
      </c>
      <c r="F113" s="1" t="str">
        <v>327a</v>
      </c>
      <c r="G113" s="4" t="str">
        <v>4W</v>
      </c>
      <c r="P113" s="1">
        <v>522</v>
      </c>
      <c r="Q113" s="4" t="str">
        <v>WT Day19</v>
      </c>
      <c r="T113" s="4">
        <v>111</v>
      </c>
      <c r="V113" s="4"/>
      <c r="X113" s="4"/>
      <c r="Z113" s="4"/>
      <c r="AB113" s="4"/>
      <c r="AD113" s="4"/>
      <c r="AF113" s="4"/>
      <c r="AH113" s="4"/>
      <c r="AJ113" s="4"/>
    </row>
    <row r="114" spans="1:36" x14ac:dyDescent="0.2">
      <c r="A114" s="4">
        <v>112</v>
      </c>
      <c r="B114" s="1" t="str">
        <v>163(13) SAXS-2</v>
      </c>
      <c r="C114" s="4" t="str">
        <v>Day 21</v>
      </c>
      <c r="F114" s="1" t="str">
        <v>328a</v>
      </c>
      <c r="G114" s="4" t="str">
        <v>4W</v>
      </c>
      <c r="P114" s="1">
        <v>523</v>
      </c>
      <c r="Q114" s="4" t="str">
        <v>KO Day19</v>
      </c>
      <c r="T114" s="4">
        <v>112</v>
      </c>
      <c r="V114" s="4"/>
      <c r="X114" s="4"/>
      <c r="Z114" s="4"/>
      <c r="AB114" s="4"/>
      <c r="AD114" s="4"/>
      <c r="AF114" s="4"/>
      <c r="AH114" s="4"/>
      <c r="AJ114" s="4"/>
    </row>
    <row r="115" spans="1:36" x14ac:dyDescent="0.2">
      <c r="A115" s="4">
        <v>113</v>
      </c>
      <c r="B115" s="1" t="str">
        <v>164(14) SAXS-2</v>
      </c>
      <c r="C115" s="4" t="str">
        <v>Day 21</v>
      </c>
      <c r="F115" s="1" t="str">
        <v>329a</v>
      </c>
      <c r="G115" s="4" t="str">
        <v>BM</v>
      </c>
      <c r="P115" s="1">
        <v>524</v>
      </c>
      <c r="Q115" s="4" t="str">
        <v>KO Day19</v>
      </c>
      <c r="T115" s="4">
        <v>113</v>
      </c>
      <c r="V115" s="4"/>
      <c r="X115" s="4"/>
      <c r="Z115" s="4"/>
      <c r="AB115" s="4"/>
      <c r="AD115" s="4"/>
      <c r="AF115" s="4"/>
      <c r="AH115" s="4"/>
      <c r="AJ115" s="4"/>
    </row>
    <row r="116" spans="1:36" x14ac:dyDescent="0.2">
      <c r="A116" s="4">
        <v>114</v>
      </c>
      <c r="B116" s="1" t="str">
        <v>165(15) SAXS-2</v>
      </c>
      <c r="C116" s="4" t="str">
        <v>Day 21</v>
      </c>
      <c r="F116" s="1" t="str">
        <v>330A</v>
      </c>
      <c r="G116" s="4" t="str">
        <v>BM</v>
      </c>
      <c r="P116" s="1">
        <v>525</v>
      </c>
      <c r="Q116" s="4" t="str">
        <v>KO Day19</v>
      </c>
      <c r="T116" s="4">
        <v>114</v>
      </c>
      <c r="V116" s="4"/>
      <c r="X116" s="4"/>
      <c r="Z116" s="4"/>
      <c r="AB116" s="4"/>
      <c r="AD116" s="4"/>
      <c r="AF116" s="4"/>
      <c r="AH116" s="4"/>
      <c r="AJ116" s="4"/>
    </row>
    <row r="117" spans="1:36" x14ac:dyDescent="0.2">
      <c r="A117" s="4">
        <v>115</v>
      </c>
      <c r="B117" s="1" t="str">
        <v>166(16) SAXS-2</v>
      </c>
      <c r="C117" s="4" t="str">
        <v>Day 21</v>
      </c>
      <c r="F117" s="1" t="str">
        <v>331a</v>
      </c>
      <c r="G117" s="4" t="str">
        <v>BM</v>
      </c>
      <c r="P117" s="1">
        <v>526</v>
      </c>
      <c r="Q117" s="4" t="str">
        <v>KO Day19</v>
      </c>
      <c r="T117" s="4">
        <v>115</v>
      </c>
      <c r="V117" s="4"/>
      <c r="X117" s="4"/>
      <c r="Z117" s="4"/>
      <c r="AB117" s="4"/>
      <c r="AD117" s="4"/>
      <c r="AF117" s="4"/>
      <c r="AH117" s="4"/>
      <c r="AJ117" s="4"/>
    </row>
    <row r="118" spans="1:36" x14ac:dyDescent="0.2">
      <c r="A118" s="4">
        <v>116</v>
      </c>
      <c r="B118" s="1" t="str">
        <v>167(17) SAXS-2</v>
      </c>
      <c r="C118" s="4" t="str">
        <v>Day 21</v>
      </c>
      <c r="F118" s="1">
        <v>332</v>
      </c>
      <c r="G118" s="4" t="str">
        <v>4W</v>
      </c>
      <c r="P118" s="1">
        <v>527</v>
      </c>
      <c r="Q118" s="4" t="str">
        <v>KO Day19</v>
      </c>
      <c r="T118" s="4">
        <v>116</v>
      </c>
      <c r="V118" s="4"/>
      <c r="X118" s="4"/>
      <c r="Z118" s="4"/>
      <c r="AB118" s="4"/>
      <c r="AD118" s="4"/>
      <c r="AF118" s="4"/>
      <c r="AH118" s="4"/>
      <c r="AJ118" s="4"/>
    </row>
    <row r="119" spans="1:36" x14ac:dyDescent="0.2">
      <c r="A119" s="4">
        <v>117</v>
      </c>
      <c r="B119" s="1" t="str">
        <v>168(18) SAXS-2</v>
      </c>
      <c r="C119" s="4" t="str">
        <v>Day 21</v>
      </c>
      <c r="F119" s="1" t="str">
        <v>333a</v>
      </c>
      <c r="G119" s="4" t="str">
        <v>BM</v>
      </c>
      <c r="P119" s="1">
        <v>528</v>
      </c>
      <c r="Q119" s="4" t="str">
        <v>KO Day19</v>
      </c>
      <c r="T119" s="4">
        <v>117</v>
      </c>
      <c r="V119" s="4"/>
      <c r="X119" s="4"/>
      <c r="Z119" s="4"/>
      <c r="AB119" s="4"/>
      <c r="AD119" s="4"/>
      <c r="AF119" s="4"/>
      <c r="AH119" s="4"/>
      <c r="AJ119" s="4"/>
    </row>
    <row r="120" spans="1:36" x14ac:dyDescent="0.2">
      <c r="A120" s="4">
        <v>118</v>
      </c>
      <c r="B120" s="1" t="str">
        <v>169(19) SAXS-2</v>
      </c>
      <c r="C120" s="4" t="str">
        <v>Day 21</v>
      </c>
      <c r="F120" s="1" t="str">
        <v>334a</v>
      </c>
      <c r="G120" s="4" t="str">
        <v>BM</v>
      </c>
      <c r="P120" s="1">
        <v>529</v>
      </c>
      <c r="Q120" s="4" t="str">
        <v>KO Day19</v>
      </c>
      <c r="T120" s="4">
        <v>118</v>
      </c>
      <c r="V120" s="4"/>
      <c r="X120" s="4"/>
      <c r="Z120" s="4"/>
      <c r="AB120" s="4"/>
      <c r="AD120" s="4"/>
      <c r="AF120" s="4"/>
      <c r="AH120" s="4"/>
      <c r="AJ120" s="4"/>
    </row>
    <row r="121" spans="1:36" x14ac:dyDescent="0.2">
      <c r="A121" s="4">
        <v>119</v>
      </c>
      <c r="B121" s="1" t="str">
        <v>170(20) SAXS-2</v>
      </c>
      <c r="C121" s="4" t="str">
        <v>Day 21</v>
      </c>
      <c r="F121" s="1" t="str">
        <v>335a</v>
      </c>
      <c r="G121" s="4" t="str">
        <v>4W</v>
      </c>
      <c r="P121" s="1">
        <v>530</v>
      </c>
      <c r="Q121" s="4" t="str">
        <v>KO Day19</v>
      </c>
      <c r="T121" s="4">
        <v>119</v>
      </c>
      <c r="V121" s="4"/>
      <c r="X121" s="4"/>
      <c r="Z121" s="4"/>
      <c r="AB121" s="4"/>
      <c r="AD121" s="4"/>
      <c r="AF121" s="4"/>
      <c r="AH121" s="4"/>
      <c r="AJ121" s="4"/>
    </row>
    <row r="122" spans="1:36" x14ac:dyDescent="0.2">
      <c r="A122" s="4">
        <v>120</v>
      </c>
      <c r="B122" s="1" t="str">
        <v>171(21) SAXS-2</v>
      </c>
      <c r="C122" s="4" t="str">
        <v>Day 21</v>
      </c>
      <c r="F122" s="1" t="str">
        <v>336a</v>
      </c>
      <c r="G122" s="4" t="str">
        <v>4W</v>
      </c>
      <c r="P122" s="1">
        <v>531</v>
      </c>
      <c r="Q122" s="4" t="str">
        <v>KO Day19</v>
      </c>
      <c r="T122" s="4">
        <v>120</v>
      </c>
      <c r="V122" s="4"/>
      <c r="X122" s="4"/>
      <c r="Z122" s="4"/>
      <c r="AB122" s="4"/>
      <c r="AD122" s="4"/>
      <c r="AF122" s="4"/>
      <c r="AH122" s="4"/>
      <c r="AJ122" s="4"/>
    </row>
    <row r="123" spans="1:36" x14ac:dyDescent="0.2">
      <c r="A123" s="4">
        <v>121</v>
      </c>
      <c r="B123" s="1" t="str">
        <v>172(22) SAXS-2</v>
      </c>
      <c r="C123" s="4" t="str">
        <v>Day 21</v>
      </c>
      <c r="F123" s="1" t="str">
        <v>337a</v>
      </c>
      <c r="G123" s="4" t="str">
        <v>4W</v>
      </c>
      <c r="P123" s="1">
        <v>532</v>
      </c>
      <c r="Q123" s="4" t="str">
        <v>WT Day19</v>
      </c>
      <c r="T123" s="4">
        <v>121</v>
      </c>
      <c r="V123" s="4"/>
      <c r="X123" s="4"/>
      <c r="Z123" s="4"/>
      <c r="AB123" s="4"/>
      <c r="AD123" s="4"/>
      <c r="AF123" s="4"/>
      <c r="AH123" s="4"/>
      <c r="AJ123" s="4"/>
    </row>
    <row r="124" spans="1:36" x14ac:dyDescent="0.2">
      <c r="B124" s="1">
        <v>311</v>
      </c>
      <c r="C124" s="4" t="str">
        <v>Day 4</v>
      </c>
      <c r="F124" s="1" t="str">
        <v>338a</v>
      </c>
      <c r="G124" s="4" t="str">
        <v>4W</v>
      </c>
      <c r="P124" s="1">
        <v>533</v>
      </c>
      <c r="Q124" s="4" t="str">
        <v>WT Day19</v>
      </c>
    </row>
    <row r="125" spans="1:36" x14ac:dyDescent="0.2">
      <c r="B125" s="1">
        <v>312</v>
      </c>
      <c r="C125" s="4" t="str">
        <v>Day 4</v>
      </c>
      <c r="F125" s="1" t="str">
        <v>339a</v>
      </c>
      <c r="G125" s="4" t="str">
        <v>PBSOKN</v>
      </c>
      <c r="P125" s="1">
        <v>534</v>
      </c>
      <c r="Q125" s="4" t="str">
        <v>WT Day19</v>
      </c>
    </row>
    <row r="126" spans="1:36" x14ac:dyDescent="0.2">
      <c r="B126" s="1">
        <v>319</v>
      </c>
      <c r="C126" s="4" t="str">
        <v>Day 7</v>
      </c>
      <c r="F126" s="1" t="str">
        <v>340a</v>
      </c>
      <c r="G126" s="4" t="str">
        <v>PBSOKN</v>
      </c>
      <c r="P126" s="1">
        <v>535</v>
      </c>
      <c r="Q126" s="4" t="str">
        <v>WT Day19</v>
      </c>
    </row>
    <row r="127" spans="1:36" x14ac:dyDescent="0.2">
      <c r="B127" s="1">
        <v>320</v>
      </c>
      <c r="C127" s="4" t="str">
        <v>Day 7</v>
      </c>
      <c r="F127" s="1" t="str">
        <v>341a</v>
      </c>
      <c r="G127" s="4" t="str">
        <v>PBS</v>
      </c>
      <c r="P127" s="1">
        <v>536</v>
      </c>
      <c r="Q127" s="4" t="str">
        <v>WT Day19</v>
      </c>
    </row>
    <row r="128" spans="1:36" x14ac:dyDescent="0.2">
      <c r="B128" s="1">
        <v>321</v>
      </c>
      <c r="C128" s="4" t="str">
        <v>Day 14</v>
      </c>
      <c r="F128" s="1" t="str">
        <v>342a</v>
      </c>
      <c r="G128" s="4" t="str">
        <v>PBS</v>
      </c>
      <c r="P128" s="1">
        <v>537</v>
      </c>
      <c r="Q128" s="4" t="str">
        <v>WT Day19</v>
      </c>
    </row>
    <row r="129" spans="2:17" x14ac:dyDescent="0.2">
      <c r="B129" s="1">
        <v>322</v>
      </c>
      <c r="C129" s="4" t="str">
        <v>Day 14</v>
      </c>
      <c r="P129" s="1">
        <v>538</v>
      </c>
      <c r="Q129" s="4" t="str">
        <v>WT Day19</v>
      </c>
    </row>
    <row r="130" spans="2:17" x14ac:dyDescent="0.2">
      <c r="B130" s="1">
        <v>210</v>
      </c>
      <c r="C130" s="4" t="str">
        <v>Day 10</v>
      </c>
      <c r="P130" s="1">
        <v>539</v>
      </c>
      <c r="Q130" s="4" t="str">
        <v>WT Day19</v>
      </c>
    </row>
    <row r="131" spans="2:17" x14ac:dyDescent="0.2">
      <c r="B131" s="1">
        <v>211</v>
      </c>
      <c r="C131" s="4" t="str">
        <v>Day 10</v>
      </c>
      <c r="P131" s="1">
        <v>540</v>
      </c>
      <c r="Q131" s="4" t="str">
        <v>WT Day19</v>
      </c>
    </row>
    <row r="132" spans="2:17" x14ac:dyDescent="0.2">
      <c r="B132" s="1">
        <v>212</v>
      </c>
      <c r="C132" s="4" t="str">
        <v>Day 10</v>
      </c>
      <c r="P132" s="1">
        <v>541</v>
      </c>
      <c r="Q132" s="4" t="str">
        <v>KO Day7</v>
      </c>
    </row>
    <row r="133" spans="2:17" x14ac:dyDescent="0.2">
      <c r="B133" s="1">
        <v>213</v>
      </c>
      <c r="C133" s="4" t="str">
        <v>Day 10</v>
      </c>
      <c r="P133" s="1">
        <v>542</v>
      </c>
      <c r="Q133" s="4" t="str">
        <v>KO Day7</v>
      </c>
    </row>
    <row r="134" spans="2:17" x14ac:dyDescent="0.2">
      <c r="B134" s="1">
        <v>214</v>
      </c>
      <c r="C134" s="4" t="str">
        <v>Day 10</v>
      </c>
      <c r="P134" s="1">
        <v>543</v>
      </c>
      <c r="Q134" s="4" t="str">
        <v>KO Day7</v>
      </c>
    </row>
    <row r="135" spans="2:17" x14ac:dyDescent="0.2">
      <c r="B135" s="1">
        <v>215</v>
      </c>
      <c r="C135" s="4" t="str">
        <v>Day 10</v>
      </c>
      <c r="P135" s="1">
        <v>544</v>
      </c>
      <c r="Q135" s="4" t="str">
        <v>KO Day7</v>
      </c>
    </row>
    <row r="136" spans="2:17" x14ac:dyDescent="0.2">
      <c r="B136" s="1">
        <v>216</v>
      </c>
      <c r="C136" s="4" t="str">
        <v>Day 21</v>
      </c>
      <c r="P136" s="1">
        <v>545</v>
      </c>
      <c r="Q136" s="4" t="str">
        <v>KO Day7</v>
      </c>
    </row>
    <row r="137" spans="2:17" x14ac:dyDescent="0.2">
      <c r="B137" s="1">
        <v>217</v>
      </c>
      <c r="C137" s="4" t="str">
        <v>Day 21</v>
      </c>
      <c r="P137" s="1">
        <v>546</v>
      </c>
      <c r="Q137" s="4" t="str">
        <v>KO Day7</v>
      </c>
    </row>
    <row r="138" spans="2:17" x14ac:dyDescent="0.2">
      <c r="B138" s="1">
        <v>218</v>
      </c>
      <c r="C138" s="4" t="str">
        <v>Day 21</v>
      </c>
      <c r="P138" s="1">
        <v>547</v>
      </c>
      <c r="Q138" s="4" t="str">
        <v>WT Day7</v>
      </c>
    </row>
    <row r="139" spans="2:17" x14ac:dyDescent="0.2">
      <c r="B139" s="1">
        <v>219</v>
      </c>
      <c r="C139" s="4" t="str">
        <v>Day 21</v>
      </c>
      <c r="P139" s="1">
        <v>548</v>
      </c>
      <c r="Q139" s="4" t="str">
        <v>WT Day7</v>
      </c>
    </row>
    <row r="140" spans="2:17" x14ac:dyDescent="0.2">
      <c r="B140" s="1">
        <v>220</v>
      </c>
      <c r="C140" s="4" t="str">
        <v>Day 21</v>
      </c>
      <c r="P140" s="1">
        <v>549</v>
      </c>
      <c r="Q140" s="4" t="str">
        <v>WT Day7</v>
      </c>
    </row>
    <row r="141" spans="2:17" x14ac:dyDescent="0.2">
      <c r="B141" s="1">
        <v>221</v>
      </c>
      <c r="C141" s="4" t="str">
        <v>Day 21</v>
      </c>
      <c r="P141" s="1">
        <v>550</v>
      </c>
      <c r="Q141" s="4" t="str">
        <v>WT Day7</v>
      </c>
    </row>
    <row r="142" spans="2:17" x14ac:dyDescent="0.2">
      <c r="B142" s="1">
        <v>222</v>
      </c>
      <c r="C142" s="4" t="str">
        <v>Day 21</v>
      </c>
      <c r="P142" s="1">
        <v>551</v>
      </c>
      <c r="Q142" s="4" t="str">
        <v>WT Day7</v>
      </c>
    </row>
    <row r="143" spans="2:17" x14ac:dyDescent="0.2">
      <c r="B143" s="1">
        <v>223</v>
      </c>
      <c r="C143" s="4" t="str">
        <v>Day 21</v>
      </c>
      <c r="P143" s="1">
        <v>552</v>
      </c>
      <c r="Q143" s="4" t="str">
        <v>WT Day7</v>
      </c>
    </row>
    <row r="144" spans="2:17" x14ac:dyDescent="0.2">
      <c r="B144" s="1">
        <v>224</v>
      </c>
      <c r="C144" s="4" t="str">
        <v>Day 21</v>
      </c>
      <c r="P144" s="1">
        <v>553</v>
      </c>
      <c r="Q144" s="4" t="str">
        <v>WT Day7</v>
      </c>
    </row>
    <row r="145" spans="2:17" x14ac:dyDescent="0.2">
      <c r="B145" s="1">
        <v>225</v>
      </c>
      <c r="C145" s="4" t="str">
        <v>Day 21</v>
      </c>
      <c r="P145" s="1">
        <v>554</v>
      </c>
      <c r="Q145" s="4" t="str">
        <v>WT Day7</v>
      </c>
    </row>
    <row r="146" spans="2:17" x14ac:dyDescent="0.2">
      <c r="B146" s="1">
        <v>226</v>
      </c>
      <c r="C146" s="4" t="str">
        <v>Day 21</v>
      </c>
      <c r="P146" s="1">
        <v>555</v>
      </c>
      <c r="Q146" s="4" t="str">
        <v>WT Day7</v>
      </c>
    </row>
    <row r="147" spans="2:17" x14ac:dyDescent="0.2">
      <c r="B147" s="1">
        <v>227</v>
      </c>
      <c r="C147" s="4" t="str">
        <v>Day 7</v>
      </c>
      <c r="P147" s="1">
        <v>556</v>
      </c>
      <c r="Q147" s="4" t="str">
        <v>KO Day7</v>
      </c>
    </row>
    <row r="148" spans="2:17" x14ac:dyDescent="0.2">
      <c r="B148" s="1">
        <v>228</v>
      </c>
      <c r="C148" s="4" t="str">
        <v>Day 7</v>
      </c>
      <c r="P148" s="1">
        <v>557</v>
      </c>
      <c r="Q148" s="4" t="str">
        <v>KO Day7</v>
      </c>
    </row>
    <row r="149" spans="2:17" x14ac:dyDescent="0.2">
      <c r="B149" s="1">
        <v>229</v>
      </c>
      <c r="C149" s="4" t="str">
        <v>Day 7</v>
      </c>
      <c r="P149" s="1">
        <v>558</v>
      </c>
      <c r="Q149" s="4" t="str">
        <v>KO Day7</v>
      </c>
    </row>
    <row r="150" spans="2:17" x14ac:dyDescent="0.2">
      <c r="B150" s="1">
        <v>230</v>
      </c>
      <c r="C150" s="4" t="str">
        <v>Day 7</v>
      </c>
      <c r="P150" s="1">
        <v>559</v>
      </c>
      <c r="Q150" s="4" t="str">
        <v>KO Day7</v>
      </c>
    </row>
    <row r="151" spans="2:17" x14ac:dyDescent="0.2">
      <c r="B151" s="1">
        <v>231</v>
      </c>
      <c r="C151" s="4" t="str">
        <v xml:space="preserve">Day 7 </v>
      </c>
      <c r="P151" s="1">
        <v>560</v>
      </c>
      <c r="Q151" s="4" t="str">
        <v>KO Day7</v>
      </c>
    </row>
    <row r="152" spans="2:17" x14ac:dyDescent="0.2">
      <c r="B152" s="1">
        <v>232</v>
      </c>
      <c r="C152" s="4" t="str">
        <v>Day 7</v>
      </c>
      <c r="P152" s="1">
        <v>561</v>
      </c>
      <c r="Q152" s="4" t="str">
        <v>KO Day7</v>
      </c>
    </row>
    <row r="153" spans="2:17" x14ac:dyDescent="0.2">
      <c r="B153" s="1">
        <v>233</v>
      </c>
      <c r="C153" s="4" t="str">
        <v>Day 7</v>
      </c>
      <c r="P153" s="1">
        <v>562</v>
      </c>
      <c r="Q153" s="4" t="str">
        <v>KO Day7</v>
      </c>
    </row>
    <row r="154" spans="2:17" x14ac:dyDescent="0.2">
      <c r="B154" s="1">
        <v>234</v>
      </c>
      <c r="C154" s="4" t="str">
        <v>Day 7</v>
      </c>
      <c r="P154" s="1">
        <v>563</v>
      </c>
      <c r="Q154" s="4" t="str">
        <v>KO Day7</v>
      </c>
    </row>
    <row r="155" spans="2:17" x14ac:dyDescent="0.2">
      <c r="B155" s="1">
        <v>235</v>
      </c>
      <c r="C155" s="4" t="str">
        <v>Day 7</v>
      </c>
      <c r="P155" s="1">
        <v>564</v>
      </c>
      <c r="Q155" s="4" t="str">
        <v>KO Day7</v>
      </c>
    </row>
    <row r="156" spans="2:17" x14ac:dyDescent="0.2">
      <c r="B156" s="1">
        <v>236</v>
      </c>
      <c r="C156" s="4" t="str">
        <v>Day 7</v>
      </c>
      <c r="P156" s="1">
        <v>565</v>
      </c>
      <c r="Q156" s="4" t="str">
        <v>KO Day7</v>
      </c>
    </row>
    <row r="157" spans="2:17" x14ac:dyDescent="0.2">
      <c r="B157" s="1">
        <v>237</v>
      </c>
      <c r="C157" s="4" t="str">
        <v>Day 7</v>
      </c>
      <c r="P157" s="1">
        <v>566</v>
      </c>
      <c r="Q157" s="4" t="str">
        <v>KO Day7</v>
      </c>
    </row>
    <row r="158" spans="2:17" x14ac:dyDescent="0.2">
      <c r="B158" s="1">
        <v>238</v>
      </c>
      <c r="C158" s="4" t="str">
        <v>Day 7</v>
      </c>
      <c r="P158" s="1">
        <v>567</v>
      </c>
      <c r="Q158" s="4" t="str">
        <v>KO Day7</v>
      </c>
    </row>
    <row r="159" spans="2:17" x14ac:dyDescent="0.2">
      <c r="B159" s="1">
        <v>239</v>
      </c>
      <c r="C159" s="4" t="str">
        <v>Day 14</v>
      </c>
      <c r="P159" s="1">
        <v>568</v>
      </c>
      <c r="Q159" s="4" t="str">
        <v>KO Day7</v>
      </c>
    </row>
    <row r="160" spans="2:17" x14ac:dyDescent="0.2">
      <c r="B160" s="1">
        <v>240</v>
      </c>
      <c r="C160" s="4" t="str">
        <v>Day 14</v>
      </c>
      <c r="P160" s="1">
        <v>569</v>
      </c>
      <c r="Q160" s="4" t="str">
        <v>KO Day7</v>
      </c>
    </row>
    <row r="161" spans="2:17" x14ac:dyDescent="0.2">
      <c r="B161" s="1">
        <v>241</v>
      </c>
      <c r="C161" s="4" t="str">
        <v>Day 14</v>
      </c>
      <c r="P161" s="1">
        <v>570</v>
      </c>
      <c r="Q161" s="4" t="str">
        <v>KO Day7</v>
      </c>
    </row>
    <row r="162" spans="2:17" x14ac:dyDescent="0.2">
      <c r="B162" s="1">
        <v>242</v>
      </c>
      <c r="C162" s="4" t="str">
        <v>Day 14</v>
      </c>
      <c r="P162" s="1">
        <v>571</v>
      </c>
      <c r="Q162" s="4" t="str">
        <v>WT VEH</v>
      </c>
    </row>
    <row r="163" spans="2:17" x14ac:dyDescent="0.2">
      <c r="B163" s="1">
        <v>243</v>
      </c>
      <c r="C163" s="4" t="str">
        <v>Day 14</v>
      </c>
      <c r="P163" s="1">
        <v>572</v>
      </c>
      <c r="Q163" s="4" t="str">
        <v>WT VEH</v>
      </c>
    </row>
    <row r="164" spans="2:17" x14ac:dyDescent="0.2">
      <c r="B164" s="1">
        <v>244</v>
      </c>
      <c r="C164" s="4" t="str">
        <v>Day 14</v>
      </c>
      <c r="P164" s="1">
        <v>573</v>
      </c>
      <c r="Q164" s="4" t="str">
        <v>WT RAD</v>
      </c>
    </row>
    <row r="165" spans="2:17" x14ac:dyDescent="0.2">
      <c r="B165" s="1">
        <v>245</v>
      </c>
      <c r="C165" s="4" t="str">
        <v>Day 14</v>
      </c>
      <c r="P165" s="1">
        <v>574</v>
      </c>
      <c r="Q165" s="4" t="str">
        <v>WT RAD</v>
      </c>
    </row>
    <row r="166" spans="2:17" x14ac:dyDescent="0.2">
      <c r="B166" s="1">
        <v>246</v>
      </c>
      <c r="C166" s="4" t="str">
        <v>Day 14</v>
      </c>
      <c r="P166" s="1">
        <v>575</v>
      </c>
      <c r="Q166" s="4" t="str">
        <v>WT VEH</v>
      </c>
    </row>
    <row r="167" spans="2:17" x14ac:dyDescent="0.2">
      <c r="B167" s="1">
        <v>355</v>
      </c>
      <c r="C167" s="4" t="str">
        <v>Day 14</v>
      </c>
      <c r="P167" s="1">
        <v>576</v>
      </c>
      <c r="Q167" s="4" t="str">
        <v>WT VEH</v>
      </c>
    </row>
    <row r="168" spans="2:17" x14ac:dyDescent="0.2">
      <c r="B168" s="1">
        <v>356</v>
      </c>
      <c r="C168" s="4" t="str">
        <v>Day 14</v>
      </c>
      <c r="P168" s="1">
        <v>577</v>
      </c>
      <c r="Q168" s="4" t="str">
        <v>KO RAD</v>
      </c>
    </row>
    <row r="169" spans="2:17" x14ac:dyDescent="0.2">
      <c r="B169" s="1">
        <v>357</v>
      </c>
      <c r="C169" s="4" t="str">
        <v>Day 7</v>
      </c>
      <c r="P169" s="1">
        <v>578</v>
      </c>
      <c r="Q169" s="4" t="str">
        <v>KO RAD</v>
      </c>
    </row>
    <row r="170" spans="2:17" x14ac:dyDescent="0.2">
      <c r="B170" s="1">
        <v>358</v>
      </c>
      <c r="C170" s="4" t="str">
        <v>Day 7</v>
      </c>
      <c r="P170" s="1">
        <v>579</v>
      </c>
      <c r="Q170" s="4" t="str">
        <v>KO VEH</v>
      </c>
    </row>
    <row r="171" spans="2:17" x14ac:dyDescent="0.2">
      <c r="P171" s="1">
        <v>580</v>
      </c>
      <c r="Q171" s="4" t="str">
        <v>KO VEH</v>
      </c>
    </row>
    <row r="172" spans="2:17" x14ac:dyDescent="0.2">
      <c r="P172" s="1">
        <v>581</v>
      </c>
      <c r="Q172" s="4" t="str">
        <v>KO RAD</v>
      </c>
    </row>
    <row r="173" spans="2:17" x14ac:dyDescent="0.2">
      <c r="P173" s="1">
        <v>582</v>
      </c>
      <c r="Q173" s="4" t="str">
        <v>KO RAD</v>
      </c>
    </row>
    <row r="174" spans="2:17" x14ac:dyDescent="0.2">
      <c r="P174" s="1">
        <v>583</v>
      </c>
      <c r="Q174" s="4" t="str">
        <v>KO VEH</v>
      </c>
    </row>
    <row r="175" spans="2:17" x14ac:dyDescent="0.2">
      <c r="P175" s="1">
        <v>584</v>
      </c>
      <c r="Q175" s="4" t="str">
        <v>KO VEH</v>
      </c>
    </row>
    <row r="176" spans="2:17" x14ac:dyDescent="0.2">
      <c r="P176" s="1">
        <v>585</v>
      </c>
      <c r="Q176" s="4" t="str">
        <v>KO RAD</v>
      </c>
    </row>
    <row r="177" spans="16:17" x14ac:dyDescent="0.2">
      <c r="P177" s="1">
        <v>586</v>
      </c>
      <c r="Q177" s="4" t="str">
        <v>KO RAD</v>
      </c>
    </row>
    <row r="178" spans="16:17" x14ac:dyDescent="0.2">
      <c r="P178" s="1">
        <v>587</v>
      </c>
      <c r="Q178" s="4" t="str">
        <v>KO RAD NECK</v>
      </c>
    </row>
    <row r="179" spans="16:17" x14ac:dyDescent="0.2">
      <c r="P179" s="1">
        <v>588</v>
      </c>
      <c r="Q179" s="4" t="str">
        <v>KO RAD NECK</v>
      </c>
    </row>
    <row r="180" spans="16:17" x14ac:dyDescent="0.2">
      <c r="P180" s="1">
        <v>589</v>
      </c>
      <c r="Q180" s="4" t="str">
        <v>WT VEH NECK</v>
      </c>
    </row>
    <row r="181" spans="16:17" x14ac:dyDescent="0.2">
      <c r="P181" s="1">
        <v>590</v>
      </c>
      <c r="Q181" s="4" t="str">
        <v>WT VEH NECK</v>
      </c>
    </row>
    <row r="182" spans="16:17" x14ac:dyDescent="0.2">
      <c r="P182" s="1">
        <v>591</v>
      </c>
      <c r="Q182" s="4" t="str">
        <v>WT RAD NECK</v>
      </c>
    </row>
    <row r="183" spans="16:17" x14ac:dyDescent="0.2">
      <c r="P183" s="1">
        <v>592</v>
      </c>
      <c r="Q183" s="4" t="str">
        <v>WT RAD NECK</v>
      </c>
    </row>
    <row r="184" spans="16:17" x14ac:dyDescent="0.2">
      <c r="P184" s="1">
        <v>593</v>
      </c>
      <c r="Q184" s="4" t="str">
        <v>WT RAD NECK</v>
      </c>
    </row>
    <row r="185" spans="16:17" x14ac:dyDescent="0.2">
      <c r="P185" s="1">
        <v>594</v>
      </c>
      <c r="Q185" s="4" t="str">
        <v>WT RAD NECK</v>
      </c>
    </row>
    <row r="186" spans="16:17" x14ac:dyDescent="0.2">
      <c r="P186" s="1">
        <v>595</v>
      </c>
      <c r="Q186" s="4" t="str">
        <v>WT VEH</v>
      </c>
    </row>
    <row r="187" spans="16:17" x14ac:dyDescent="0.2">
      <c r="P187" s="1">
        <v>596</v>
      </c>
      <c r="Q187" s="4" t="str">
        <v>WT VEH</v>
      </c>
    </row>
    <row r="188" spans="16:17" x14ac:dyDescent="0.2">
      <c r="P188" s="1">
        <v>597</v>
      </c>
      <c r="Q188" s="4" t="str">
        <v>WT RAD</v>
      </c>
    </row>
    <row r="189" spans="16:17" x14ac:dyDescent="0.2">
      <c r="P189" s="1">
        <v>598</v>
      </c>
      <c r="Q189" s="4" t="str">
        <v>WT RAD</v>
      </c>
    </row>
    <row r="190" spans="16:17" x14ac:dyDescent="0.2">
      <c r="P190" s="1">
        <v>599</v>
      </c>
      <c r="Q190" s="4" t="str">
        <v>KO</v>
      </c>
    </row>
    <row r="191" spans="16:17" x14ac:dyDescent="0.2">
      <c r="P191" s="1">
        <v>600</v>
      </c>
      <c r="Q191" s="4" t="str">
        <v>KO</v>
      </c>
    </row>
    <row r="192" spans="16:17" x14ac:dyDescent="0.2">
      <c r="P192" s="1">
        <v>601</v>
      </c>
      <c r="Q192" s="4" t="str">
        <v>KO RAD</v>
      </c>
    </row>
    <row r="193" spans="16:17" x14ac:dyDescent="0.2">
      <c r="P193" s="1">
        <v>602</v>
      </c>
      <c r="Q193" s="4" t="str">
        <v>KO RAD</v>
      </c>
    </row>
    <row r="194" spans="16:17" x14ac:dyDescent="0.2">
      <c r="P194" s="1">
        <v>603</v>
      </c>
      <c r="Q194" s="4" t="str">
        <v>KO VEH</v>
      </c>
    </row>
    <row r="195" spans="16:17" x14ac:dyDescent="0.2">
      <c r="P195" s="1">
        <v>604</v>
      </c>
      <c r="Q195" s="4" t="str">
        <v>KO VEH</v>
      </c>
    </row>
    <row r="196" spans="16:17" x14ac:dyDescent="0.2">
      <c r="P196" s="1">
        <v>605</v>
      </c>
      <c r="Q196" s="4" t="str">
        <v>WT RAD</v>
      </c>
    </row>
    <row r="197" spans="16:17" x14ac:dyDescent="0.2">
      <c r="P197" s="1">
        <v>606</v>
      </c>
      <c r="Q197" s="4" t="str">
        <v>WT RAD</v>
      </c>
    </row>
    <row r="198" spans="16:17" x14ac:dyDescent="0.2">
      <c r="P198" s="1">
        <v>607</v>
      </c>
      <c r="Q198" s="4" t="str">
        <v>KO RAD</v>
      </c>
    </row>
    <row r="199" spans="16:17" x14ac:dyDescent="0.2">
      <c r="P199" s="1">
        <v>608</v>
      </c>
      <c r="Q199" s="4" t="str">
        <v>KO RAD</v>
      </c>
    </row>
    <row r="200" spans="16:17" x14ac:dyDescent="0.2">
      <c r="P200" s="1">
        <v>609</v>
      </c>
      <c r="Q200" s="4" t="str">
        <v>WT RAD NECK</v>
      </c>
    </row>
    <row r="201" spans="16:17" x14ac:dyDescent="0.2">
      <c r="P201" s="1">
        <v>610</v>
      </c>
      <c r="Q201" s="4" t="str">
        <v>WT RAD NECK</v>
      </c>
    </row>
    <row r="202" spans="16:17" x14ac:dyDescent="0.2">
      <c r="P202" s="1">
        <v>611</v>
      </c>
      <c r="Q202" s="4" t="str">
        <v>KO RAD NECK</v>
      </c>
    </row>
    <row r="203" spans="16:17" x14ac:dyDescent="0.2">
      <c r="P203" s="1">
        <v>612</v>
      </c>
      <c r="Q203" s="4" t="str">
        <v>KO RAD NECK</v>
      </c>
    </row>
    <row r="204" spans="16:17" x14ac:dyDescent="0.2">
      <c r="P204" s="1">
        <v>613</v>
      </c>
      <c r="Q204" s="4" t="str">
        <v>KO VEH NECK</v>
      </c>
    </row>
    <row r="205" spans="16:17" x14ac:dyDescent="0.2">
      <c r="P205" s="1">
        <v>614</v>
      </c>
      <c r="Q205" s="4" t="str">
        <v>KO VEH NECK</v>
      </c>
    </row>
    <row r="206" spans="16:17" x14ac:dyDescent="0.2">
      <c r="P206" s="1">
        <v>615</v>
      </c>
      <c r="Q206" s="4" t="str">
        <v>KO RAD NECK</v>
      </c>
    </row>
    <row r="207" spans="16:17" x14ac:dyDescent="0.2">
      <c r="P207" s="1">
        <v>616</v>
      </c>
      <c r="Q207" s="4" t="str">
        <v>KO RAD NECK</v>
      </c>
    </row>
    <row r="208" spans="16:17" x14ac:dyDescent="0.2">
      <c r="P208" s="1">
        <v>617</v>
      </c>
      <c r="Q208" s="4" t="str">
        <v>KO VEH NECK</v>
      </c>
    </row>
    <row r="209" spans="16:17" x14ac:dyDescent="0.2">
      <c r="P209" s="1">
        <v>618</v>
      </c>
      <c r="Q209" s="4" t="str">
        <v>KO VEH NECK</v>
      </c>
    </row>
    <row r="210" spans="16:17" x14ac:dyDescent="0.2">
      <c r="P210" s="1">
        <v>619</v>
      </c>
      <c r="Q210" s="4" t="str">
        <v>KO RAD NECK</v>
      </c>
    </row>
    <row r="211" spans="16:17" x14ac:dyDescent="0.2">
      <c r="P211" s="1">
        <v>620</v>
      </c>
      <c r="Q211" s="4" t="str">
        <v>KO RAD NECK</v>
      </c>
    </row>
    <row r="212" spans="16:17" x14ac:dyDescent="0.2">
      <c r="P212" s="1">
        <v>621</v>
      </c>
      <c r="Q212" s="4" t="str">
        <v>WT RAD NECK</v>
      </c>
    </row>
    <row r="213" spans="16:17" x14ac:dyDescent="0.2">
      <c r="P213" s="1">
        <v>622</v>
      </c>
      <c r="Q213" s="4" t="str">
        <v>WT RAD NECK</v>
      </c>
    </row>
    <row r="214" spans="16:17" x14ac:dyDescent="0.2">
      <c r="P214" s="1">
        <v>623</v>
      </c>
      <c r="Q214" s="4" t="str">
        <v>WT Day14</v>
      </c>
    </row>
    <row r="215" spans="16:17" x14ac:dyDescent="0.2">
      <c r="P215" s="1">
        <v>624</v>
      </c>
      <c r="Q215" s="4" t="str">
        <v>WT Day14</v>
      </c>
    </row>
    <row r="216" spans="16:17" x14ac:dyDescent="0.2">
      <c r="P216" s="1">
        <v>625</v>
      </c>
      <c r="Q216" s="4" t="str">
        <v>WT Day14</v>
      </c>
    </row>
    <row r="217" spans="16:17" x14ac:dyDescent="0.2">
      <c r="P217" s="1">
        <v>626</v>
      </c>
      <c r="Q217" s="4" t="str">
        <v>KO Day14</v>
      </c>
    </row>
    <row r="218" spans="16:17" x14ac:dyDescent="0.2">
      <c r="P218" s="1">
        <v>627</v>
      </c>
      <c r="Q218" s="4" t="str">
        <v>KO Day14</v>
      </c>
    </row>
    <row r="219" spans="16:17" x14ac:dyDescent="0.2">
      <c r="P219" s="1">
        <v>628</v>
      </c>
      <c r="Q219" s="4" t="str">
        <v>KO Day14</v>
      </c>
    </row>
    <row r="220" spans="16:17" x14ac:dyDescent="0.2">
      <c r="P220" s="1">
        <v>629</v>
      </c>
      <c r="Q220" s="4" t="str">
        <v>WT Day14</v>
      </c>
    </row>
    <row r="221" spans="16:17" x14ac:dyDescent="0.2">
      <c r="P221" s="1">
        <v>630</v>
      </c>
      <c r="Q221" s="4" t="str">
        <v>WT Day14</v>
      </c>
    </row>
    <row r="222" spans="16:17" x14ac:dyDescent="0.2">
      <c r="P222" s="1">
        <v>631</v>
      </c>
      <c r="Q222" s="4" t="str">
        <v>WT Day14</v>
      </c>
    </row>
    <row r="223" spans="16:17" x14ac:dyDescent="0.2">
      <c r="P223" s="1">
        <v>632</v>
      </c>
      <c r="Q223" s="4" t="str">
        <v>WT Day14</v>
      </c>
    </row>
    <row r="224" spans="16:17" x14ac:dyDescent="0.2">
      <c r="P224" s="1">
        <v>633</v>
      </c>
      <c r="Q224" s="4" t="str">
        <v>WT Day14</v>
      </c>
    </row>
    <row r="225" spans="16:17" x14ac:dyDescent="0.2">
      <c r="P225" s="1">
        <v>634</v>
      </c>
      <c r="Q225" s="4" t="str">
        <v>WT Day14</v>
      </c>
    </row>
    <row r="226" spans="16:17" x14ac:dyDescent="0.2">
      <c r="P226" s="1">
        <v>635</v>
      </c>
      <c r="Q226" s="4" t="str">
        <v>KO Day14</v>
      </c>
    </row>
    <row r="227" spans="16:17" x14ac:dyDescent="0.2">
      <c r="P227" s="1">
        <v>636</v>
      </c>
      <c r="Q227" s="4" t="str">
        <v>KO Day14</v>
      </c>
    </row>
    <row r="228" spans="16:17" x14ac:dyDescent="0.2">
      <c r="P228" s="1">
        <v>637</v>
      </c>
      <c r="Q228" s="4" t="str">
        <v>KO Day14</v>
      </c>
    </row>
    <row r="229" spans="16:17" x14ac:dyDescent="0.2">
      <c r="P229" s="1">
        <v>638</v>
      </c>
      <c r="Q229" s="4" t="str">
        <v>KO Day14</v>
      </c>
    </row>
    <row r="230" spans="16:17" x14ac:dyDescent="0.2">
      <c r="P230" s="1">
        <v>639</v>
      </c>
      <c r="Q230" s="4" t="str">
        <v>KO Day14</v>
      </c>
    </row>
    <row r="231" spans="16:17" x14ac:dyDescent="0.2">
      <c r="P231" s="1">
        <v>640</v>
      </c>
      <c r="Q231" s="4" t="str">
        <v>KO Day14</v>
      </c>
    </row>
    <row r="232" spans="16:17" x14ac:dyDescent="0.2">
      <c r="P232" s="1">
        <v>641</v>
      </c>
      <c r="Q232" s="4" t="str">
        <v>WT Day14</v>
      </c>
    </row>
    <row r="233" spans="16:17" x14ac:dyDescent="0.2">
      <c r="P233" s="1">
        <v>642</v>
      </c>
      <c r="Q233" s="4" t="str">
        <v>WT Day14</v>
      </c>
    </row>
    <row r="234" spans="16:17" x14ac:dyDescent="0.2">
      <c r="P234" s="1">
        <v>643</v>
      </c>
      <c r="Q234" s="4" t="str">
        <v>WT Day14</v>
      </c>
    </row>
    <row r="235" spans="16:17" x14ac:dyDescent="0.2">
      <c r="P235" s="1">
        <v>644</v>
      </c>
      <c r="Q235" s="4" t="str">
        <v>KO Day14</v>
      </c>
    </row>
    <row r="236" spans="16:17" x14ac:dyDescent="0.2">
      <c r="P236" s="1">
        <v>645</v>
      </c>
      <c r="Q236" s="4" t="str">
        <v>KO Day14</v>
      </c>
    </row>
    <row r="237" spans="16:17" x14ac:dyDescent="0.2">
      <c r="P237" s="1">
        <v>646</v>
      </c>
      <c r="Q237" s="4" t="str">
        <v>KO Day14</v>
      </c>
    </row>
    <row r="238" spans="16:17" x14ac:dyDescent="0.2">
      <c r="P238" s="1">
        <v>647</v>
      </c>
      <c r="Q238" s="4" t="str">
        <v>KO Day14</v>
      </c>
    </row>
    <row r="239" spans="16:17" x14ac:dyDescent="0.2">
      <c r="P239" s="1">
        <v>648</v>
      </c>
      <c r="Q239" s="4" t="str">
        <v>KO Day14</v>
      </c>
    </row>
    <row r="240" spans="16:17" x14ac:dyDescent="0.2">
      <c r="P240" s="1">
        <v>649</v>
      </c>
      <c r="Q240" s="4" t="str">
        <v>KO Day14</v>
      </c>
    </row>
    <row r="241" spans="16:17" x14ac:dyDescent="0.2">
      <c r="P241" s="1">
        <v>650</v>
      </c>
      <c r="Q241" s="4" t="str">
        <v>KO RAD</v>
      </c>
    </row>
    <row r="242" spans="16:17" x14ac:dyDescent="0.2">
      <c r="P242" s="1">
        <v>651</v>
      </c>
      <c r="Q242" s="4" t="str">
        <v>KO RAD</v>
      </c>
    </row>
  </sheetData>
  <autoFilter ref="A2:Q2" xr:uid="{D2371B35-CE21-EF43-AE51-51EAEE4B869B}"/>
  <mergeCells count="19">
    <mergeCell ref="A1:A2"/>
    <mergeCell ref="AE1:AF1"/>
    <mergeCell ref="AG1:AH1"/>
    <mergeCell ref="AI1:AJ1"/>
    <mergeCell ref="R1:S1"/>
    <mergeCell ref="N1:O1"/>
    <mergeCell ref="P1:Q1"/>
    <mergeCell ref="B1:C1"/>
    <mergeCell ref="D1:E1"/>
    <mergeCell ref="F1:G1"/>
    <mergeCell ref="H1:I1"/>
    <mergeCell ref="J1:K1"/>
    <mergeCell ref="L1:M1"/>
    <mergeCell ref="AK1:AL1"/>
    <mergeCell ref="U1:V1"/>
    <mergeCell ref="W1:X1"/>
    <mergeCell ref="Y1:Z1"/>
    <mergeCell ref="AA1:AB1"/>
    <mergeCell ref="AC1:A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AE22D-466B-48E2-89D4-DD687952930E}">
  <dimension ref="A1:T16"/>
  <sheetViews>
    <sheetView workbookViewId="0">
      <selection activeCell="G12" sqref="G12"/>
    </sheetView>
  </sheetViews>
  <sheetFormatPr baseColWidth="10" defaultColWidth="12.6640625" defaultRowHeight="16" x14ac:dyDescent="0.2"/>
  <cols>
    <col min="3" max="3" width="10.6640625" style="26" customWidth="1"/>
    <col min="5" max="5" width="10.6640625" style="26" customWidth="1"/>
    <col min="6" max="6" width="12.6640625" style="27"/>
    <col min="7" max="7" width="10.6640625" customWidth="1"/>
    <col min="9" max="9" width="10.6640625" style="26" customWidth="1"/>
    <col min="10" max="10" width="12.6640625" style="27"/>
    <col min="11" max="11" width="12" customWidth="1"/>
    <col min="12" max="12" width="12.6640625" style="27"/>
    <col min="13" max="13" width="10.6640625" customWidth="1"/>
    <col min="15" max="15" width="10.6640625" style="26" customWidth="1"/>
    <col min="17" max="17" width="10.6640625" style="26" customWidth="1"/>
    <col min="18" max="18" width="12.6640625" style="27"/>
    <col min="19" max="19" width="10.6640625" customWidth="1"/>
    <col min="20" max="20" width="12.6640625" style="27"/>
  </cols>
  <sheetData>
    <row r="1" spans="1:20" ht="22" x14ac:dyDescent="0.3">
      <c r="A1" s="417" t="s">
        <v>4</v>
      </c>
      <c r="B1" s="418"/>
      <c r="C1" s="421" t="s">
        <v>1033</v>
      </c>
      <c r="D1" s="422"/>
      <c r="E1" s="419" t="s">
        <v>1050</v>
      </c>
      <c r="F1" s="420"/>
      <c r="G1" s="409" t="s">
        <v>1061</v>
      </c>
      <c r="H1" s="410"/>
      <c r="I1" s="434" t="s">
        <v>1750</v>
      </c>
      <c r="J1" s="435"/>
      <c r="K1" s="432" t="s">
        <v>1751</v>
      </c>
      <c r="L1" s="433"/>
      <c r="M1" s="436" t="s">
        <v>1022</v>
      </c>
      <c r="N1" s="437"/>
      <c r="O1" s="438" t="s">
        <v>296</v>
      </c>
      <c r="P1" s="439"/>
      <c r="Q1" s="430" t="s">
        <v>864</v>
      </c>
      <c r="R1" s="431"/>
      <c r="S1" s="423" t="s">
        <v>1752</v>
      </c>
      <c r="T1" s="424"/>
    </row>
    <row r="2" spans="1:20" s="29" customFormat="1" ht="99.75" customHeight="1" x14ac:dyDescent="0.2">
      <c r="A2" s="396" t="s">
        <v>1754</v>
      </c>
      <c r="B2" s="413"/>
      <c r="C2" s="411" t="s">
        <v>1755</v>
      </c>
      <c r="D2" s="412"/>
      <c r="E2" s="411" t="s">
        <v>1756</v>
      </c>
      <c r="F2" s="412"/>
      <c r="G2" s="411" t="s">
        <v>1757</v>
      </c>
      <c r="H2" s="412"/>
      <c r="I2" s="411" t="s">
        <v>1758</v>
      </c>
      <c r="J2" s="412"/>
      <c r="K2" s="411" t="s">
        <v>1759</v>
      </c>
      <c r="L2" s="412"/>
      <c r="M2" s="411" t="s">
        <v>1760</v>
      </c>
      <c r="N2" s="412"/>
      <c r="O2" s="411" t="s">
        <v>1761</v>
      </c>
      <c r="P2" s="412"/>
      <c r="Q2" s="411" t="s">
        <v>1762</v>
      </c>
      <c r="R2" s="412"/>
      <c r="S2" s="411" t="s">
        <v>1763</v>
      </c>
      <c r="T2" s="412"/>
    </row>
    <row r="3" spans="1:20" s="34" customFormat="1" ht="19.5" customHeight="1" x14ac:dyDescent="0.2">
      <c r="A3" s="396" t="s">
        <v>1764</v>
      </c>
      <c r="B3" s="28" t="s">
        <v>12</v>
      </c>
      <c r="C3" s="427" t="s">
        <v>1765</v>
      </c>
      <c r="D3" s="428"/>
      <c r="E3" s="388" t="s">
        <v>1765</v>
      </c>
      <c r="F3" s="389"/>
      <c r="G3" s="429" t="s">
        <v>1766</v>
      </c>
      <c r="H3" s="414"/>
      <c r="I3" s="388" t="s">
        <v>1767</v>
      </c>
      <c r="J3" s="389"/>
      <c r="K3" s="388" t="s">
        <v>1765</v>
      </c>
      <c r="L3" s="414"/>
      <c r="M3" s="388" t="s">
        <v>1765</v>
      </c>
      <c r="N3" s="389"/>
      <c r="O3" s="388" t="s">
        <v>1765</v>
      </c>
      <c r="P3" s="389"/>
      <c r="Q3" s="388" t="s">
        <v>1765</v>
      </c>
      <c r="R3" s="389"/>
      <c r="S3" s="415"/>
      <c r="T3" s="416"/>
    </row>
    <row r="4" spans="1:20" s="34" customFormat="1" ht="19.5" customHeight="1" x14ac:dyDescent="0.2">
      <c r="A4" s="397"/>
      <c r="B4" s="21" t="s">
        <v>1561</v>
      </c>
      <c r="C4" s="404" t="s">
        <v>1768</v>
      </c>
      <c r="D4" s="405"/>
      <c r="E4" s="399" t="s">
        <v>1769</v>
      </c>
      <c r="F4" s="408"/>
      <c r="G4" s="406" t="s">
        <v>1766</v>
      </c>
      <c r="H4" s="406"/>
      <c r="I4" s="399" t="s">
        <v>1767</v>
      </c>
      <c r="J4" s="408"/>
      <c r="K4" s="399" t="s">
        <v>1768</v>
      </c>
      <c r="L4" s="408"/>
      <c r="M4" s="399" t="s">
        <v>1765</v>
      </c>
      <c r="N4" s="400"/>
      <c r="O4" s="404" t="s">
        <v>1768</v>
      </c>
      <c r="P4" s="405"/>
      <c r="Q4" s="404" t="s">
        <v>1768</v>
      </c>
      <c r="R4" s="405"/>
      <c r="S4" s="392"/>
      <c r="T4" s="393"/>
    </row>
    <row r="5" spans="1:20" s="34" customFormat="1" ht="19.5" customHeight="1" x14ac:dyDescent="0.2">
      <c r="A5" s="398"/>
      <c r="B5" s="40" t="s">
        <v>14</v>
      </c>
      <c r="C5" s="402" t="s">
        <v>1768</v>
      </c>
      <c r="D5" s="403"/>
      <c r="E5" s="390" t="s">
        <v>1769</v>
      </c>
      <c r="F5" s="391"/>
      <c r="G5" s="407" t="s">
        <v>1766</v>
      </c>
      <c r="H5" s="407"/>
      <c r="I5" s="390" t="s">
        <v>1767</v>
      </c>
      <c r="J5" s="391"/>
      <c r="K5" s="390" t="s">
        <v>1768</v>
      </c>
      <c r="L5" s="391"/>
      <c r="M5" s="390" t="s">
        <v>1765</v>
      </c>
      <c r="N5" s="401"/>
      <c r="O5" s="402" t="s">
        <v>1768</v>
      </c>
      <c r="P5" s="403"/>
      <c r="Q5" s="402" t="s">
        <v>1768</v>
      </c>
      <c r="R5" s="403"/>
      <c r="S5" s="394"/>
      <c r="T5" s="395"/>
    </row>
    <row r="6" spans="1:20" x14ac:dyDescent="0.2">
      <c r="A6" s="425" t="s">
        <v>1770</v>
      </c>
      <c r="B6" s="425"/>
      <c r="C6" s="35" t="s">
        <v>1771</v>
      </c>
      <c r="D6" s="36" t="s">
        <v>1</v>
      </c>
      <c r="E6" s="35" t="s">
        <v>1771</v>
      </c>
      <c r="F6" s="37" t="s">
        <v>1</v>
      </c>
      <c r="G6" s="38" t="s">
        <v>1771</v>
      </c>
      <c r="H6" s="36" t="s">
        <v>1</v>
      </c>
      <c r="I6" s="35" t="s">
        <v>1771</v>
      </c>
      <c r="J6" s="37" t="s">
        <v>1</v>
      </c>
      <c r="K6" s="38" t="s">
        <v>1771</v>
      </c>
      <c r="L6" s="37" t="s">
        <v>1</v>
      </c>
      <c r="M6" s="38" t="s">
        <v>1771</v>
      </c>
      <c r="N6" s="36" t="s">
        <v>1</v>
      </c>
      <c r="O6" s="204" t="s">
        <v>1771</v>
      </c>
      <c r="P6" s="21" t="s">
        <v>1</v>
      </c>
      <c r="Q6" s="204" t="s">
        <v>1771</v>
      </c>
      <c r="R6" s="203" t="s">
        <v>1</v>
      </c>
      <c r="S6" s="40" t="s">
        <v>1771</v>
      </c>
      <c r="T6" s="39" t="s">
        <v>1</v>
      </c>
    </row>
    <row r="7" spans="1:20" x14ac:dyDescent="0.2">
      <c r="A7" s="425"/>
      <c r="B7" s="426"/>
      <c r="C7" s="30" t="s">
        <v>1491</v>
      </c>
      <c r="D7" s="31" t="s">
        <v>1772</v>
      </c>
      <c r="E7" s="30" t="s">
        <v>163</v>
      </c>
      <c r="F7" s="32" t="s">
        <v>1773</v>
      </c>
      <c r="G7" s="33" t="s">
        <v>197</v>
      </c>
      <c r="H7" s="31" t="s">
        <v>1774</v>
      </c>
      <c r="I7" s="30" t="s">
        <v>1775</v>
      </c>
      <c r="J7" s="32" t="s">
        <v>1776</v>
      </c>
      <c r="K7" s="33" t="s">
        <v>1777</v>
      </c>
      <c r="L7" s="32" t="s">
        <v>1778</v>
      </c>
      <c r="M7" s="33" t="s">
        <v>1779</v>
      </c>
      <c r="N7" s="31" t="s">
        <v>1780</v>
      </c>
      <c r="O7" s="208" t="s">
        <v>1579</v>
      </c>
      <c r="P7" s="212" t="s">
        <v>1781</v>
      </c>
      <c r="Q7" s="209" t="s">
        <v>1569</v>
      </c>
      <c r="R7" s="24" t="s">
        <v>1782</v>
      </c>
    </row>
    <row r="8" spans="1:20" x14ac:dyDescent="0.2">
      <c r="C8" s="23" t="s">
        <v>389</v>
      </c>
      <c r="D8" s="22" t="s">
        <v>1783</v>
      </c>
      <c r="E8" s="23" t="s">
        <v>318</v>
      </c>
      <c r="F8" s="24" t="s">
        <v>1784</v>
      </c>
      <c r="G8" s="25" t="s">
        <v>173</v>
      </c>
      <c r="H8" s="22" t="s">
        <v>1785</v>
      </c>
      <c r="I8" s="23" t="s">
        <v>1786</v>
      </c>
      <c r="J8" s="24" t="s">
        <v>1776</v>
      </c>
      <c r="K8" s="25" t="s">
        <v>1787</v>
      </c>
      <c r="L8" s="24" t="s">
        <v>1788</v>
      </c>
      <c r="M8" t="s">
        <v>1789</v>
      </c>
      <c r="O8" s="208" t="s">
        <v>1790</v>
      </c>
      <c r="P8" s="212" t="s">
        <v>1791</v>
      </c>
      <c r="Q8" s="209" t="s">
        <v>1586</v>
      </c>
      <c r="R8" s="24" t="s">
        <v>1792</v>
      </c>
    </row>
    <row r="9" spans="1:20" x14ac:dyDescent="0.2">
      <c r="C9" s="23" t="s">
        <v>111</v>
      </c>
      <c r="D9" s="22" t="s">
        <v>1793</v>
      </c>
      <c r="E9" s="23" t="s">
        <v>316</v>
      </c>
      <c r="F9" s="24" t="s">
        <v>1794</v>
      </c>
      <c r="G9" s="25" t="s">
        <v>188</v>
      </c>
      <c r="H9" s="22" t="s">
        <v>1795</v>
      </c>
      <c r="I9" s="23" t="s">
        <v>1796</v>
      </c>
      <c r="J9" s="24" t="s">
        <v>1776</v>
      </c>
      <c r="K9" t="s">
        <v>1789</v>
      </c>
      <c r="O9" s="208" t="s">
        <v>1582</v>
      </c>
      <c r="P9" s="213" t="s">
        <v>1797</v>
      </c>
      <c r="Q9" s="209" t="s">
        <v>1587</v>
      </c>
      <c r="R9" s="24" t="s">
        <v>1798</v>
      </c>
    </row>
    <row r="10" spans="1:20" x14ac:dyDescent="0.2">
      <c r="C10" s="23" t="s">
        <v>446</v>
      </c>
      <c r="D10" s="22" t="s">
        <v>1799</v>
      </c>
      <c r="E10" s="23" t="s">
        <v>456</v>
      </c>
      <c r="F10" s="24" t="s">
        <v>1800</v>
      </c>
      <c r="G10" s="25" t="s">
        <v>480</v>
      </c>
      <c r="H10" s="22" t="s">
        <v>1801</v>
      </c>
      <c r="I10" s="23" t="s">
        <v>1802</v>
      </c>
      <c r="J10" s="24" t="s">
        <v>1776</v>
      </c>
      <c r="K10" t="s">
        <v>1789</v>
      </c>
      <c r="O10" s="208" t="s">
        <v>1803</v>
      </c>
      <c r="P10" s="213" t="s">
        <v>1804</v>
      </c>
      <c r="Q10" s="210" t="s">
        <v>1588</v>
      </c>
      <c r="R10" s="211" t="s">
        <v>1805</v>
      </c>
    </row>
    <row r="11" spans="1:20" x14ac:dyDescent="0.2">
      <c r="C11" s="23" t="s">
        <v>251</v>
      </c>
      <c r="D11" s="22" t="s">
        <v>1806</v>
      </c>
      <c r="E11" s="23" t="s">
        <v>211</v>
      </c>
      <c r="F11" s="24" t="s">
        <v>1807</v>
      </c>
      <c r="G11" s="25" t="s">
        <v>489</v>
      </c>
      <c r="H11" s="22" t="s">
        <v>1808</v>
      </c>
      <c r="I11" s="26" t="s">
        <v>1789</v>
      </c>
      <c r="J11" s="27" t="s">
        <v>1209</v>
      </c>
      <c r="Q11" s="209" t="s">
        <v>1589</v>
      </c>
      <c r="R11" s="24" t="s">
        <v>1809</v>
      </c>
    </row>
    <row r="12" spans="1:20" x14ac:dyDescent="0.2">
      <c r="C12" s="23" t="s">
        <v>560</v>
      </c>
      <c r="D12" s="22" t="s">
        <v>1810</v>
      </c>
      <c r="E12" s="26" t="s">
        <v>1789</v>
      </c>
      <c r="G12" s="234" t="s">
        <v>1811</v>
      </c>
      <c r="H12" s="31" t="s">
        <v>1812</v>
      </c>
      <c r="Q12" s="209" t="s">
        <v>1590</v>
      </c>
      <c r="R12" s="24" t="s">
        <v>1813</v>
      </c>
    </row>
    <row r="13" spans="1:20" x14ac:dyDescent="0.2">
      <c r="G13" s="234" t="s">
        <v>1814</v>
      </c>
      <c r="H13" s="31" t="s">
        <v>1815</v>
      </c>
      <c r="Q13" s="209" t="s">
        <v>1591</v>
      </c>
      <c r="R13" s="24" t="s">
        <v>1816</v>
      </c>
    </row>
    <row r="14" spans="1:20" x14ac:dyDescent="0.2">
      <c r="Q14" s="209" t="s">
        <v>1592</v>
      </c>
      <c r="R14" s="24" t="s">
        <v>1817</v>
      </c>
    </row>
    <row r="15" spans="1:20" x14ac:dyDescent="0.2">
      <c r="Q15" s="209" t="s">
        <v>1593</v>
      </c>
      <c r="R15" s="24" t="s">
        <v>1818</v>
      </c>
    </row>
    <row r="16" spans="1:20" x14ac:dyDescent="0.2">
      <c r="Q16" s="209" t="s">
        <v>1594</v>
      </c>
      <c r="R16" s="24" t="s">
        <v>1819</v>
      </c>
    </row>
  </sheetData>
  <mergeCells count="49">
    <mergeCell ref="Q1:R1"/>
    <mergeCell ref="K1:L1"/>
    <mergeCell ref="I1:J1"/>
    <mergeCell ref="I2:J2"/>
    <mergeCell ref="K2:L2"/>
    <mergeCell ref="M2:N2"/>
    <mergeCell ref="O2:P2"/>
    <mergeCell ref="M1:N1"/>
    <mergeCell ref="O1:P1"/>
    <mergeCell ref="A6:B7"/>
    <mergeCell ref="C3:D3"/>
    <mergeCell ref="E3:F3"/>
    <mergeCell ref="G3:H3"/>
    <mergeCell ref="I3:J3"/>
    <mergeCell ref="C4:D4"/>
    <mergeCell ref="C5:D5"/>
    <mergeCell ref="E4:F4"/>
    <mergeCell ref="K5:L5"/>
    <mergeCell ref="G1:H1"/>
    <mergeCell ref="Q2:R2"/>
    <mergeCell ref="S2:T2"/>
    <mergeCell ref="A2:B2"/>
    <mergeCell ref="K3:L3"/>
    <mergeCell ref="O3:P3"/>
    <mergeCell ref="Q3:R3"/>
    <mergeCell ref="S3:T3"/>
    <mergeCell ref="A1:B1"/>
    <mergeCell ref="E1:F1"/>
    <mergeCell ref="C1:D1"/>
    <mergeCell ref="S1:T1"/>
    <mergeCell ref="C2:D2"/>
    <mergeCell ref="E2:F2"/>
    <mergeCell ref="G2:H2"/>
    <mergeCell ref="M3:N3"/>
    <mergeCell ref="E5:F5"/>
    <mergeCell ref="S4:T4"/>
    <mergeCell ref="S5:T5"/>
    <mergeCell ref="A3:A5"/>
    <mergeCell ref="M4:N4"/>
    <mergeCell ref="M5:N5"/>
    <mergeCell ref="O5:P5"/>
    <mergeCell ref="O4:P4"/>
    <mergeCell ref="Q4:R4"/>
    <mergeCell ref="Q5:R5"/>
    <mergeCell ref="G4:H4"/>
    <mergeCell ref="G5:H5"/>
    <mergeCell ref="I4:J4"/>
    <mergeCell ref="I5:J5"/>
    <mergeCell ref="K4:L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46F44-F511-4A19-946F-9E60447EB02A}">
  <dimension ref="A1:O46"/>
  <sheetViews>
    <sheetView workbookViewId="0">
      <pane ySplit="1" topLeftCell="A2" activePane="bottomLeft" state="frozen"/>
      <selection pane="bottomLeft" activeCell="I2" sqref="I2"/>
    </sheetView>
  </sheetViews>
  <sheetFormatPr baseColWidth="10" defaultColWidth="9" defaultRowHeight="16" x14ac:dyDescent="0.2"/>
  <cols>
    <col min="1" max="1" width="12.1640625" style="146" customWidth="1"/>
    <col min="2" max="2" width="13.1640625" style="146" customWidth="1"/>
    <col min="3" max="3" width="10.83203125" style="146" customWidth="1"/>
    <col min="4" max="4" width="10.5" style="146" customWidth="1"/>
    <col min="5" max="5" width="11.33203125" style="146" customWidth="1"/>
    <col min="6" max="6" width="9" style="146"/>
    <col min="7" max="7" width="20.1640625" style="146" customWidth="1"/>
    <col min="8" max="8" width="14.6640625" style="146" customWidth="1"/>
    <col min="9" max="9" width="11" style="146" customWidth="1"/>
    <col min="10" max="10" width="13.1640625" style="146" customWidth="1"/>
    <col min="11" max="11" width="9" style="146"/>
    <col min="12" max="12" width="11.33203125" style="146" customWidth="1"/>
    <col min="13" max="13" width="9" style="146"/>
    <col min="14" max="14" width="11.33203125" style="146" customWidth="1"/>
    <col min="15" max="16384" width="9" style="146"/>
  </cols>
  <sheetData>
    <row r="1" spans="1:15" ht="69" x14ac:dyDescent="0.2">
      <c r="A1" s="238" t="s">
        <v>1560</v>
      </c>
      <c r="B1" s="238" t="s">
        <v>1820</v>
      </c>
      <c r="C1" s="238" t="s">
        <v>1821</v>
      </c>
      <c r="D1" s="238" t="s">
        <v>1822</v>
      </c>
      <c r="E1" s="238" t="s">
        <v>1159</v>
      </c>
      <c r="F1" s="238" t="s">
        <v>1546</v>
      </c>
      <c r="G1" s="238" t="s">
        <v>1823</v>
      </c>
      <c r="H1" s="238" t="s">
        <v>1824</v>
      </c>
      <c r="I1" s="238" t="s">
        <v>1825</v>
      </c>
      <c r="J1" s="238" t="s">
        <v>1826</v>
      </c>
      <c r="K1" s="238" t="s">
        <v>1827</v>
      </c>
      <c r="L1" s="238" t="s">
        <v>1828</v>
      </c>
      <c r="M1" s="238" t="s">
        <v>1829</v>
      </c>
      <c r="N1" s="238" t="s">
        <v>1830</v>
      </c>
      <c r="O1" s="238" t="s">
        <v>1831</v>
      </c>
    </row>
    <row r="2" spans="1:15" x14ac:dyDescent="0.2">
      <c r="A2" s="241">
        <v>270</v>
      </c>
      <c r="B2" s="239" t="s">
        <v>1832</v>
      </c>
      <c r="C2" s="239"/>
      <c r="D2" s="239"/>
      <c r="E2" s="239"/>
      <c r="F2" s="239" t="s">
        <v>1556</v>
      </c>
      <c r="G2" s="242">
        <v>45202</v>
      </c>
      <c r="H2" s="239" t="s">
        <v>1833</v>
      </c>
      <c r="I2" s="239">
        <v>0</v>
      </c>
      <c r="J2" s="239">
        <v>0</v>
      </c>
      <c r="K2" s="239">
        <v>0</v>
      </c>
      <c r="L2" s="239">
        <v>0</v>
      </c>
      <c r="M2" s="239">
        <v>0</v>
      </c>
      <c r="N2" s="239">
        <v>0</v>
      </c>
      <c r="O2" s="239">
        <v>56</v>
      </c>
    </row>
    <row r="3" spans="1:15" x14ac:dyDescent="0.2">
      <c r="A3" s="241">
        <v>275</v>
      </c>
      <c r="B3" s="239" t="s">
        <v>1834</v>
      </c>
      <c r="C3" s="239" t="s">
        <v>1835</v>
      </c>
      <c r="D3" s="239">
        <v>1</v>
      </c>
      <c r="E3" s="239">
        <v>1</v>
      </c>
      <c r="F3" s="239" t="s">
        <v>1556</v>
      </c>
      <c r="G3" s="240" t="s">
        <v>1836</v>
      </c>
      <c r="H3" s="239" t="s">
        <v>1833</v>
      </c>
      <c r="I3" s="239">
        <v>0</v>
      </c>
      <c r="J3" s="239">
        <v>0</v>
      </c>
      <c r="K3" s="239">
        <v>0</v>
      </c>
      <c r="L3" s="239">
        <v>0</v>
      </c>
      <c r="M3" s="239">
        <v>0</v>
      </c>
      <c r="N3" s="239">
        <v>0</v>
      </c>
      <c r="O3" s="239">
        <v>56</v>
      </c>
    </row>
    <row r="4" spans="1:15" x14ac:dyDescent="0.2">
      <c r="A4" s="241">
        <v>277</v>
      </c>
      <c r="B4" s="239" t="s">
        <v>1837</v>
      </c>
      <c r="C4" s="239" t="s">
        <v>1835</v>
      </c>
      <c r="D4" s="239">
        <v>2</v>
      </c>
      <c r="E4" s="239">
        <v>1</v>
      </c>
      <c r="F4" s="239" t="s">
        <v>1556</v>
      </c>
      <c r="G4" s="240" t="s">
        <v>1836</v>
      </c>
      <c r="H4" s="239" t="s">
        <v>1833</v>
      </c>
      <c r="I4" s="239">
        <v>0</v>
      </c>
      <c r="J4" s="239">
        <v>0</v>
      </c>
      <c r="K4" s="239">
        <v>0</v>
      </c>
      <c r="L4" s="239">
        <v>0</v>
      </c>
      <c r="M4" s="239">
        <v>0</v>
      </c>
      <c r="N4" s="239">
        <v>0</v>
      </c>
      <c r="O4" s="239">
        <v>75</v>
      </c>
    </row>
    <row r="5" spans="1:15" x14ac:dyDescent="0.2">
      <c r="A5" s="241">
        <v>269</v>
      </c>
      <c r="B5" s="239" t="s">
        <v>1838</v>
      </c>
      <c r="C5" s="239" t="s">
        <v>1835</v>
      </c>
      <c r="D5" s="239">
        <v>1</v>
      </c>
      <c r="E5" s="239">
        <v>1</v>
      </c>
      <c r="F5" s="239" t="s">
        <v>1010</v>
      </c>
      <c r="G5" s="240" t="s">
        <v>1836</v>
      </c>
      <c r="H5" s="239" t="s">
        <v>1833</v>
      </c>
      <c r="I5" s="239">
        <v>0</v>
      </c>
      <c r="J5" s="239">
        <v>0</v>
      </c>
      <c r="K5" s="239">
        <v>0</v>
      </c>
      <c r="L5" s="239">
        <v>0</v>
      </c>
      <c r="M5" s="239">
        <v>0</v>
      </c>
      <c r="N5" s="239">
        <v>0</v>
      </c>
      <c r="O5" s="239">
        <v>55</v>
      </c>
    </row>
    <row r="6" spans="1:15" x14ac:dyDescent="0.2">
      <c r="A6" s="241">
        <v>272</v>
      </c>
      <c r="B6" s="239" t="s">
        <v>1839</v>
      </c>
      <c r="C6" s="239" t="s">
        <v>1835</v>
      </c>
      <c r="D6" s="239">
        <v>3</v>
      </c>
      <c r="E6" s="239">
        <v>2</v>
      </c>
      <c r="F6" s="239" t="s">
        <v>1010</v>
      </c>
      <c r="G6" s="240" t="s">
        <v>1836</v>
      </c>
      <c r="H6" s="239" t="s">
        <v>1833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63</v>
      </c>
    </row>
    <row r="7" spans="1:15" x14ac:dyDescent="0.2">
      <c r="A7" s="241">
        <v>273</v>
      </c>
      <c r="B7" s="239" t="s">
        <v>1840</v>
      </c>
      <c r="C7" s="239" t="s">
        <v>1835</v>
      </c>
      <c r="D7" s="239">
        <v>3</v>
      </c>
      <c r="E7" s="239">
        <v>1</v>
      </c>
      <c r="F7" s="239" t="s">
        <v>1010</v>
      </c>
      <c r="G7" s="240" t="s">
        <v>1836</v>
      </c>
      <c r="H7" s="239" t="s">
        <v>1833</v>
      </c>
      <c r="I7" s="239">
        <v>0</v>
      </c>
      <c r="J7" s="239">
        <v>0</v>
      </c>
      <c r="K7" s="239">
        <v>0</v>
      </c>
      <c r="L7" s="239">
        <v>0</v>
      </c>
      <c r="M7" s="239">
        <v>0</v>
      </c>
      <c r="N7" s="239">
        <v>0</v>
      </c>
      <c r="O7" s="239">
        <v>101</v>
      </c>
    </row>
    <row r="8" spans="1:15" x14ac:dyDescent="0.2">
      <c r="A8" s="241">
        <v>274</v>
      </c>
      <c r="B8" s="239" t="s">
        <v>1841</v>
      </c>
      <c r="C8" s="239" t="s">
        <v>1835</v>
      </c>
      <c r="D8" s="239">
        <v>2</v>
      </c>
      <c r="E8" s="239">
        <v>2</v>
      </c>
      <c r="F8" s="239" t="s">
        <v>1010</v>
      </c>
      <c r="G8" s="240" t="s">
        <v>1836</v>
      </c>
      <c r="H8" s="239" t="s">
        <v>1833</v>
      </c>
      <c r="I8" s="239">
        <v>0</v>
      </c>
      <c r="J8" s="239">
        <v>0</v>
      </c>
      <c r="K8" s="239">
        <v>0</v>
      </c>
      <c r="L8" s="239">
        <v>0</v>
      </c>
      <c r="M8" s="239">
        <v>0</v>
      </c>
      <c r="N8" s="239">
        <v>0</v>
      </c>
      <c r="O8" s="239">
        <v>70</v>
      </c>
    </row>
    <row r="9" spans="1:15" x14ac:dyDescent="0.2">
      <c r="A9" s="241">
        <v>279</v>
      </c>
      <c r="B9" s="239" t="s">
        <v>1842</v>
      </c>
      <c r="C9" s="239" t="s">
        <v>1835</v>
      </c>
      <c r="D9" s="239">
        <v>1</v>
      </c>
      <c r="E9" s="239">
        <v>2</v>
      </c>
      <c r="F9" s="239" t="s">
        <v>882</v>
      </c>
      <c r="G9" s="240" t="s">
        <v>1843</v>
      </c>
      <c r="H9" s="239" t="s">
        <v>1833</v>
      </c>
      <c r="I9" s="239">
        <v>0</v>
      </c>
      <c r="J9" s="239">
        <v>0</v>
      </c>
      <c r="K9" s="239">
        <v>0</v>
      </c>
      <c r="L9" s="239">
        <v>0</v>
      </c>
      <c r="M9" s="239">
        <v>0</v>
      </c>
      <c r="N9" s="239">
        <v>0</v>
      </c>
      <c r="O9" s="239">
        <v>63</v>
      </c>
    </row>
    <row r="10" spans="1:15" x14ac:dyDescent="0.2">
      <c r="A10" s="241">
        <v>280</v>
      </c>
      <c r="B10" s="239" t="s">
        <v>1844</v>
      </c>
      <c r="C10" s="239" t="s">
        <v>1845</v>
      </c>
      <c r="D10" s="239">
        <v>2</v>
      </c>
      <c r="E10" s="239">
        <v>2</v>
      </c>
      <c r="F10" s="239" t="s">
        <v>882</v>
      </c>
      <c r="G10" s="240" t="s">
        <v>1843</v>
      </c>
      <c r="H10" s="239" t="s">
        <v>1833</v>
      </c>
      <c r="I10" s="239">
        <v>0</v>
      </c>
      <c r="J10" s="239">
        <v>0</v>
      </c>
      <c r="K10" s="239">
        <v>0</v>
      </c>
      <c r="L10" s="239">
        <v>0</v>
      </c>
      <c r="M10" s="239">
        <v>0</v>
      </c>
      <c r="N10" s="239">
        <v>0</v>
      </c>
      <c r="O10" s="239">
        <v>117</v>
      </c>
    </row>
    <row r="11" spans="1:15" x14ac:dyDescent="0.2">
      <c r="A11" s="241">
        <v>289</v>
      </c>
      <c r="B11" s="239" t="s">
        <v>1846</v>
      </c>
      <c r="C11" s="239" t="s">
        <v>1835</v>
      </c>
      <c r="D11" s="239">
        <v>1</v>
      </c>
      <c r="E11" s="239">
        <v>1</v>
      </c>
      <c r="F11" s="239" t="s">
        <v>882</v>
      </c>
      <c r="G11" s="240" t="s">
        <v>1843</v>
      </c>
      <c r="H11" s="239" t="s">
        <v>1833</v>
      </c>
      <c r="I11" s="239">
        <v>0</v>
      </c>
      <c r="J11" s="239">
        <v>0</v>
      </c>
      <c r="K11" s="239">
        <v>0</v>
      </c>
      <c r="L11" s="239">
        <v>0</v>
      </c>
      <c r="M11" s="239">
        <v>0</v>
      </c>
      <c r="N11" s="239">
        <v>0</v>
      </c>
      <c r="O11" s="239">
        <v>93</v>
      </c>
    </row>
    <row r="12" spans="1:15" x14ac:dyDescent="0.2">
      <c r="A12" s="241">
        <v>278</v>
      </c>
      <c r="B12" s="239" t="s">
        <v>1847</v>
      </c>
      <c r="C12" s="239" t="s">
        <v>1835</v>
      </c>
      <c r="D12" s="239">
        <v>1</v>
      </c>
      <c r="E12" s="239">
        <v>1</v>
      </c>
      <c r="F12" s="239" t="s">
        <v>880</v>
      </c>
      <c r="G12" s="240" t="s">
        <v>1843</v>
      </c>
      <c r="H12" s="239" t="s">
        <v>1833</v>
      </c>
      <c r="I12" s="239">
        <v>0</v>
      </c>
      <c r="J12" s="239">
        <v>0</v>
      </c>
      <c r="K12" s="239">
        <v>0</v>
      </c>
      <c r="L12" s="239">
        <v>0</v>
      </c>
      <c r="M12" s="239">
        <v>0</v>
      </c>
      <c r="N12" s="239">
        <v>0</v>
      </c>
      <c r="O12" s="239">
        <v>54</v>
      </c>
    </row>
    <row r="13" spans="1:15" x14ac:dyDescent="0.2">
      <c r="A13" s="241">
        <v>281</v>
      </c>
      <c r="B13" s="239" t="s">
        <v>1848</v>
      </c>
      <c r="C13" s="239" t="s">
        <v>1835</v>
      </c>
      <c r="D13" s="239">
        <v>2</v>
      </c>
      <c r="E13" s="239">
        <v>2</v>
      </c>
      <c r="F13" s="239" t="s">
        <v>880</v>
      </c>
      <c r="G13" s="240" t="s">
        <v>1843</v>
      </c>
      <c r="H13" s="239" t="s">
        <v>1833</v>
      </c>
      <c r="I13" s="239">
        <v>0</v>
      </c>
      <c r="J13" s="239">
        <v>0</v>
      </c>
      <c r="K13" s="239">
        <v>0</v>
      </c>
      <c r="L13" s="239">
        <v>0</v>
      </c>
      <c r="M13" s="239">
        <v>0</v>
      </c>
      <c r="N13" s="239">
        <v>0</v>
      </c>
      <c r="O13" s="239">
        <v>114</v>
      </c>
    </row>
    <row r="14" spans="1:15" x14ac:dyDescent="0.2">
      <c r="A14" s="241">
        <v>284</v>
      </c>
      <c r="B14" s="239" t="s">
        <v>1849</v>
      </c>
      <c r="C14" s="239" t="s">
        <v>1845</v>
      </c>
      <c r="D14" s="239">
        <v>1</v>
      </c>
      <c r="E14" s="239">
        <v>2</v>
      </c>
      <c r="F14" s="239" t="s">
        <v>880</v>
      </c>
      <c r="G14" s="240" t="s">
        <v>1843</v>
      </c>
      <c r="H14" s="239" t="s">
        <v>1833</v>
      </c>
      <c r="I14" s="239">
        <v>0</v>
      </c>
      <c r="J14" s="239">
        <v>0</v>
      </c>
      <c r="K14" s="239">
        <v>0</v>
      </c>
      <c r="L14" s="239">
        <v>0</v>
      </c>
      <c r="M14" s="239">
        <v>0</v>
      </c>
      <c r="N14" s="239">
        <v>0</v>
      </c>
      <c r="O14" s="239">
        <v>76</v>
      </c>
    </row>
    <row r="15" spans="1:15" x14ac:dyDescent="0.2">
      <c r="A15" s="241">
        <v>285</v>
      </c>
      <c r="B15" s="239" t="s">
        <v>1850</v>
      </c>
      <c r="C15" s="239" t="s">
        <v>1845</v>
      </c>
      <c r="D15" s="239">
        <v>2</v>
      </c>
      <c r="E15" s="239">
        <v>1</v>
      </c>
      <c r="F15" s="239" t="s">
        <v>880</v>
      </c>
      <c r="G15" s="240" t="s">
        <v>1843</v>
      </c>
      <c r="H15" s="239" t="s">
        <v>1833</v>
      </c>
      <c r="I15" s="239">
        <v>0</v>
      </c>
      <c r="J15" s="239">
        <v>0</v>
      </c>
      <c r="K15" s="239">
        <v>0</v>
      </c>
      <c r="L15" s="239">
        <v>0</v>
      </c>
      <c r="M15" s="239">
        <v>0</v>
      </c>
      <c r="N15" s="239">
        <v>0</v>
      </c>
      <c r="O15" s="239">
        <v>55</v>
      </c>
    </row>
    <row r="16" spans="1:15" x14ac:dyDescent="0.2">
      <c r="A16" s="241">
        <v>294</v>
      </c>
      <c r="B16" s="239" t="s">
        <v>1851</v>
      </c>
      <c r="C16" s="239" t="s">
        <v>1835</v>
      </c>
      <c r="D16" s="239">
        <v>1</v>
      </c>
      <c r="E16" s="239">
        <v>2</v>
      </c>
      <c r="F16" s="239" t="s">
        <v>880</v>
      </c>
      <c r="G16" s="240" t="s">
        <v>1843</v>
      </c>
      <c r="H16" s="239" t="s">
        <v>1833</v>
      </c>
      <c r="I16" s="239">
        <v>0</v>
      </c>
      <c r="J16" s="239">
        <v>0</v>
      </c>
      <c r="K16" s="239">
        <v>0</v>
      </c>
      <c r="L16" s="239">
        <v>0</v>
      </c>
      <c r="M16" s="239">
        <v>0</v>
      </c>
      <c r="N16" s="239">
        <v>0</v>
      </c>
      <c r="O16" s="239">
        <v>127</v>
      </c>
    </row>
    <row r="17" spans="1:15" x14ac:dyDescent="0.2">
      <c r="A17" s="241">
        <v>295</v>
      </c>
      <c r="B17" s="239" t="s">
        <v>1852</v>
      </c>
      <c r="C17" s="239" t="s">
        <v>1845</v>
      </c>
      <c r="D17" s="239">
        <v>1</v>
      </c>
      <c r="E17" s="239">
        <v>2</v>
      </c>
      <c r="F17" s="239" t="s">
        <v>880</v>
      </c>
      <c r="G17" s="242" t="s">
        <v>1843</v>
      </c>
      <c r="H17" s="239" t="s">
        <v>1833</v>
      </c>
      <c r="I17" s="239">
        <v>0</v>
      </c>
      <c r="J17" s="239">
        <v>0</v>
      </c>
      <c r="K17" s="239">
        <v>0</v>
      </c>
      <c r="L17" s="239">
        <v>0</v>
      </c>
      <c r="M17" s="239">
        <v>0</v>
      </c>
      <c r="N17" s="239">
        <v>0</v>
      </c>
      <c r="O17" s="239">
        <v>81</v>
      </c>
    </row>
    <row r="18" spans="1:15" x14ac:dyDescent="0.2">
      <c r="A18" s="241">
        <v>298</v>
      </c>
      <c r="B18" s="239" t="s">
        <v>1853</v>
      </c>
      <c r="C18" s="239" t="s">
        <v>1845</v>
      </c>
      <c r="D18" s="239">
        <v>1</v>
      </c>
      <c r="E18" s="239">
        <v>1</v>
      </c>
      <c r="F18" s="239" t="s">
        <v>882</v>
      </c>
      <c r="G18" s="242" t="s">
        <v>1843</v>
      </c>
      <c r="H18" s="239" t="s">
        <v>1833</v>
      </c>
      <c r="I18" s="239">
        <v>0</v>
      </c>
      <c r="J18" s="239">
        <v>0</v>
      </c>
      <c r="K18" s="239">
        <v>0</v>
      </c>
      <c r="L18" s="239">
        <v>0</v>
      </c>
      <c r="M18" s="239">
        <v>0</v>
      </c>
      <c r="N18" s="239">
        <v>0</v>
      </c>
      <c r="O18" s="239">
        <v>63</v>
      </c>
    </row>
    <row r="19" spans="1:15" x14ac:dyDescent="0.2">
      <c r="A19" s="241">
        <v>300</v>
      </c>
      <c r="B19" s="239" t="s">
        <v>1854</v>
      </c>
      <c r="C19" s="239"/>
      <c r="D19" s="239"/>
      <c r="E19" s="239"/>
      <c r="F19" s="239" t="s">
        <v>1010</v>
      </c>
      <c r="G19" s="242">
        <v>45361</v>
      </c>
      <c r="H19" s="239" t="s">
        <v>1833</v>
      </c>
      <c r="I19" s="239">
        <v>0</v>
      </c>
      <c r="J19" s="239">
        <v>0</v>
      </c>
      <c r="K19" s="239">
        <v>0</v>
      </c>
      <c r="L19" s="239">
        <v>0</v>
      </c>
      <c r="M19" s="239">
        <v>0</v>
      </c>
      <c r="N19" s="239">
        <v>0</v>
      </c>
      <c r="O19" s="239">
        <v>120</v>
      </c>
    </row>
    <row r="20" spans="1:15" x14ac:dyDescent="0.2">
      <c r="A20" s="241">
        <v>301</v>
      </c>
      <c r="B20" s="239" t="s">
        <v>1855</v>
      </c>
      <c r="C20" s="239" t="s">
        <v>1845</v>
      </c>
      <c r="D20" s="239">
        <v>1</v>
      </c>
      <c r="E20" s="239">
        <v>1</v>
      </c>
      <c r="F20" s="239" t="s">
        <v>1010</v>
      </c>
      <c r="G20" s="242">
        <v>45361</v>
      </c>
      <c r="H20" s="239" t="s">
        <v>1833</v>
      </c>
      <c r="I20" s="239">
        <v>0</v>
      </c>
      <c r="J20" s="239">
        <v>0</v>
      </c>
      <c r="K20" s="239">
        <v>0</v>
      </c>
      <c r="L20" s="239">
        <v>0</v>
      </c>
      <c r="M20" s="239">
        <v>0</v>
      </c>
      <c r="N20" s="239">
        <v>0</v>
      </c>
      <c r="O20" s="239">
        <v>84</v>
      </c>
    </row>
    <row r="21" spans="1:15" x14ac:dyDescent="0.2">
      <c r="A21" s="241">
        <v>302</v>
      </c>
      <c r="B21" s="239" t="s">
        <v>1856</v>
      </c>
      <c r="C21" s="239" t="s">
        <v>1845</v>
      </c>
      <c r="D21" s="239"/>
      <c r="E21" s="239"/>
      <c r="F21" s="239" t="s">
        <v>1556</v>
      </c>
      <c r="G21" s="242" t="s">
        <v>1129</v>
      </c>
      <c r="H21" s="239" t="s">
        <v>1833</v>
      </c>
      <c r="I21" s="239">
        <v>0</v>
      </c>
      <c r="J21" s="239">
        <v>0</v>
      </c>
      <c r="K21" s="239">
        <v>0</v>
      </c>
      <c r="L21" s="239">
        <v>0</v>
      </c>
      <c r="M21" s="239">
        <v>0</v>
      </c>
      <c r="N21" s="239">
        <v>0</v>
      </c>
      <c r="O21" s="239">
        <v>38</v>
      </c>
    </row>
    <row r="22" spans="1:15" x14ac:dyDescent="0.2">
      <c r="A22" s="241">
        <v>303</v>
      </c>
      <c r="B22" s="239" t="s">
        <v>1857</v>
      </c>
      <c r="C22" s="239" t="s">
        <v>1845</v>
      </c>
      <c r="D22" s="239"/>
      <c r="E22" s="239"/>
      <c r="F22" s="239" t="s">
        <v>1556</v>
      </c>
      <c r="G22" s="242" t="s">
        <v>1129</v>
      </c>
      <c r="H22" s="239" t="s">
        <v>1833</v>
      </c>
      <c r="I22" s="239">
        <v>0</v>
      </c>
      <c r="J22" s="239">
        <v>0</v>
      </c>
      <c r="K22" s="239">
        <v>0</v>
      </c>
      <c r="L22" s="239">
        <v>0</v>
      </c>
      <c r="M22" s="239">
        <v>0</v>
      </c>
      <c r="N22" s="239">
        <v>0</v>
      </c>
      <c r="O22" s="239">
        <v>51</v>
      </c>
    </row>
    <row r="23" spans="1:15" x14ac:dyDescent="0.2">
      <c r="A23" s="241">
        <v>297</v>
      </c>
      <c r="B23" s="239" t="s">
        <v>1858</v>
      </c>
      <c r="C23" s="239" t="s">
        <v>1845</v>
      </c>
      <c r="D23" s="239">
        <v>1</v>
      </c>
      <c r="E23" s="239">
        <v>2</v>
      </c>
      <c r="F23" s="239" t="s">
        <v>882</v>
      </c>
      <c r="G23" s="242" t="s">
        <v>1129</v>
      </c>
      <c r="H23" s="239" t="s">
        <v>1833</v>
      </c>
      <c r="I23" s="239">
        <v>0</v>
      </c>
      <c r="J23" s="239">
        <v>0</v>
      </c>
      <c r="K23" s="239">
        <v>0</v>
      </c>
      <c r="L23" s="239">
        <v>0</v>
      </c>
      <c r="M23" s="239">
        <v>0</v>
      </c>
      <c r="N23" s="239">
        <v>0</v>
      </c>
      <c r="O23" s="239">
        <v>66</v>
      </c>
    </row>
    <row r="24" spans="1:15" x14ac:dyDescent="0.2">
      <c r="A24" s="243">
        <v>201</v>
      </c>
      <c r="B24" s="243" t="s">
        <v>1859</v>
      </c>
      <c r="C24" s="243" t="s">
        <v>1835</v>
      </c>
      <c r="D24" s="243">
        <v>2</v>
      </c>
      <c r="E24" s="243">
        <v>1</v>
      </c>
      <c r="F24" s="243" t="s">
        <v>1556</v>
      </c>
      <c r="G24" s="244" t="s">
        <v>1836</v>
      </c>
      <c r="H24" s="243" t="s">
        <v>1860</v>
      </c>
      <c r="I24" s="243">
        <v>1</v>
      </c>
      <c r="J24" s="243">
        <v>0</v>
      </c>
      <c r="K24" s="243">
        <v>0</v>
      </c>
      <c r="L24" s="243">
        <v>0</v>
      </c>
      <c r="M24" s="243">
        <v>0</v>
      </c>
      <c r="N24" s="243">
        <v>0</v>
      </c>
      <c r="O24" s="243">
        <v>97</v>
      </c>
    </row>
    <row r="25" spans="1:15" x14ac:dyDescent="0.2">
      <c r="A25" s="239">
        <v>270</v>
      </c>
      <c r="B25" s="239" t="s">
        <v>1832</v>
      </c>
      <c r="C25" s="239"/>
      <c r="D25" s="239"/>
      <c r="E25" s="239"/>
      <c r="F25" s="239" t="s">
        <v>1556</v>
      </c>
      <c r="G25" s="242">
        <v>45202</v>
      </c>
      <c r="H25" s="239" t="s">
        <v>1860</v>
      </c>
      <c r="I25" s="239">
        <v>0</v>
      </c>
      <c r="J25" s="239">
        <v>0</v>
      </c>
      <c r="K25" s="239">
        <v>0</v>
      </c>
      <c r="L25" s="239">
        <v>0</v>
      </c>
      <c r="M25" s="239">
        <v>0</v>
      </c>
      <c r="N25" s="239">
        <v>0</v>
      </c>
      <c r="O25" s="239">
        <v>120</v>
      </c>
    </row>
    <row r="26" spans="1:15" x14ac:dyDescent="0.2">
      <c r="A26" s="239">
        <v>275</v>
      </c>
      <c r="B26" s="239" t="s">
        <v>1834</v>
      </c>
      <c r="C26" s="239" t="s">
        <v>1835</v>
      </c>
      <c r="D26" s="239">
        <v>1</v>
      </c>
      <c r="E26" s="239">
        <v>1</v>
      </c>
      <c r="F26" s="239" t="s">
        <v>1556</v>
      </c>
      <c r="G26" s="242" t="s">
        <v>1836</v>
      </c>
      <c r="H26" s="239" t="s">
        <v>1860</v>
      </c>
      <c r="I26" s="239">
        <v>1</v>
      </c>
      <c r="J26" s="239">
        <v>0</v>
      </c>
      <c r="K26" s="239">
        <v>0</v>
      </c>
      <c r="L26" s="239">
        <v>0</v>
      </c>
      <c r="M26" s="239">
        <v>0</v>
      </c>
      <c r="N26" s="239">
        <v>1</v>
      </c>
      <c r="O26" s="239">
        <v>67</v>
      </c>
    </row>
    <row r="27" spans="1:15" ht="17.25" customHeight="1" x14ac:dyDescent="0.2">
      <c r="A27" s="239">
        <v>277</v>
      </c>
      <c r="B27" s="239" t="s">
        <v>1837</v>
      </c>
      <c r="C27" s="239" t="s">
        <v>1835</v>
      </c>
      <c r="D27" s="239">
        <v>2</v>
      </c>
      <c r="E27" s="239">
        <v>1</v>
      </c>
      <c r="F27" s="239" t="s">
        <v>1556</v>
      </c>
      <c r="G27" s="242" t="s">
        <v>1836</v>
      </c>
      <c r="H27" s="239" t="s">
        <v>1860</v>
      </c>
      <c r="I27" s="239">
        <v>1</v>
      </c>
      <c r="J27" s="239">
        <v>0</v>
      </c>
      <c r="K27" s="239">
        <v>0</v>
      </c>
      <c r="L27" s="239">
        <v>0</v>
      </c>
      <c r="M27" s="239">
        <v>0</v>
      </c>
      <c r="N27" s="239">
        <v>1</v>
      </c>
      <c r="O27" s="239">
        <v>103</v>
      </c>
    </row>
    <row r="28" spans="1:15" x14ac:dyDescent="0.2">
      <c r="A28" s="239">
        <v>269</v>
      </c>
      <c r="B28" s="239" t="s">
        <v>1838</v>
      </c>
      <c r="C28" s="239" t="s">
        <v>1835</v>
      </c>
      <c r="D28" s="239">
        <v>1</v>
      </c>
      <c r="E28" s="239">
        <v>1</v>
      </c>
      <c r="F28" s="239" t="s">
        <v>1010</v>
      </c>
      <c r="G28" s="242" t="s">
        <v>1836</v>
      </c>
      <c r="H28" s="239" t="s">
        <v>1860</v>
      </c>
      <c r="I28" s="239">
        <v>2</v>
      </c>
      <c r="J28" s="239">
        <v>0</v>
      </c>
      <c r="K28" s="239">
        <v>0</v>
      </c>
      <c r="L28" s="239">
        <v>0</v>
      </c>
      <c r="M28" s="239">
        <v>0</v>
      </c>
      <c r="N28" s="239">
        <v>2</v>
      </c>
      <c r="O28" s="239">
        <v>91</v>
      </c>
    </row>
    <row r="29" spans="1:15" x14ac:dyDescent="0.2">
      <c r="A29" s="239">
        <v>272</v>
      </c>
      <c r="B29" s="239" t="s">
        <v>1839</v>
      </c>
      <c r="C29" s="239" t="s">
        <v>1835</v>
      </c>
      <c r="D29" s="239">
        <v>3</v>
      </c>
      <c r="E29" s="239">
        <v>2</v>
      </c>
      <c r="F29" s="239" t="s">
        <v>1010</v>
      </c>
      <c r="G29" s="242" t="s">
        <v>1836</v>
      </c>
      <c r="H29" s="239" t="s">
        <v>1860</v>
      </c>
      <c r="I29" s="239">
        <v>2</v>
      </c>
      <c r="J29" s="239">
        <v>0</v>
      </c>
      <c r="K29" s="239">
        <v>0</v>
      </c>
      <c r="L29" s="239">
        <v>0</v>
      </c>
      <c r="M29" s="239">
        <v>0</v>
      </c>
      <c r="N29" s="239">
        <v>2</v>
      </c>
      <c r="O29" s="239">
        <v>110</v>
      </c>
    </row>
    <row r="30" spans="1:15" x14ac:dyDescent="0.2">
      <c r="A30" s="239">
        <v>273</v>
      </c>
      <c r="B30" s="239" t="s">
        <v>1840</v>
      </c>
      <c r="C30" s="239" t="s">
        <v>1835</v>
      </c>
      <c r="D30" s="239">
        <v>3</v>
      </c>
      <c r="E30" s="239">
        <v>1</v>
      </c>
      <c r="F30" s="239" t="s">
        <v>1010</v>
      </c>
      <c r="G30" s="242" t="s">
        <v>1836</v>
      </c>
      <c r="H30" s="239" t="s">
        <v>1860</v>
      </c>
      <c r="I30" s="239">
        <v>0</v>
      </c>
      <c r="J30" s="239">
        <v>0</v>
      </c>
      <c r="K30" s="239">
        <v>0</v>
      </c>
      <c r="L30" s="239">
        <v>0</v>
      </c>
      <c r="M30" s="239">
        <v>0</v>
      </c>
      <c r="N30" s="239">
        <v>4</v>
      </c>
      <c r="O30" s="239">
        <v>106</v>
      </c>
    </row>
    <row r="31" spans="1:15" x14ac:dyDescent="0.2">
      <c r="A31" s="239">
        <v>274</v>
      </c>
      <c r="B31" s="239" t="s">
        <v>1841</v>
      </c>
      <c r="C31" s="239" t="s">
        <v>1835</v>
      </c>
      <c r="D31" s="239">
        <v>2</v>
      </c>
      <c r="E31" s="239">
        <v>2</v>
      </c>
      <c r="F31" s="239" t="s">
        <v>1010</v>
      </c>
      <c r="G31" s="242" t="s">
        <v>1836</v>
      </c>
      <c r="H31" s="239" t="s">
        <v>1860</v>
      </c>
      <c r="I31" s="239">
        <v>4</v>
      </c>
      <c r="J31" s="239">
        <v>0</v>
      </c>
      <c r="K31" s="239">
        <v>0</v>
      </c>
      <c r="L31" s="239">
        <v>0</v>
      </c>
      <c r="M31" s="239">
        <v>0</v>
      </c>
      <c r="N31" s="239">
        <v>2</v>
      </c>
      <c r="O31" s="239">
        <v>110</v>
      </c>
    </row>
    <row r="32" spans="1:15" x14ac:dyDescent="0.2">
      <c r="A32" s="239">
        <v>279</v>
      </c>
      <c r="B32" s="239" t="s">
        <v>1842</v>
      </c>
      <c r="C32" s="239" t="s">
        <v>1835</v>
      </c>
      <c r="D32" s="239">
        <v>1</v>
      </c>
      <c r="E32" s="239">
        <v>2</v>
      </c>
      <c r="F32" s="239" t="s">
        <v>882</v>
      </c>
      <c r="G32" s="242" t="s">
        <v>1843</v>
      </c>
      <c r="H32" s="239" t="s">
        <v>1860</v>
      </c>
      <c r="I32" s="239">
        <v>2</v>
      </c>
      <c r="J32" s="239">
        <v>0</v>
      </c>
      <c r="K32" s="239">
        <v>0</v>
      </c>
      <c r="L32" s="239">
        <v>0</v>
      </c>
      <c r="M32" s="239">
        <v>0</v>
      </c>
      <c r="N32" s="239">
        <v>2</v>
      </c>
      <c r="O32" s="239">
        <v>77</v>
      </c>
    </row>
    <row r="33" spans="1:15" x14ac:dyDescent="0.2">
      <c r="A33" s="239">
        <v>280</v>
      </c>
      <c r="B33" s="239" t="s">
        <v>1844</v>
      </c>
      <c r="C33" s="239" t="s">
        <v>1845</v>
      </c>
      <c r="D33" s="239">
        <v>2</v>
      </c>
      <c r="E33" s="239">
        <v>2</v>
      </c>
      <c r="F33" s="239" t="s">
        <v>882</v>
      </c>
      <c r="G33" s="242" t="s">
        <v>1843</v>
      </c>
      <c r="H33" s="239" t="s">
        <v>1860</v>
      </c>
      <c r="I33" s="239">
        <v>2</v>
      </c>
      <c r="J33" s="239">
        <v>0</v>
      </c>
      <c r="K33" s="239">
        <v>0</v>
      </c>
      <c r="L33" s="239">
        <v>0</v>
      </c>
      <c r="M33" s="239">
        <v>0</v>
      </c>
      <c r="N33" s="239">
        <v>2</v>
      </c>
      <c r="O33" s="239">
        <v>66</v>
      </c>
    </row>
    <row r="34" spans="1:15" x14ac:dyDescent="0.2">
      <c r="A34" s="239">
        <v>289</v>
      </c>
      <c r="B34" s="239" t="s">
        <v>1846</v>
      </c>
      <c r="C34" s="239" t="s">
        <v>1835</v>
      </c>
      <c r="D34" s="239">
        <v>1</v>
      </c>
      <c r="E34" s="239">
        <v>1</v>
      </c>
      <c r="F34" s="239" t="s">
        <v>882</v>
      </c>
      <c r="G34" s="242" t="s">
        <v>1843</v>
      </c>
      <c r="H34" s="239" t="s">
        <v>1860</v>
      </c>
      <c r="I34" s="239">
        <v>1</v>
      </c>
      <c r="J34" s="239">
        <v>0</v>
      </c>
      <c r="K34" s="239">
        <v>0</v>
      </c>
      <c r="L34" s="239">
        <v>0</v>
      </c>
      <c r="M34" s="239">
        <v>0</v>
      </c>
      <c r="N34" s="239">
        <v>0</v>
      </c>
      <c r="O34" s="239">
        <v>78</v>
      </c>
    </row>
    <row r="35" spans="1:15" x14ac:dyDescent="0.2">
      <c r="A35" s="239">
        <v>278</v>
      </c>
      <c r="B35" s="239" t="s">
        <v>1847</v>
      </c>
      <c r="C35" s="239" t="s">
        <v>1835</v>
      </c>
      <c r="D35" s="239">
        <v>1</v>
      </c>
      <c r="E35" s="239">
        <v>1</v>
      </c>
      <c r="F35" s="239" t="s">
        <v>880</v>
      </c>
      <c r="G35" s="242" t="s">
        <v>1843</v>
      </c>
      <c r="H35" s="239" t="s">
        <v>1860</v>
      </c>
      <c r="I35" s="239">
        <v>0</v>
      </c>
      <c r="J35" s="239">
        <v>0</v>
      </c>
      <c r="K35" s="239">
        <v>0</v>
      </c>
      <c r="L35" s="239">
        <v>0</v>
      </c>
      <c r="M35" s="239">
        <v>0</v>
      </c>
      <c r="N35" s="239">
        <v>6</v>
      </c>
      <c r="O35" s="239">
        <v>89</v>
      </c>
    </row>
    <row r="36" spans="1:15" x14ac:dyDescent="0.2">
      <c r="A36" s="239">
        <v>281</v>
      </c>
      <c r="B36" s="239" t="s">
        <v>1848</v>
      </c>
      <c r="C36" s="239" t="s">
        <v>1835</v>
      </c>
      <c r="D36" s="239">
        <v>2</v>
      </c>
      <c r="E36" s="239">
        <v>2</v>
      </c>
      <c r="F36" s="239" t="s">
        <v>880</v>
      </c>
      <c r="G36" s="242" t="s">
        <v>1843</v>
      </c>
      <c r="H36" s="239" t="s">
        <v>1860</v>
      </c>
      <c r="I36" s="239">
        <v>0</v>
      </c>
      <c r="J36" s="239">
        <v>0</v>
      </c>
      <c r="K36" s="239">
        <v>0</v>
      </c>
      <c r="L36" s="239">
        <v>0</v>
      </c>
      <c r="M36" s="239">
        <v>0</v>
      </c>
      <c r="N36" s="239">
        <v>2</v>
      </c>
      <c r="O36" s="239">
        <v>73</v>
      </c>
    </row>
    <row r="37" spans="1:15" x14ac:dyDescent="0.2">
      <c r="A37" s="239">
        <v>284</v>
      </c>
      <c r="B37" s="239" t="s">
        <v>1849</v>
      </c>
      <c r="C37" s="239" t="s">
        <v>1845</v>
      </c>
      <c r="D37" s="239">
        <v>1</v>
      </c>
      <c r="E37" s="239">
        <v>2</v>
      </c>
      <c r="F37" s="239" t="s">
        <v>880</v>
      </c>
      <c r="G37" s="242" t="s">
        <v>1843</v>
      </c>
      <c r="H37" s="239" t="s">
        <v>1860</v>
      </c>
      <c r="I37" s="239">
        <v>0</v>
      </c>
      <c r="J37" s="239">
        <v>0</v>
      </c>
      <c r="K37" s="239">
        <v>0</v>
      </c>
      <c r="L37" s="239">
        <v>0</v>
      </c>
      <c r="M37" s="239">
        <v>0</v>
      </c>
      <c r="N37" s="239">
        <v>4</v>
      </c>
      <c r="O37" s="239">
        <v>57</v>
      </c>
    </row>
    <row r="38" spans="1:15" x14ac:dyDescent="0.2">
      <c r="A38" s="239">
        <v>285</v>
      </c>
      <c r="B38" s="239" t="s">
        <v>1850</v>
      </c>
      <c r="C38" s="239" t="s">
        <v>1845</v>
      </c>
      <c r="D38" s="239">
        <v>2</v>
      </c>
      <c r="E38" s="239">
        <v>1</v>
      </c>
      <c r="F38" s="239" t="s">
        <v>880</v>
      </c>
      <c r="G38" s="242" t="s">
        <v>1843</v>
      </c>
      <c r="H38" s="239" t="s">
        <v>1860</v>
      </c>
      <c r="I38" s="239">
        <v>0</v>
      </c>
      <c r="J38" s="239">
        <v>0</v>
      </c>
      <c r="K38" s="239">
        <v>0</v>
      </c>
      <c r="L38" s="239">
        <v>0</v>
      </c>
      <c r="M38" s="239">
        <v>0</v>
      </c>
      <c r="N38" s="239">
        <v>5</v>
      </c>
      <c r="O38" s="239">
        <v>62</v>
      </c>
    </row>
    <row r="39" spans="1:15" x14ac:dyDescent="0.2">
      <c r="A39" s="239">
        <v>294</v>
      </c>
      <c r="B39" s="239" t="s">
        <v>1851</v>
      </c>
      <c r="C39" s="239" t="s">
        <v>1835</v>
      </c>
      <c r="D39" s="239">
        <v>1</v>
      </c>
      <c r="E39" s="239">
        <v>2</v>
      </c>
      <c r="F39" s="239" t="s">
        <v>880</v>
      </c>
      <c r="G39" s="242" t="s">
        <v>1843</v>
      </c>
      <c r="H39" s="239" t="s">
        <v>1860</v>
      </c>
      <c r="I39" s="239">
        <v>0</v>
      </c>
      <c r="J39" s="239">
        <v>0</v>
      </c>
      <c r="K39" s="239">
        <v>0</v>
      </c>
      <c r="L39" s="239">
        <v>0</v>
      </c>
      <c r="M39" s="239">
        <v>0</v>
      </c>
      <c r="N39" s="239">
        <v>0</v>
      </c>
      <c r="O39" s="239">
        <v>68</v>
      </c>
    </row>
    <row r="40" spans="1:15" x14ac:dyDescent="0.2">
      <c r="A40" s="239">
        <v>295</v>
      </c>
      <c r="B40" s="239" t="s">
        <v>1852</v>
      </c>
      <c r="C40" s="239" t="s">
        <v>1845</v>
      </c>
      <c r="D40" s="239">
        <v>1</v>
      </c>
      <c r="E40" s="239">
        <v>2</v>
      </c>
      <c r="F40" s="239" t="s">
        <v>880</v>
      </c>
      <c r="G40" s="242" t="s">
        <v>1843</v>
      </c>
      <c r="H40" s="239" t="s">
        <v>1860</v>
      </c>
      <c r="I40" s="239">
        <v>0</v>
      </c>
      <c r="J40" s="239">
        <v>0</v>
      </c>
      <c r="K40" s="239">
        <v>0</v>
      </c>
      <c r="L40" s="239">
        <v>0</v>
      </c>
      <c r="M40" s="239">
        <v>0</v>
      </c>
      <c r="N40" s="239">
        <v>0</v>
      </c>
      <c r="O40" s="239">
        <v>59</v>
      </c>
    </row>
    <row r="41" spans="1:15" x14ac:dyDescent="0.2">
      <c r="A41" s="239">
        <v>298</v>
      </c>
      <c r="B41" s="239" t="s">
        <v>1853</v>
      </c>
      <c r="C41" s="239" t="s">
        <v>1845</v>
      </c>
      <c r="D41" s="239">
        <v>1</v>
      </c>
      <c r="E41" s="239">
        <v>1</v>
      </c>
      <c r="F41" s="239" t="s">
        <v>882</v>
      </c>
      <c r="G41" s="242" t="s">
        <v>1843</v>
      </c>
      <c r="H41" s="239" t="s">
        <v>1860</v>
      </c>
      <c r="I41" s="239">
        <v>0</v>
      </c>
      <c r="J41" s="239">
        <v>0</v>
      </c>
      <c r="K41" s="239">
        <v>0</v>
      </c>
      <c r="L41" s="239">
        <v>0</v>
      </c>
      <c r="M41" s="239">
        <v>0</v>
      </c>
      <c r="N41" s="239">
        <v>0</v>
      </c>
      <c r="O41" s="239">
        <v>59</v>
      </c>
    </row>
    <row r="42" spans="1:15" x14ac:dyDescent="0.2">
      <c r="A42" s="239">
        <v>300</v>
      </c>
      <c r="B42" s="239" t="s">
        <v>1854</v>
      </c>
      <c r="C42" s="239"/>
      <c r="D42" s="239"/>
      <c r="E42" s="239"/>
      <c r="F42" s="239" t="s">
        <v>1010</v>
      </c>
      <c r="G42" s="242">
        <v>45361</v>
      </c>
      <c r="H42" s="239" t="s">
        <v>1860</v>
      </c>
      <c r="I42" s="239">
        <v>2</v>
      </c>
      <c r="J42" s="239">
        <v>0</v>
      </c>
      <c r="K42" s="239">
        <v>0</v>
      </c>
      <c r="L42" s="239">
        <v>0</v>
      </c>
      <c r="M42" s="239">
        <v>0</v>
      </c>
      <c r="N42" s="239">
        <v>2</v>
      </c>
      <c r="O42" s="239">
        <v>133</v>
      </c>
    </row>
    <row r="43" spans="1:15" x14ac:dyDescent="0.2">
      <c r="A43" s="239">
        <v>301</v>
      </c>
      <c r="B43" s="239" t="s">
        <v>1855</v>
      </c>
      <c r="C43" s="239" t="s">
        <v>1845</v>
      </c>
      <c r="D43" s="239">
        <v>1</v>
      </c>
      <c r="E43" s="239">
        <v>1</v>
      </c>
      <c r="F43" s="239" t="s">
        <v>1010</v>
      </c>
      <c r="G43" s="242">
        <v>45361</v>
      </c>
      <c r="H43" s="239" t="s">
        <v>1860</v>
      </c>
      <c r="I43" s="239">
        <v>2</v>
      </c>
      <c r="J43" s="239">
        <v>0</v>
      </c>
      <c r="K43" s="239">
        <v>0</v>
      </c>
      <c r="L43" s="239">
        <v>0</v>
      </c>
      <c r="M43" s="239">
        <v>0</v>
      </c>
      <c r="N43" s="239">
        <v>2</v>
      </c>
      <c r="O43" s="239">
        <v>82</v>
      </c>
    </row>
    <row r="44" spans="1:15" x14ac:dyDescent="0.2">
      <c r="A44" s="239">
        <v>302</v>
      </c>
      <c r="B44" s="239" t="s">
        <v>1856</v>
      </c>
      <c r="C44" s="239" t="s">
        <v>1845</v>
      </c>
      <c r="D44" s="239"/>
      <c r="E44" s="239"/>
      <c r="F44" s="239" t="s">
        <v>1556</v>
      </c>
      <c r="G44" s="240" t="s">
        <v>1129</v>
      </c>
      <c r="H44" s="239" t="s">
        <v>1860</v>
      </c>
      <c r="I44" s="239">
        <v>2</v>
      </c>
      <c r="J44" s="239">
        <v>0</v>
      </c>
      <c r="K44" s="239">
        <v>0</v>
      </c>
      <c r="L44" s="239">
        <v>0</v>
      </c>
      <c r="M44" s="239">
        <v>0</v>
      </c>
      <c r="N44" s="239">
        <v>2</v>
      </c>
      <c r="O44" s="239">
        <v>99</v>
      </c>
    </row>
    <row r="45" spans="1:15" x14ac:dyDescent="0.2">
      <c r="A45" s="239">
        <v>303</v>
      </c>
      <c r="B45" s="239" t="s">
        <v>1857</v>
      </c>
      <c r="C45" s="239" t="s">
        <v>1845</v>
      </c>
      <c r="D45" s="239"/>
      <c r="E45" s="239"/>
      <c r="F45" s="239" t="s">
        <v>1556</v>
      </c>
      <c r="G45" s="240" t="s">
        <v>1129</v>
      </c>
      <c r="H45" s="239" t="s">
        <v>1860</v>
      </c>
      <c r="I45" s="239">
        <v>2</v>
      </c>
      <c r="J45" s="239">
        <v>0</v>
      </c>
      <c r="K45" s="239">
        <v>0</v>
      </c>
      <c r="L45" s="239">
        <v>0</v>
      </c>
      <c r="M45" s="239">
        <v>0</v>
      </c>
      <c r="N45" s="239">
        <v>2</v>
      </c>
      <c r="O45" s="239">
        <v>77</v>
      </c>
    </row>
    <row r="46" spans="1:15" x14ac:dyDescent="0.2">
      <c r="A46" s="239">
        <v>297</v>
      </c>
      <c r="B46" s="239" t="s">
        <v>1858</v>
      </c>
      <c r="C46" s="239" t="s">
        <v>1845</v>
      </c>
      <c r="D46" s="239">
        <v>1</v>
      </c>
      <c r="E46" s="239">
        <v>2</v>
      </c>
      <c r="F46" s="239" t="s">
        <v>882</v>
      </c>
      <c r="G46" s="240" t="s">
        <v>1129</v>
      </c>
      <c r="H46" s="239" t="s">
        <v>1860</v>
      </c>
      <c r="I46" s="239">
        <v>2</v>
      </c>
      <c r="J46" s="239">
        <v>0</v>
      </c>
      <c r="K46" s="239">
        <v>0</v>
      </c>
      <c r="L46" s="239">
        <v>0</v>
      </c>
      <c r="M46" s="239">
        <v>0</v>
      </c>
      <c r="N46" s="239">
        <v>2</v>
      </c>
      <c r="O46" s="239">
        <v>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41FE-17EC-46AC-8C6B-6961BC3700AD}">
  <dimension ref="A1:T107"/>
  <sheetViews>
    <sheetView workbookViewId="0">
      <pane ySplit="1" topLeftCell="A2" activePane="bottomLeft" state="frozen"/>
      <selection pane="bottomLeft" activeCell="S81" sqref="S81"/>
    </sheetView>
  </sheetViews>
  <sheetFormatPr baseColWidth="10" defaultColWidth="9" defaultRowHeight="16" x14ac:dyDescent="0.2"/>
  <cols>
    <col min="1" max="1" width="20" style="146" customWidth="1"/>
    <col min="2" max="2" width="9" style="146"/>
    <col min="3" max="3" width="14.33203125" style="146" customWidth="1"/>
    <col min="4" max="9" width="9" style="146"/>
    <col min="10" max="10" width="11.83203125" style="146" customWidth="1"/>
    <col min="11" max="11" width="13" style="146" customWidth="1"/>
    <col min="12" max="12" width="11.5" style="146" customWidth="1"/>
    <col min="13" max="16384" width="9" style="146"/>
  </cols>
  <sheetData>
    <row r="1" spans="1:20" x14ac:dyDescent="0.2">
      <c r="A1" s="172" t="s">
        <v>1861</v>
      </c>
      <c r="B1" s="172" t="s">
        <v>1546</v>
      </c>
      <c r="C1" s="172" t="s">
        <v>1820</v>
      </c>
      <c r="D1" s="172" t="s">
        <v>1179</v>
      </c>
      <c r="E1" s="172" t="s">
        <v>4</v>
      </c>
      <c r="F1" s="172" t="s">
        <v>1862</v>
      </c>
      <c r="G1" s="172" t="s">
        <v>23</v>
      </c>
      <c r="H1" s="172" t="s">
        <v>1863</v>
      </c>
      <c r="I1" s="172" t="s">
        <v>997</v>
      </c>
      <c r="J1" s="172" t="s">
        <v>1107</v>
      </c>
      <c r="K1" s="172" t="s">
        <v>1097</v>
      </c>
      <c r="L1" s="172" t="s">
        <v>1136</v>
      </c>
      <c r="M1" s="172" t="s">
        <v>1864</v>
      </c>
      <c r="N1" s="172" t="s">
        <v>1865</v>
      </c>
      <c r="O1" s="172" t="s">
        <v>1866</v>
      </c>
      <c r="P1" s="172" t="s">
        <v>1867</v>
      </c>
      <c r="Q1" s="172" t="s">
        <v>1868</v>
      </c>
      <c r="R1" s="172" t="s">
        <v>1869</v>
      </c>
      <c r="S1" s="172" t="s">
        <v>1870</v>
      </c>
      <c r="T1" s="172"/>
    </row>
    <row r="2" spans="1:20" x14ac:dyDescent="0.2">
      <c r="A2" s="172" t="s">
        <v>1120</v>
      </c>
      <c r="B2" s="172" t="s">
        <v>173</v>
      </c>
      <c r="C2" s="172" t="s">
        <v>1871</v>
      </c>
      <c r="D2" s="172">
        <v>306</v>
      </c>
      <c r="E2" s="172" t="s">
        <v>1872</v>
      </c>
      <c r="F2" s="172"/>
      <c r="G2" s="172"/>
      <c r="H2" s="172"/>
      <c r="I2" s="172"/>
      <c r="J2" s="172" t="s">
        <v>313</v>
      </c>
      <c r="K2" s="172" t="s">
        <v>313</v>
      </c>
      <c r="L2" s="172" t="s">
        <v>1873</v>
      </c>
      <c r="M2" s="172"/>
      <c r="N2" s="172"/>
      <c r="O2" s="172"/>
      <c r="P2" s="172"/>
      <c r="Q2" s="172"/>
      <c r="R2" s="172"/>
      <c r="S2" s="172"/>
      <c r="T2" s="172"/>
    </row>
    <row r="3" spans="1:20" x14ac:dyDescent="0.2">
      <c r="A3" s="172" t="s">
        <v>780</v>
      </c>
      <c r="B3" s="172" t="s">
        <v>173</v>
      </c>
      <c r="C3" s="172" t="s">
        <v>1874</v>
      </c>
      <c r="D3" s="172">
        <v>311</v>
      </c>
      <c r="E3" s="172" t="s">
        <v>1872</v>
      </c>
      <c r="F3" s="172"/>
      <c r="G3" s="172"/>
      <c r="H3" s="172"/>
      <c r="I3" s="172"/>
      <c r="J3" s="172" t="s">
        <v>313</v>
      </c>
      <c r="K3" s="172" t="s">
        <v>313</v>
      </c>
      <c r="L3" s="172" t="s">
        <v>1873</v>
      </c>
      <c r="M3" s="172"/>
      <c r="N3" s="172"/>
      <c r="O3" s="172"/>
      <c r="P3" s="172"/>
      <c r="Q3" s="172"/>
      <c r="R3" s="172"/>
      <c r="S3" s="172"/>
      <c r="T3" s="172"/>
    </row>
    <row r="4" spans="1:20" x14ac:dyDescent="0.2">
      <c r="A4" s="172" t="s">
        <v>1875</v>
      </c>
      <c r="B4" s="172" t="s">
        <v>173</v>
      </c>
      <c r="C4" s="172" t="s">
        <v>1876</v>
      </c>
      <c r="D4" s="172">
        <v>312</v>
      </c>
      <c r="E4" s="172" t="s">
        <v>1872</v>
      </c>
      <c r="F4" s="172"/>
      <c r="G4" s="172"/>
      <c r="H4" s="172"/>
      <c r="I4" s="172"/>
      <c r="J4" s="172" t="s">
        <v>313</v>
      </c>
      <c r="K4" s="172" t="s">
        <v>313</v>
      </c>
      <c r="L4" s="172" t="s">
        <v>1873</v>
      </c>
      <c r="M4" s="172"/>
      <c r="N4" s="172"/>
      <c r="O4" s="172"/>
      <c r="P4" s="172"/>
      <c r="Q4" s="172"/>
      <c r="R4" s="172"/>
      <c r="S4" s="172"/>
      <c r="T4" s="172"/>
    </row>
    <row r="5" spans="1:20" x14ac:dyDescent="0.2">
      <c r="A5" s="172" t="s">
        <v>1877</v>
      </c>
      <c r="B5" s="172" t="s">
        <v>173</v>
      </c>
      <c r="C5" s="172" t="s">
        <v>1878</v>
      </c>
      <c r="D5" s="172">
        <v>326</v>
      </c>
      <c r="E5" s="172" t="s">
        <v>1872</v>
      </c>
      <c r="F5" s="172"/>
      <c r="G5" s="172"/>
      <c r="H5" s="172"/>
      <c r="I5" s="172"/>
      <c r="J5" s="172" t="s">
        <v>313</v>
      </c>
      <c r="K5" s="172" t="s">
        <v>313</v>
      </c>
      <c r="L5" s="172" t="s">
        <v>1873</v>
      </c>
      <c r="M5" s="172"/>
      <c r="N5" s="172"/>
      <c r="O5" s="172"/>
      <c r="P5" s="172"/>
      <c r="Q5" s="172"/>
      <c r="R5" s="172"/>
      <c r="S5" s="172"/>
      <c r="T5" s="172"/>
    </row>
    <row r="6" spans="1:20" x14ac:dyDescent="0.2">
      <c r="A6" s="172" t="s">
        <v>1879</v>
      </c>
      <c r="B6" s="172" t="s">
        <v>173</v>
      </c>
      <c r="C6" s="172" t="s">
        <v>1880</v>
      </c>
      <c r="D6" s="172">
        <v>324</v>
      </c>
      <c r="E6" s="172" t="s">
        <v>1872</v>
      </c>
      <c r="F6" s="172"/>
      <c r="G6" s="172"/>
      <c r="H6" s="172"/>
      <c r="I6" s="172"/>
      <c r="J6" s="172" t="s">
        <v>313</v>
      </c>
      <c r="K6" s="172" t="s">
        <v>313</v>
      </c>
      <c r="L6" s="172" t="s">
        <v>1873</v>
      </c>
      <c r="M6" s="172"/>
      <c r="N6" s="172"/>
      <c r="O6" s="172"/>
      <c r="P6" s="172"/>
      <c r="Q6" s="172"/>
      <c r="R6" s="172"/>
      <c r="S6" s="172"/>
      <c r="T6" s="172"/>
    </row>
    <row r="7" spans="1:20" x14ac:dyDescent="0.2">
      <c r="A7" s="172" t="s">
        <v>1881</v>
      </c>
      <c r="B7" s="172" t="s">
        <v>1882</v>
      </c>
      <c r="C7" s="172" t="s">
        <v>1883</v>
      </c>
      <c r="D7" s="172">
        <v>307</v>
      </c>
      <c r="E7" s="172" t="s">
        <v>1872</v>
      </c>
      <c r="F7" s="172"/>
      <c r="G7" s="172"/>
      <c r="H7" s="172"/>
      <c r="I7" s="172"/>
      <c r="J7" s="172" t="s">
        <v>313</v>
      </c>
      <c r="K7" s="172" t="s">
        <v>313</v>
      </c>
      <c r="L7" s="172" t="s">
        <v>1873</v>
      </c>
      <c r="M7" s="172"/>
      <c r="N7" s="172"/>
      <c r="O7" s="172"/>
      <c r="P7" s="172"/>
      <c r="Q7" s="172"/>
      <c r="R7" s="172"/>
      <c r="S7" s="172"/>
      <c r="T7" s="172"/>
    </row>
    <row r="8" spans="1:20" x14ac:dyDescent="0.2">
      <c r="A8" s="172" t="s">
        <v>1884</v>
      </c>
      <c r="B8" s="172" t="s">
        <v>1882</v>
      </c>
      <c r="C8" s="172" t="s">
        <v>1885</v>
      </c>
      <c r="D8" s="172">
        <v>313</v>
      </c>
      <c r="E8" s="172" t="s">
        <v>1872</v>
      </c>
      <c r="F8" s="172"/>
      <c r="G8" s="172"/>
      <c r="H8" s="172"/>
      <c r="I8" s="172"/>
      <c r="J8" s="172" t="s">
        <v>313</v>
      </c>
      <c r="K8" s="172" t="s">
        <v>313</v>
      </c>
      <c r="L8" s="172" t="s">
        <v>1873</v>
      </c>
      <c r="M8" s="172"/>
      <c r="N8" s="172"/>
      <c r="O8" s="172"/>
      <c r="P8" s="172"/>
      <c r="Q8" s="172"/>
      <c r="R8" s="172"/>
      <c r="S8" s="172"/>
      <c r="T8" s="172"/>
    </row>
    <row r="9" spans="1:20" x14ac:dyDescent="0.2">
      <c r="A9" s="172" t="s">
        <v>1886</v>
      </c>
      <c r="B9" s="172" t="s">
        <v>1882</v>
      </c>
      <c r="C9" s="172" t="s">
        <v>1887</v>
      </c>
      <c r="D9" s="172">
        <v>304</v>
      </c>
      <c r="E9" s="172" t="s">
        <v>1872</v>
      </c>
      <c r="F9" s="172"/>
      <c r="G9" s="172"/>
      <c r="H9" s="172"/>
      <c r="I9" s="172"/>
      <c r="J9" s="172" t="s">
        <v>313</v>
      </c>
      <c r="K9" s="172" t="s">
        <v>313</v>
      </c>
      <c r="L9" s="172" t="s">
        <v>1873</v>
      </c>
      <c r="M9" s="172"/>
      <c r="N9" s="172"/>
      <c r="O9" s="172"/>
      <c r="P9" s="172"/>
      <c r="Q9" s="172"/>
      <c r="R9" s="172"/>
      <c r="S9" s="172"/>
      <c r="T9" s="172"/>
    </row>
    <row r="10" spans="1:20" x14ac:dyDescent="0.2">
      <c r="A10" s="172" t="s">
        <v>1888</v>
      </c>
      <c r="B10" s="172" t="s">
        <v>1889</v>
      </c>
      <c r="C10" s="172" t="s">
        <v>1890</v>
      </c>
      <c r="D10" s="172">
        <v>322</v>
      </c>
      <c r="E10" s="172" t="s">
        <v>1872</v>
      </c>
      <c r="F10" s="172"/>
      <c r="G10" s="172"/>
      <c r="H10" s="172"/>
      <c r="I10" s="172"/>
      <c r="J10" s="172" t="s">
        <v>313</v>
      </c>
      <c r="K10" s="172" t="s">
        <v>313</v>
      </c>
      <c r="L10" s="172" t="s">
        <v>1873</v>
      </c>
      <c r="M10" s="172"/>
      <c r="N10" s="172"/>
      <c r="O10" s="172"/>
      <c r="P10" s="172"/>
      <c r="Q10" s="172"/>
      <c r="R10" s="172"/>
      <c r="S10" s="172"/>
      <c r="T10" s="172"/>
    </row>
    <row r="11" spans="1:20" x14ac:dyDescent="0.2">
      <c r="A11" s="172" t="s">
        <v>1891</v>
      </c>
      <c r="B11" s="172" t="s">
        <v>1889</v>
      </c>
      <c r="C11" s="172" t="s">
        <v>1892</v>
      </c>
      <c r="D11" s="172">
        <v>321</v>
      </c>
      <c r="E11" s="172" t="s">
        <v>1872</v>
      </c>
      <c r="F11" s="172"/>
      <c r="G11" s="172"/>
      <c r="H11" s="172"/>
      <c r="I11" s="172"/>
      <c r="J11" s="172" t="s">
        <v>313</v>
      </c>
      <c r="K11" s="172" t="s">
        <v>313</v>
      </c>
      <c r="L11" s="172" t="s">
        <v>1873</v>
      </c>
      <c r="M11" s="172"/>
      <c r="N11" s="172"/>
      <c r="O11" s="172"/>
      <c r="P11" s="172"/>
      <c r="Q11" s="172"/>
      <c r="R11" s="172"/>
      <c r="S11" s="172"/>
      <c r="T11" s="172"/>
    </row>
    <row r="12" spans="1:20" x14ac:dyDescent="0.2">
      <c r="A12" s="172" t="s">
        <v>1893</v>
      </c>
      <c r="B12" s="172" t="s">
        <v>1889</v>
      </c>
      <c r="C12" s="172" t="s">
        <v>1894</v>
      </c>
      <c r="D12" s="172">
        <v>320</v>
      </c>
      <c r="E12" s="172" t="s">
        <v>1872</v>
      </c>
      <c r="F12" s="172"/>
      <c r="G12" s="172"/>
      <c r="H12" s="172"/>
      <c r="I12" s="172"/>
      <c r="J12" s="172" t="s">
        <v>313</v>
      </c>
      <c r="K12" s="172" t="s">
        <v>313</v>
      </c>
      <c r="L12" s="172" t="s">
        <v>1873</v>
      </c>
      <c r="M12" s="172"/>
      <c r="N12" s="172"/>
      <c r="O12" s="172"/>
      <c r="P12" s="172"/>
      <c r="Q12" s="172"/>
      <c r="R12" s="172"/>
      <c r="S12" s="172"/>
      <c r="T12" s="172"/>
    </row>
    <row r="13" spans="1:20" x14ac:dyDescent="0.2">
      <c r="A13" s="172" t="s">
        <v>1895</v>
      </c>
      <c r="B13" s="172" t="s">
        <v>1889</v>
      </c>
      <c r="C13" s="172" t="s">
        <v>1896</v>
      </c>
      <c r="D13" s="172">
        <v>323</v>
      </c>
      <c r="E13" s="172" t="s">
        <v>1872</v>
      </c>
      <c r="F13" s="172"/>
      <c r="G13" s="172"/>
      <c r="H13" s="172"/>
      <c r="I13" s="172"/>
      <c r="J13" s="172" t="s">
        <v>313</v>
      </c>
      <c r="K13" s="172" t="s">
        <v>313</v>
      </c>
      <c r="L13" s="172" t="s">
        <v>1873</v>
      </c>
      <c r="M13" s="172"/>
      <c r="N13" s="172"/>
      <c r="O13" s="172"/>
      <c r="P13" s="172"/>
      <c r="Q13" s="172"/>
      <c r="R13" s="172"/>
      <c r="S13" s="172"/>
      <c r="T13" s="172"/>
    </row>
    <row r="14" spans="1:20" x14ac:dyDescent="0.2">
      <c r="A14" s="172" t="s">
        <v>810</v>
      </c>
      <c r="B14" s="172" t="s">
        <v>1897</v>
      </c>
      <c r="C14" s="172" t="s">
        <v>1898</v>
      </c>
      <c r="D14" s="172">
        <v>325</v>
      </c>
      <c r="E14" s="172" t="s">
        <v>1872</v>
      </c>
      <c r="F14" s="172"/>
      <c r="G14" s="172"/>
      <c r="H14" s="172"/>
      <c r="I14" s="172"/>
      <c r="J14" s="172" t="s">
        <v>313</v>
      </c>
      <c r="K14" s="172" t="s">
        <v>313</v>
      </c>
      <c r="L14" s="172" t="s">
        <v>1873</v>
      </c>
      <c r="M14" s="172"/>
      <c r="N14" s="172"/>
      <c r="O14" s="172"/>
      <c r="P14" s="172"/>
      <c r="Q14" s="172"/>
      <c r="R14" s="172"/>
      <c r="S14" s="172"/>
      <c r="T14" s="172"/>
    </row>
    <row r="15" spans="1:20" x14ac:dyDescent="0.2">
      <c r="A15" s="172" t="s">
        <v>814</v>
      </c>
      <c r="B15" s="172" t="s">
        <v>1897</v>
      </c>
      <c r="C15" s="172" t="s">
        <v>1899</v>
      </c>
      <c r="D15" s="172">
        <v>327</v>
      </c>
      <c r="E15" s="172" t="s">
        <v>1872</v>
      </c>
      <c r="F15" s="172"/>
      <c r="G15" s="172"/>
      <c r="H15" s="172"/>
      <c r="I15" s="172"/>
      <c r="J15" s="172" t="s">
        <v>313</v>
      </c>
      <c r="K15" s="172" t="s">
        <v>313</v>
      </c>
      <c r="L15" s="172" t="s">
        <v>1873</v>
      </c>
      <c r="M15" s="172"/>
      <c r="N15" s="172"/>
      <c r="O15" s="172"/>
      <c r="P15" s="172"/>
      <c r="Q15" s="172"/>
      <c r="R15" s="172"/>
      <c r="S15" s="172"/>
      <c r="T15" s="172"/>
    </row>
    <row r="16" spans="1:20" x14ac:dyDescent="0.2">
      <c r="A16" s="172" t="s">
        <v>816</v>
      </c>
      <c r="B16" s="172" t="s">
        <v>1897</v>
      </c>
      <c r="C16" s="172" t="s">
        <v>1900</v>
      </c>
      <c r="D16" s="172">
        <v>328</v>
      </c>
      <c r="E16" s="172" t="s">
        <v>1872</v>
      </c>
      <c r="F16" s="172"/>
      <c r="G16" s="172"/>
      <c r="H16" s="172"/>
      <c r="I16" s="172"/>
      <c r="J16" s="172" t="s">
        <v>313</v>
      </c>
      <c r="K16" s="172" t="s">
        <v>313</v>
      </c>
      <c r="L16" s="172" t="s">
        <v>1873</v>
      </c>
      <c r="M16" s="172"/>
      <c r="N16" s="172"/>
      <c r="O16" s="172"/>
      <c r="P16" s="172"/>
      <c r="Q16" s="172"/>
      <c r="R16" s="172"/>
      <c r="S16" s="172"/>
      <c r="T16" s="172"/>
    </row>
    <row r="17" spans="1:20" x14ac:dyDescent="0.2">
      <c r="A17" s="172" t="s">
        <v>1901</v>
      </c>
      <c r="B17" s="172" t="s">
        <v>1902</v>
      </c>
      <c r="C17" s="172" t="s">
        <v>1903</v>
      </c>
      <c r="D17" s="172">
        <v>318</v>
      </c>
      <c r="E17" s="172" t="s">
        <v>1872</v>
      </c>
      <c r="F17" s="172"/>
      <c r="G17" s="172"/>
      <c r="H17" s="172"/>
      <c r="I17" s="172"/>
      <c r="J17" s="172" t="s">
        <v>313</v>
      </c>
      <c r="K17" s="172" t="s">
        <v>313</v>
      </c>
      <c r="L17" s="172" t="s">
        <v>1873</v>
      </c>
      <c r="M17" s="172"/>
      <c r="N17" s="172"/>
      <c r="O17" s="172"/>
      <c r="P17" s="172"/>
      <c r="Q17" s="172"/>
      <c r="R17" s="172"/>
      <c r="S17" s="172"/>
      <c r="T17" s="172"/>
    </row>
    <row r="18" spans="1:20" x14ac:dyDescent="0.2">
      <c r="A18" s="172" t="s">
        <v>1904</v>
      </c>
      <c r="B18" s="172" t="s">
        <v>1902</v>
      </c>
      <c r="C18" s="172" t="s">
        <v>1905</v>
      </c>
      <c r="D18" s="172">
        <v>316</v>
      </c>
      <c r="E18" s="172" t="s">
        <v>1872</v>
      </c>
      <c r="F18" s="172"/>
      <c r="G18" s="172"/>
      <c r="H18" s="172"/>
      <c r="I18" s="172"/>
      <c r="J18" s="172" t="s">
        <v>313</v>
      </c>
      <c r="K18" s="172" t="s">
        <v>313</v>
      </c>
      <c r="L18" s="172" t="s">
        <v>1873</v>
      </c>
      <c r="M18" s="172"/>
      <c r="N18" s="172"/>
      <c r="O18" s="172"/>
      <c r="P18" s="172"/>
      <c r="Q18" s="172"/>
      <c r="R18" s="172"/>
      <c r="S18" s="172"/>
      <c r="T18" s="172"/>
    </row>
    <row r="19" spans="1:20" x14ac:dyDescent="0.2">
      <c r="A19" s="172" t="s">
        <v>1906</v>
      </c>
      <c r="B19" s="172" t="s">
        <v>1902</v>
      </c>
      <c r="C19" s="172" t="s">
        <v>1907</v>
      </c>
      <c r="D19" s="172">
        <v>314</v>
      </c>
      <c r="E19" s="172" t="s">
        <v>1872</v>
      </c>
      <c r="F19" s="172"/>
      <c r="G19" s="172"/>
      <c r="H19" s="172"/>
      <c r="I19" s="172"/>
      <c r="J19" s="172" t="s">
        <v>313</v>
      </c>
      <c r="K19" s="172" t="s">
        <v>313</v>
      </c>
      <c r="L19" s="172" t="s">
        <v>1873</v>
      </c>
      <c r="M19" s="172"/>
      <c r="N19" s="172"/>
      <c r="O19" s="172"/>
      <c r="P19" s="172"/>
      <c r="Q19" s="172"/>
      <c r="R19" s="172"/>
      <c r="S19" s="172"/>
      <c r="T19" s="172"/>
    </row>
    <row r="20" spans="1:20" x14ac:dyDescent="0.2">
      <c r="A20" s="172" t="s">
        <v>1908</v>
      </c>
      <c r="B20" s="172" t="s">
        <v>1902</v>
      </c>
      <c r="C20" s="172" t="s">
        <v>1909</v>
      </c>
      <c r="D20" s="172">
        <v>315</v>
      </c>
      <c r="E20" s="172" t="s">
        <v>1872</v>
      </c>
      <c r="F20" s="172"/>
      <c r="G20" s="172"/>
      <c r="H20" s="172"/>
      <c r="I20" s="172"/>
      <c r="J20" s="172" t="s">
        <v>313</v>
      </c>
      <c r="K20" s="172" t="s">
        <v>313</v>
      </c>
      <c r="L20" s="172" t="s">
        <v>1873</v>
      </c>
      <c r="M20" s="172"/>
      <c r="N20" s="172"/>
      <c r="O20" s="172"/>
      <c r="P20" s="172"/>
      <c r="Q20" s="172"/>
      <c r="R20" s="172"/>
      <c r="S20" s="172"/>
      <c r="T20" s="172"/>
    </row>
    <row r="21" spans="1:20" x14ac:dyDescent="0.2">
      <c r="A21" s="172" t="s">
        <v>1910</v>
      </c>
      <c r="B21" s="172" t="s">
        <v>1902</v>
      </c>
      <c r="C21" s="172" t="s">
        <v>1911</v>
      </c>
      <c r="D21" s="172">
        <v>317</v>
      </c>
      <c r="E21" s="172" t="s">
        <v>1872</v>
      </c>
      <c r="F21" s="172"/>
      <c r="G21" s="172"/>
      <c r="H21" s="172"/>
      <c r="I21" s="172"/>
      <c r="J21" s="172" t="s">
        <v>313</v>
      </c>
      <c r="K21" s="172" t="s">
        <v>313</v>
      </c>
      <c r="L21" s="172" t="s">
        <v>1873</v>
      </c>
      <c r="M21" s="172"/>
      <c r="N21" s="172"/>
      <c r="O21" s="172"/>
      <c r="P21" s="172"/>
      <c r="Q21" s="172"/>
      <c r="R21" s="172"/>
      <c r="S21" s="172"/>
      <c r="T21" s="172"/>
    </row>
    <row r="22" spans="1:20" x14ac:dyDescent="0.2">
      <c r="A22" s="172" t="s">
        <v>1912</v>
      </c>
      <c r="B22" s="172" t="s">
        <v>197</v>
      </c>
      <c r="C22" s="172" t="s">
        <v>1913</v>
      </c>
      <c r="D22" s="172">
        <v>308</v>
      </c>
      <c r="E22" s="172" t="s">
        <v>1872</v>
      </c>
      <c r="F22" s="172"/>
      <c r="G22" s="172"/>
      <c r="H22" s="172"/>
      <c r="I22" s="172"/>
      <c r="J22" s="172" t="s">
        <v>313</v>
      </c>
      <c r="K22" s="172" t="s">
        <v>313</v>
      </c>
      <c r="L22" s="172" t="s">
        <v>1873</v>
      </c>
      <c r="M22" s="172"/>
      <c r="N22" s="172"/>
      <c r="O22" s="172"/>
      <c r="P22" s="172"/>
      <c r="Q22" s="172"/>
      <c r="R22" s="172"/>
      <c r="S22" s="172"/>
      <c r="T22" s="172"/>
    </row>
    <row r="23" spans="1:20" x14ac:dyDescent="0.2">
      <c r="A23" s="172" t="s">
        <v>1115</v>
      </c>
      <c r="B23" s="172" t="s">
        <v>197</v>
      </c>
      <c r="C23" s="172" t="s">
        <v>1914</v>
      </c>
      <c r="D23" s="172">
        <v>305</v>
      </c>
      <c r="E23" s="172" t="s">
        <v>1872</v>
      </c>
      <c r="F23" s="172"/>
      <c r="G23" s="172"/>
      <c r="H23" s="172"/>
      <c r="I23" s="172"/>
      <c r="J23" s="172" t="s">
        <v>313</v>
      </c>
      <c r="K23" s="172" t="s">
        <v>313</v>
      </c>
      <c r="L23" s="172" t="s">
        <v>1873</v>
      </c>
      <c r="M23" s="172"/>
      <c r="N23" s="172"/>
      <c r="O23" s="172"/>
      <c r="P23" s="172"/>
      <c r="Q23" s="172"/>
      <c r="R23" s="172"/>
      <c r="S23" s="172"/>
      <c r="T23" s="172"/>
    </row>
    <row r="24" spans="1:20" x14ac:dyDescent="0.2">
      <c r="A24" s="172" t="s">
        <v>776</v>
      </c>
      <c r="B24" s="172" t="s">
        <v>197</v>
      </c>
      <c r="C24" s="172" t="s">
        <v>1915</v>
      </c>
      <c r="D24" s="172">
        <v>309</v>
      </c>
      <c r="E24" s="172" t="s">
        <v>1872</v>
      </c>
      <c r="F24" s="172"/>
      <c r="G24" s="172"/>
      <c r="H24" s="172"/>
      <c r="I24" s="172"/>
      <c r="J24" s="172" t="s">
        <v>313</v>
      </c>
      <c r="K24" s="172" t="s">
        <v>313</v>
      </c>
      <c r="L24" s="172" t="s">
        <v>1873</v>
      </c>
      <c r="M24" s="172"/>
      <c r="N24" s="172"/>
      <c r="O24" s="172"/>
      <c r="P24" s="172"/>
      <c r="Q24" s="172"/>
      <c r="R24" s="172"/>
      <c r="S24" s="172"/>
      <c r="T24" s="172"/>
    </row>
    <row r="25" spans="1:20" x14ac:dyDescent="0.2">
      <c r="A25" s="172" t="s">
        <v>778</v>
      </c>
      <c r="B25" s="172" t="s">
        <v>197</v>
      </c>
      <c r="C25" s="172" t="s">
        <v>1916</v>
      </c>
      <c r="D25" s="172">
        <v>310</v>
      </c>
      <c r="E25" s="172" t="s">
        <v>1872</v>
      </c>
      <c r="F25" s="172"/>
      <c r="G25" s="172"/>
      <c r="H25" s="172"/>
      <c r="I25" s="172"/>
      <c r="J25" s="172" t="s">
        <v>313</v>
      </c>
      <c r="K25" s="172" t="s">
        <v>313</v>
      </c>
      <c r="L25" s="172" t="s">
        <v>1873</v>
      </c>
      <c r="M25" s="172"/>
      <c r="N25" s="172"/>
      <c r="O25" s="172"/>
      <c r="P25" s="172"/>
      <c r="Q25" s="172"/>
      <c r="R25" s="172"/>
      <c r="S25" s="172"/>
      <c r="T25" s="172"/>
    </row>
    <row r="26" spans="1:20" x14ac:dyDescent="0.2">
      <c r="A26" s="172" t="s">
        <v>798</v>
      </c>
      <c r="B26" s="172" t="s">
        <v>1917</v>
      </c>
      <c r="C26" s="172" t="s">
        <v>1918</v>
      </c>
      <c r="D26" s="172">
        <v>319</v>
      </c>
      <c r="E26" s="172" t="s">
        <v>1872</v>
      </c>
      <c r="F26" s="172"/>
      <c r="G26" s="172"/>
      <c r="H26" s="172"/>
      <c r="I26" s="172"/>
      <c r="J26" s="172" t="s">
        <v>313</v>
      </c>
      <c r="K26" s="172" t="s">
        <v>313</v>
      </c>
      <c r="L26" s="172" t="s">
        <v>1873</v>
      </c>
      <c r="M26" s="172"/>
      <c r="N26" s="172"/>
      <c r="O26" s="172"/>
      <c r="P26" s="172"/>
      <c r="Q26" s="172"/>
      <c r="R26" s="172"/>
      <c r="S26" s="172"/>
      <c r="T26" s="172"/>
    </row>
    <row r="27" spans="1:20" x14ac:dyDescent="0.2">
      <c r="A27" s="172" t="s">
        <v>822</v>
      </c>
      <c r="B27" s="172" t="s">
        <v>1919</v>
      </c>
      <c r="C27" s="172" t="s">
        <v>1920</v>
      </c>
      <c r="D27" s="172">
        <v>331</v>
      </c>
      <c r="E27" s="172" t="s">
        <v>1872</v>
      </c>
      <c r="F27" s="172"/>
      <c r="G27" s="172"/>
      <c r="H27" s="172"/>
      <c r="I27" s="172"/>
      <c r="J27" s="172" t="s">
        <v>313</v>
      </c>
      <c r="K27" s="172" t="s">
        <v>313</v>
      </c>
      <c r="L27" s="172" t="s">
        <v>1873</v>
      </c>
      <c r="M27" s="172"/>
      <c r="N27" s="172"/>
      <c r="O27" s="172"/>
      <c r="P27" s="172"/>
      <c r="Q27" s="172"/>
      <c r="R27" s="172"/>
      <c r="S27" s="172"/>
      <c r="T27" s="172"/>
    </row>
    <row r="28" spans="1:20" x14ac:dyDescent="0.2">
      <c r="A28" s="172" t="s">
        <v>1921</v>
      </c>
      <c r="B28" s="172" t="s">
        <v>1919</v>
      </c>
      <c r="C28" s="172" t="s">
        <v>1922</v>
      </c>
      <c r="D28" s="172">
        <v>329</v>
      </c>
      <c r="E28" s="172" t="s">
        <v>1872</v>
      </c>
      <c r="F28" s="172"/>
      <c r="G28" s="172"/>
      <c r="H28" s="172"/>
      <c r="I28" s="172"/>
      <c r="J28" s="172" t="s">
        <v>313</v>
      </c>
      <c r="K28" s="172" t="s">
        <v>313</v>
      </c>
      <c r="L28" s="172" t="s">
        <v>1873</v>
      </c>
      <c r="M28" s="172"/>
      <c r="N28" s="172"/>
      <c r="O28" s="172"/>
      <c r="P28" s="172"/>
      <c r="Q28" s="172"/>
      <c r="R28" s="172"/>
      <c r="S28" s="172"/>
      <c r="T28" s="172"/>
    </row>
    <row r="29" spans="1:20" x14ac:dyDescent="0.2">
      <c r="A29" s="172" t="s">
        <v>1923</v>
      </c>
      <c r="B29" s="172" t="s">
        <v>1919</v>
      </c>
      <c r="C29" s="172" t="s">
        <v>1924</v>
      </c>
      <c r="D29" s="172">
        <v>330</v>
      </c>
      <c r="E29" s="172" t="s">
        <v>1872</v>
      </c>
      <c r="F29" s="172"/>
      <c r="G29" s="172"/>
      <c r="H29" s="172"/>
      <c r="I29" s="172"/>
      <c r="J29" s="172" t="s">
        <v>313</v>
      </c>
      <c r="K29" s="172" t="s">
        <v>313</v>
      </c>
      <c r="L29" s="172" t="s">
        <v>1873</v>
      </c>
      <c r="M29" s="172"/>
      <c r="N29" s="172"/>
      <c r="O29" s="172"/>
      <c r="P29" s="172"/>
      <c r="Q29" s="172"/>
      <c r="R29" s="172"/>
      <c r="S29" s="172"/>
      <c r="T29" s="172"/>
    </row>
    <row r="30" spans="1:20" ht="22" x14ac:dyDescent="0.2">
      <c r="A30" s="260"/>
      <c r="B30" s="260"/>
      <c r="C30" s="260"/>
      <c r="D30" s="260"/>
      <c r="E30" s="260"/>
      <c r="F30" s="260"/>
      <c r="G30" s="260"/>
      <c r="H30" s="260"/>
      <c r="I30" s="260"/>
      <c r="J30" s="260"/>
      <c r="K30" s="260"/>
      <c r="L30" s="260"/>
      <c r="M30" s="238"/>
      <c r="N30" s="238"/>
      <c r="O30" s="238"/>
    </row>
    <row r="31" spans="1:20" x14ac:dyDescent="0.2">
      <c r="B31" s="172" t="s">
        <v>1556</v>
      </c>
      <c r="C31" s="172" t="s">
        <v>1832</v>
      </c>
      <c r="D31" s="261">
        <v>270</v>
      </c>
      <c r="E31" s="146" t="s">
        <v>296</v>
      </c>
      <c r="F31" s="172"/>
      <c r="G31" s="172"/>
      <c r="H31" s="172"/>
      <c r="I31" s="262">
        <v>45202</v>
      </c>
      <c r="J31" s="146" t="s">
        <v>1925</v>
      </c>
      <c r="K31" s="146" t="s">
        <v>1925</v>
      </c>
      <c r="L31" s="172" t="s">
        <v>1833</v>
      </c>
      <c r="N31" s="172">
        <v>56</v>
      </c>
      <c r="P31" s="172">
        <v>0</v>
      </c>
      <c r="Q31" s="172">
        <v>0</v>
      </c>
    </row>
    <row r="32" spans="1:20" x14ac:dyDescent="0.2">
      <c r="B32" s="172" t="s">
        <v>1556</v>
      </c>
      <c r="C32" s="172" t="s">
        <v>1834</v>
      </c>
      <c r="D32" s="261">
        <v>275</v>
      </c>
      <c r="E32" s="146" t="s">
        <v>296</v>
      </c>
      <c r="F32" s="172" t="s">
        <v>1835</v>
      </c>
      <c r="G32" s="172">
        <v>1</v>
      </c>
      <c r="H32" s="172">
        <v>1</v>
      </c>
      <c r="I32" s="172" t="s">
        <v>1836</v>
      </c>
      <c r="J32" s="146" t="s">
        <v>1925</v>
      </c>
      <c r="K32" s="146" t="s">
        <v>1925</v>
      </c>
      <c r="L32" s="172" t="s">
        <v>1833</v>
      </c>
      <c r="N32" s="172">
        <v>56</v>
      </c>
      <c r="P32" s="172">
        <v>0</v>
      </c>
      <c r="Q32" s="172">
        <v>0</v>
      </c>
    </row>
    <row r="33" spans="2:19" x14ac:dyDescent="0.2">
      <c r="B33" s="172" t="s">
        <v>1556</v>
      </c>
      <c r="C33" s="172" t="s">
        <v>1837</v>
      </c>
      <c r="D33" s="261">
        <v>277</v>
      </c>
      <c r="E33" s="146" t="s">
        <v>296</v>
      </c>
      <c r="F33" s="172" t="s">
        <v>1835</v>
      </c>
      <c r="G33" s="172">
        <v>2</v>
      </c>
      <c r="H33" s="172">
        <v>1</v>
      </c>
      <c r="I33" s="172" t="s">
        <v>1836</v>
      </c>
      <c r="J33" s="146" t="s">
        <v>1925</v>
      </c>
      <c r="K33" s="146" t="s">
        <v>1925</v>
      </c>
      <c r="L33" s="172" t="s">
        <v>1833</v>
      </c>
      <c r="N33" s="172">
        <v>75</v>
      </c>
      <c r="P33" s="172">
        <v>0</v>
      </c>
      <c r="Q33" s="172">
        <v>0</v>
      </c>
    </row>
    <row r="34" spans="2:19" x14ac:dyDescent="0.2">
      <c r="B34" s="172" t="s">
        <v>1010</v>
      </c>
      <c r="C34" s="172" t="s">
        <v>1838</v>
      </c>
      <c r="D34" s="261">
        <v>269</v>
      </c>
      <c r="E34" s="146" t="s">
        <v>296</v>
      </c>
      <c r="F34" s="172" t="s">
        <v>1835</v>
      </c>
      <c r="G34" s="172">
        <v>1</v>
      </c>
      <c r="H34" s="172">
        <v>1</v>
      </c>
      <c r="I34" s="172" t="s">
        <v>1836</v>
      </c>
      <c r="J34" s="146" t="s">
        <v>1925</v>
      </c>
      <c r="K34" s="146" t="s">
        <v>1925</v>
      </c>
      <c r="L34" s="172" t="s">
        <v>1833</v>
      </c>
      <c r="N34" s="172">
        <v>55</v>
      </c>
      <c r="P34" s="172">
        <v>0</v>
      </c>
      <c r="Q34" s="172">
        <v>0</v>
      </c>
    </row>
    <row r="35" spans="2:19" x14ac:dyDescent="0.2">
      <c r="B35" s="172" t="s">
        <v>1010</v>
      </c>
      <c r="C35" s="172" t="s">
        <v>1839</v>
      </c>
      <c r="D35" s="261">
        <v>272</v>
      </c>
      <c r="E35" s="146" t="s">
        <v>296</v>
      </c>
      <c r="F35" s="172" t="s">
        <v>1835</v>
      </c>
      <c r="G35" s="172">
        <v>3</v>
      </c>
      <c r="H35" s="172">
        <v>2</v>
      </c>
      <c r="I35" s="172" t="s">
        <v>1836</v>
      </c>
      <c r="J35" s="146" t="s">
        <v>1925</v>
      </c>
      <c r="K35" s="146" t="s">
        <v>1925</v>
      </c>
      <c r="L35" s="172" t="s">
        <v>1833</v>
      </c>
      <c r="N35" s="172">
        <v>63</v>
      </c>
      <c r="P35" s="172">
        <v>0</v>
      </c>
      <c r="Q35" s="172">
        <v>0</v>
      </c>
    </row>
    <row r="36" spans="2:19" x14ac:dyDescent="0.2">
      <c r="B36" s="172" t="s">
        <v>1010</v>
      </c>
      <c r="C36" s="172" t="s">
        <v>1840</v>
      </c>
      <c r="D36" s="261">
        <v>273</v>
      </c>
      <c r="E36" s="146" t="s">
        <v>296</v>
      </c>
      <c r="F36" s="172" t="s">
        <v>1835</v>
      </c>
      <c r="G36" s="172">
        <v>3</v>
      </c>
      <c r="H36" s="172">
        <v>1</v>
      </c>
      <c r="I36" s="172" t="s">
        <v>1836</v>
      </c>
      <c r="J36" s="146" t="s">
        <v>1925</v>
      </c>
      <c r="K36" s="146" t="s">
        <v>1925</v>
      </c>
      <c r="L36" s="172" t="s">
        <v>1833</v>
      </c>
      <c r="N36" s="172">
        <v>101</v>
      </c>
      <c r="P36" s="172">
        <v>0</v>
      </c>
      <c r="Q36" s="172">
        <v>0</v>
      </c>
    </row>
    <row r="37" spans="2:19" x14ac:dyDescent="0.2">
      <c r="B37" s="172" t="s">
        <v>1010</v>
      </c>
      <c r="C37" s="172" t="s">
        <v>1841</v>
      </c>
      <c r="D37" s="261">
        <v>274</v>
      </c>
      <c r="E37" s="146" t="s">
        <v>296</v>
      </c>
      <c r="F37" s="172" t="s">
        <v>1835</v>
      </c>
      <c r="G37" s="172">
        <v>2</v>
      </c>
      <c r="H37" s="172">
        <v>2</v>
      </c>
      <c r="I37" s="172" t="s">
        <v>1836</v>
      </c>
      <c r="J37" s="146" t="s">
        <v>1925</v>
      </c>
      <c r="K37" s="146" t="s">
        <v>1925</v>
      </c>
      <c r="L37" s="172" t="s">
        <v>1833</v>
      </c>
      <c r="N37" s="172">
        <v>70</v>
      </c>
      <c r="P37" s="172">
        <v>0</v>
      </c>
      <c r="Q37" s="172">
        <v>0</v>
      </c>
    </row>
    <row r="38" spans="2:19" x14ac:dyDescent="0.2">
      <c r="B38" s="172" t="s">
        <v>882</v>
      </c>
      <c r="C38" s="172" t="s">
        <v>1842</v>
      </c>
      <c r="D38" s="261">
        <v>279</v>
      </c>
      <c r="E38" s="146" t="s">
        <v>880</v>
      </c>
      <c r="F38" s="172" t="s">
        <v>1835</v>
      </c>
      <c r="G38" s="172">
        <v>1</v>
      </c>
      <c r="H38" s="172">
        <v>2</v>
      </c>
      <c r="I38" s="172" t="s">
        <v>1843</v>
      </c>
      <c r="J38" s="146" t="s">
        <v>1925</v>
      </c>
      <c r="K38" s="146" t="s">
        <v>1925</v>
      </c>
      <c r="L38" s="172" t="s">
        <v>1833</v>
      </c>
      <c r="N38" s="172">
        <v>63</v>
      </c>
      <c r="P38" s="172">
        <v>0</v>
      </c>
      <c r="Q38" s="172">
        <v>0</v>
      </c>
    </row>
    <row r="39" spans="2:19" x14ac:dyDescent="0.2">
      <c r="B39" s="172" t="s">
        <v>882</v>
      </c>
      <c r="C39" s="172" t="s">
        <v>1844</v>
      </c>
      <c r="D39" s="261">
        <v>280</v>
      </c>
      <c r="E39" s="146" t="s">
        <v>880</v>
      </c>
      <c r="F39" s="172" t="s">
        <v>1845</v>
      </c>
      <c r="G39" s="172">
        <v>2</v>
      </c>
      <c r="H39" s="172">
        <v>2</v>
      </c>
      <c r="I39" s="172" t="s">
        <v>1843</v>
      </c>
      <c r="J39" s="146" t="s">
        <v>1925</v>
      </c>
      <c r="K39" s="146" t="s">
        <v>1925</v>
      </c>
      <c r="L39" s="172" t="s">
        <v>1833</v>
      </c>
      <c r="N39" s="172">
        <v>117</v>
      </c>
      <c r="P39" s="172">
        <v>0</v>
      </c>
      <c r="Q39" s="172">
        <v>0</v>
      </c>
    </row>
    <row r="40" spans="2:19" x14ac:dyDescent="0.2">
      <c r="B40" s="172" t="s">
        <v>882</v>
      </c>
      <c r="C40" s="172" t="s">
        <v>1846</v>
      </c>
      <c r="D40" s="261">
        <v>289</v>
      </c>
      <c r="E40" s="146" t="s">
        <v>880</v>
      </c>
      <c r="F40" s="172" t="s">
        <v>1835</v>
      </c>
      <c r="G40" s="172">
        <v>1</v>
      </c>
      <c r="H40" s="172">
        <v>1</v>
      </c>
      <c r="I40" s="172" t="s">
        <v>1843</v>
      </c>
      <c r="J40" s="146" t="s">
        <v>1925</v>
      </c>
      <c r="K40" s="146" t="s">
        <v>1925</v>
      </c>
      <c r="L40" s="172" t="s">
        <v>1833</v>
      </c>
      <c r="N40" s="172">
        <v>93</v>
      </c>
      <c r="P40" s="172">
        <v>0</v>
      </c>
      <c r="Q40" s="172">
        <v>0</v>
      </c>
    </row>
    <row r="41" spans="2:19" x14ac:dyDescent="0.2">
      <c r="B41" s="261" t="s">
        <v>880</v>
      </c>
      <c r="C41" s="261" t="s">
        <v>1847</v>
      </c>
      <c r="D41" s="261">
        <v>278</v>
      </c>
      <c r="E41" s="146" t="s">
        <v>880</v>
      </c>
      <c r="F41" s="261" t="s">
        <v>1835</v>
      </c>
      <c r="G41" s="261">
        <v>1</v>
      </c>
      <c r="H41" s="261">
        <v>1</v>
      </c>
      <c r="I41" s="261" t="s">
        <v>1843</v>
      </c>
      <c r="J41" s="146" t="s">
        <v>1925</v>
      </c>
      <c r="K41" s="146" t="s">
        <v>1925</v>
      </c>
      <c r="L41" s="261" t="s">
        <v>1833</v>
      </c>
      <c r="N41" s="261">
        <v>54</v>
      </c>
      <c r="P41" s="261">
        <v>0</v>
      </c>
      <c r="Q41" s="261">
        <v>0</v>
      </c>
    </row>
    <row r="42" spans="2:19" x14ac:dyDescent="0.2">
      <c r="B42" s="172" t="s">
        <v>880</v>
      </c>
      <c r="C42" s="172" t="s">
        <v>1848</v>
      </c>
      <c r="D42" s="261">
        <v>281</v>
      </c>
      <c r="E42" s="146" t="s">
        <v>880</v>
      </c>
      <c r="F42" s="172" t="s">
        <v>1835</v>
      </c>
      <c r="G42" s="172">
        <v>2</v>
      </c>
      <c r="H42" s="172">
        <v>2</v>
      </c>
      <c r="I42" s="172" t="s">
        <v>1843</v>
      </c>
      <c r="J42" s="146" t="s">
        <v>1925</v>
      </c>
      <c r="K42" s="146" t="s">
        <v>1925</v>
      </c>
      <c r="L42" s="172" t="s">
        <v>1833</v>
      </c>
      <c r="N42" s="172">
        <v>114</v>
      </c>
      <c r="P42" s="172">
        <v>0</v>
      </c>
      <c r="Q42" s="172">
        <v>0</v>
      </c>
    </row>
    <row r="43" spans="2:19" x14ac:dyDescent="0.2">
      <c r="B43" s="172" t="s">
        <v>880</v>
      </c>
      <c r="C43" s="172" t="s">
        <v>1849</v>
      </c>
      <c r="D43" s="261">
        <v>284</v>
      </c>
      <c r="E43" s="146" t="s">
        <v>880</v>
      </c>
      <c r="F43" s="172" t="s">
        <v>1845</v>
      </c>
      <c r="G43" s="172">
        <v>1</v>
      </c>
      <c r="H43" s="172">
        <v>2</v>
      </c>
      <c r="I43" s="172" t="s">
        <v>1843</v>
      </c>
      <c r="J43" s="146" t="s">
        <v>1925</v>
      </c>
      <c r="K43" s="146" t="s">
        <v>1925</v>
      </c>
      <c r="L43" s="172" t="s">
        <v>1833</v>
      </c>
      <c r="N43" s="172">
        <v>76</v>
      </c>
      <c r="P43" s="172">
        <v>0</v>
      </c>
      <c r="Q43" s="172">
        <v>0</v>
      </c>
    </row>
    <row r="44" spans="2:19" x14ac:dyDescent="0.2">
      <c r="B44" s="172"/>
      <c r="C44" s="172"/>
      <c r="D44" s="261"/>
      <c r="E44" s="146" t="s">
        <v>880</v>
      </c>
      <c r="F44" s="172"/>
      <c r="G44" s="172"/>
      <c r="H44" s="172"/>
      <c r="I44" s="172"/>
      <c r="J44" s="146" t="s">
        <v>1925</v>
      </c>
      <c r="K44" s="146" t="s">
        <v>1925</v>
      </c>
      <c r="L44" s="172"/>
      <c r="N44" s="172"/>
      <c r="P44" s="172"/>
      <c r="Q44" s="172"/>
    </row>
    <row r="45" spans="2:19" x14ac:dyDescent="0.2">
      <c r="B45" s="172" t="s">
        <v>880</v>
      </c>
      <c r="C45" s="172" t="s">
        <v>1851</v>
      </c>
      <c r="D45" s="261">
        <v>294</v>
      </c>
      <c r="E45" s="146" t="s">
        <v>880</v>
      </c>
      <c r="F45" s="172" t="s">
        <v>1835</v>
      </c>
      <c r="G45" s="172">
        <v>1</v>
      </c>
      <c r="H45" s="172">
        <v>2</v>
      </c>
      <c r="I45" s="172" t="s">
        <v>1843</v>
      </c>
      <c r="J45" s="146" t="s">
        <v>1925</v>
      </c>
      <c r="K45" s="146" t="s">
        <v>1925</v>
      </c>
      <c r="L45" s="172" t="s">
        <v>1833</v>
      </c>
      <c r="N45" s="172">
        <v>127</v>
      </c>
      <c r="P45" s="172">
        <v>0</v>
      </c>
      <c r="Q45" s="172">
        <v>0</v>
      </c>
    </row>
    <row r="46" spans="2:19" x14ac:dyDescent="0.2">
      <c r="B46" s="172" t="s">
        <v>880</v>
      </c>
      <c r="C46" s="172" t="s">
        <v>1852</v>
      </c>
      <c r="D46" s="261">
        <v>295</v>
      </c>
      <c r="E46" s="146" t="s">
        <v>880</v>
      </c>
      <c r="F46" s="172" t="s">
        <v>1845</v>
      </c>
      <c r="G46" s="172">
        <v>1</v>
      </c>
      <c r="H46" s="172">
        <v>2</v>
      </c>
      <c r="I46" s="172" t="s">
        <v>1843</v>
      </c>
      <c r="J46" s="146" t="s">
        <v>1925</v>
      </c>
      <c r="K46" s="146" t="s">
        <v>1925</v>
      </c>
      <c r="L46" s="172" t="s">
        <v>1833</v>
      </c>
      <c r="N46" s="172">
        <v>81</v>
      </c>
      <c r="P46" s="172">
        <v>0</v>
      </c>
      <c r="Q46" s="172">
        <v>0</v>
      </c>
    </row>
    <row r="47" spans="2:19" x14ac:dyDescent="0.2">
      <c r="B47" s="172" t="s">
        <v>882</v>
      </c>
      <c r="C47" s="172" t="s">
        <v>1853</v>
      </c>
      <c r="D47" s="261">
        <v>298</v>
      </c>
      <c r="E47" s="146" t="s">
        <v>880</v>
      </c>
      <c r="F47" s="172" t="s">
        <v>1845</v>
      </c>
      <c r="G47" s="172">
        <v>1</v>
      </c>
      <c r="H47" s="172">
        <v>1</v>
      </c>
      <c r="I47" s="172" t="s">
        <v>1843</v>
      </c>
      <c r="J47" s="146" t="s">
        <v>1925</v>
      </c>
      <c r="K47" s="146" t="s">
        <v>1925</v>
      </c>
      <c r="L47" s="172" t="s">
        <v>1833</v>
      </c>
      <c r="N47" s="172">
        <v>63</v>
      </c>
      <c r="P47" s="172">
        <v>0</v>
      </c>
      <c r="Q47" s="172">
        <v>0</v>
      </c>
    </row>
    <row r="48" spans="2:19" x14ac:dyDescent="0.2">
      <c r="B48" s="172" t="s">
        <v>1010</v>
      </c>
      <c r="C48" s="172" t="s">
        <v>1854</v>
      </c>
      <c r="D48" s="267">
        <v>300</v>
      </c>
      <c r="E48" s="146" t="s">
        <v>296</v>
      </c>
      <c r="F48" s="172"/>
      <c r="G48" s="172"/>
      <c r="H48" s="172"/>
      <c r="I48" s="262">
        <v>45361</v>
      </c>
      <c r="J48" s="146" t="s">
        <v>1925</v>
      </c>
      <c r="K48" s="146" t="s">
        <v>1925</v>
      </c>
      <c r="L48" s="172" t="s">
        <v>1833</v>
      </c>
      <c r="N48" s="172">
        <v>120</v>
      </c>
      <c r="O48" s="146">
        <v>0</v>
      </c>
      <c r="P48" s="172">
        <v>0</v>
      </c>
      <c r="Q48" s="172">
        <v>120</v>
      </c>
      <c r="R48" s="146">
        <v>0</v>
      </c>
      <c r="S48" s="146">
        <v>0</v>
      </c>
    </row>
    <row r="49" spans="2:19" x14ac:dyDescent="0.2">
      <c r="B49" s="172" t="s">
        <v>1010</v>
      </c>
      <c r="C49" s="172" t="s">
        <v>1855</v>
      </c>
      <c r="D49" s="267">
        <v>301</v>
      </c>
      <c r="E49" s="146" t="s">
        <v>296</v>
      </c>
      <c r="F49" s="172" t="s">
        <v>1845</v>
      </c>
      <c r="G49" s="172">
        <v>1</v>
      </c>
      <c r="H49" s="172">
        <v>1</v>
      </c>
      <c r="I49" s="262">
        <v>45361</v>
      </c>
      <c r="J49" s="146" t="s">
        <v>1925</v>
      </c>
      <c r="K49" s="146" t="s">
        <v>1925</v>
      </c>
      <c r="L49" s="172" t="s">
        <v>1833</v>
      </c>
      <c r="N49" s="172">
        <v>84</v>
      </c>
      <c r="O49" s="146">
        <v>0</v>
      </c>
      <c r="P49" s="172">
        <v>0</v>
      </c>
      <c r="Q49" s="172">
        <v>84</v>
      </c>
      <c r="R49" s="146">
        <v>0</v>
      </c>
      <c r="S49" s="146">
        <v>0</v>
      </c>
    </row>
    <row r="50" spans="2:19" x14ac:dyDescent="0.2">
      <c r="B50" s="172" t="s">
        <v>1556</v>
      </c>
      <c r="C50" s="172" t="s">
        <v>1856</v>
      </c>
      <c r="D50" s="267">
        <v>302</v>
      </c>
      <c r="E50" s="146" t="s">
        <v>296</v>
      </c>
      <c r="F50" s="172" t="s">
        <v>1845</v>
      </c>
      <c r="G50" s="172"/>
      <c r="H50" s="172"/>
      <c r="I50" s="172" t="s">
        <v>1129</v>
      </c>
      <c r="J50" s="146" t="s">
        <v>1925</v>
      </c>
      <c r="K50" s="146" t="s">
        <v>1925</v>
      </c>
      <c r="L50" s="172" t="s">
        <v>1833</v>
      </c>
      <c r="N50" s="172">
        <v>38</v>
      </c>
      <c r="O50" s="146">
        <v>0</v>
      </c>
      <c r="P50" s="172">
        <v>0</v>
      </c>
      <c r="Q50" s="172">
        <v>38</v>
      </c>
      <c r="R50" s="146">
        <v>0</v>
      </c>
      <c r="S50" s="146">
        <v>0</v>
      </c>
    </row>
    <row r="51" spans="2:19" x14ac:dyDescent="0.2">
      <c r="B51" s="172" t="s">
        <v>1556</v>
      </c>
      <c r="C51" s="172" t="s">
        <v>1857</v>
      </c>
      <c r="D51" s="267">
        <v>303</v>
      </c>
      <c r="E51" s="146" t="s">
        <v>296</v>
      </c>
      <c r="F51" s="172" t="s">
        <v>1845</v>
      </c>
      <c r="G51" s="172"/>
      <c r="H51" s="172"/>
      <c r="I51" s="172" t="s">
        <v>1129</v>
      </c>
      <c r="J51" s="146" t="s">
        <v>1925</v>
      </c>
      <c r="K51" s="146" t="s">
        <v>1925</v>
      </c>
      <c r="L51" s="172" t="s">
        <v>1833</v>
      </c>
      <c r="N51" s="172">
        <v>51</v>
      </c>
      <c r="O51" s="146">
        <v>0</v>
      </c>
      <c r="P51" s="172">
        <v>0</v>
      </c>
      <c r="Q51" s="172">
        <v>51</v>
      </c>
      <c r="R51" s="146">
        <v>0</v>
      </c>
      <c r="S51" s="146">
        <v>0</v>
      </c>
    </row>
    <row r="52" spans="2:19" x14ac:dyDescent="0.2">
      <c r="B52" s="172" t="s">
        <v>882</v>
      </c>
      <c r="C52" s="172" t="s">
        <v>1858</v>
      </c>
      <c r="D52" s="267">
        <v>297</v>
      </c>
      <c r="E52" s="146" t="s">
        <v>296</v>
      </c>
      <c r="F52" s="172" t="s">
        <v>1845</v>
      </c>
      <c r="G52" s="172">
        <v>1</v>
      </c>
      <c r="H52" s="172">
        <v>2</v>
      </c>
      <c r="I52" s="172" t="s">
        <v>1129</v>
      </c>
      <c r="J52" s="146" t="s">
        <v>1925</v>
      </c>
      <c r="K52" s="146" t="s">
        <v>1925</v>
      </c>
      <c r="L52" s="172" t="s">
        <v>1833</v>
      </c>
      <c r="N52" s="172">
        <v>66</v>
      </c>
      <c r="O52" s="146">
        <v>0</v>
      </c>
      <c r="P52" s="172">
        <v>0</v>
      </c>
      <c r="Q52" s="172">
        <v>66</v>
      </c>
      <c r="R52" s="146">
        <v>0</v>
      </c>
      <c r="S52" s="146">
        <v>0</v>
      </c>
    </row>
    <row r="53" spans="2:19" x14ac:dyDescent="0.2">
      <c r="B53" s="172" t="s">
        <v>1556</v>
      </c>
      <c r="C53" s="172" t="s">
        <v>1859</v>
      </c>
      <c r="D53" s="172">
        <v>201</v>
      </c>
      <c r="E53" s="146" t="s">
        <v>296</v>
      </c>
      <c r="F53" s="172" t="s">
        <v>1835</v>
      </c>
      <c r="G53" s="172">
        <v>2</v>
      </c>
      <c r="H53" s="172">
        <v>1</v>
      </c>
      <c r="I53" s="172" t="s">
        <v>1836</v>
      </c>
      <c r="J53" s="146" t="s">
        <v>1925</v>
      </c>
      <c r="K53" s="146" t="s">
        <v>1925</v>
      </c>
      <c r="L53" s="172" t="s">
        <v>1860</v>
      </c>
      <c r="N53" s="172">
        <v>97</v>
      </c>
      <c r="P53" s="172">
        <v>0</v>
      </c>
      <c r="Q53" s="172">
        <v>1</v>
      </c>
    </row>
    <row r="54" spans="2:19" x14ac:dyDescent="0.2">
      <c r="B54" s="172" t="s">
        <v>1556</v>
      </c>
      <c r="C54" s="172" t="s">
        <v>1832</v>
      </c>
      <c r="D54" s="172">
        <v>270</v>
      </c>
      <c r="E54" s="146" t="s">
        <v>296</v>
      </c>
      <c r="F54" s="172"/>
      <c r="G54" s="172"/>
      <c r="H54" s="172"/>
      <c r="I54" s="262">
        <v>45202</v>
      </c>
      <c r="J54" s="146" t="s">
        <v>1925</v>
      </c>
      <c r="K54" s="146" t="s">
        <v>1925</v>
      </c>
      <c r="L54" s="172" t="s">
        <v>1860</v>
      </c>
      <c r="N54" s="172">
        <v>120</v>
      </c>
      <c r="P54" s="172">
        <v>0</v>
      </c>
      <c r="Q54" s="172">
        <v>0</v>
      </c>
    </row>
    <row r="55" spans="2:19" x14ac:dyDescent="0.2">
      <c r="B55" s="172" t="s">
        <v>1556</v>
      </c>
      <c r="C55" s="172" t="s">
        <v>1834</v>
      </c>
      <c r="D55" s="172">
        <v>275</v>
      </c>
      <c r="E55" s="146" t="s">
        <v>296</v>
      </c>
      <c r="F55" s="172" t="s">
        <v>1835</v>
      </c>
      <c r="G55" s="172">
        <v>1</v>
      </c>
      <c r="H55" s="172">
        <v>1</v>
      </c>
      <c r="I55" s="172" t="s">
        <v>1836</v>
      </c>
      <c r="J55" s="146" t="s">
        <v>1925</v>
      </c>
      <c r="K55" s="146" t="s">
        <v>1925</v>
      </c>
      <c r="L55" s="172" t="s">
        <v>1860</v>
      </c>
      <c r="N55" s="172">
        <v>67</v>
      </c>
      <c r="P55" s="172">
        <v>1</v>
      </c>
      <c r="Q55" s="172">
        <v>1</v>
      </c>
    </row>
    <row r="56" spans="2:19" x14ac:dyDescent="0.2">
      <c r="B56" s="172" t="s">
        <v>1556</v>
      </c>
      <c r="C56" s="172" t="s">
        <v>1837</v>
      </c>
      <c r="D56" s="172">
        <v>277</v>
      </c>
      <c r="E56" s="146" t="s">
        <v>296</v>
      </c>
      <c r="F56" s="172" t="s">
        <v>1835</v>
      </c>
      <c r="G56" s="172">
        <v>2</v>
      </c>
      <c r="H56" s="172">
        <v>1</v>
      </c>
      <c r="I56" s="172" t="s">
        <v>1836</v>
      </c>
      <c r="J56" s="146" t="s">
        <v>1925</v>
      </c>
      <c r="K56" s="146" t="s">
        <v>1925</v>
      </c>
      <c r="L56" s="172" t="s">
        <v>1860</v>
      </c>
      <c r="N56" s="172">
        <v>103</v>
      </c>
      <c r="P56" s="172">
        <v>1</v>
      </c>
      <c r="Q56" s="172">
        <v>1</v>
      </c>
    </row>
    <row r="57" spans="2:19" x14ac:dyDescent="0.2">
      <c r="B57" s="172" t="s">
        <v>1010</v>
      </c>
      <c r="C57" s="172" t="s">
        <v>1838</v>
      </c>
      <c r="D57" s="172">
        <v>269</v>
      </c>
      <c r="E57" s="146" t="s">
        <v>296</v>
      </c>
      <c r="F57" s="172" t="s">
        <v>1835</v>
      </c>
      <c r="G57" s="172">
        <v>1</v>
      </c>
      <c r="H57" s="172">
        <v>1</v>
      </c>
      <c r="I57" s="172" t="s">
        <v>1836</v>
      </c>
      <c r="J57" s="146" t="s">
        <v>1925</v>
      </c>
      <c r="K57" s="146" t="s">
        <v>1925</v>
      </c>
      <c r="L57" s="172" t="s">
        <v>1860</v>
      </c>
      <c r="N57" s="172">
        <v>91</v>
      </c>
      <c r="P57" s="172">
        <v>2</v>
      </c>
      <c r="Q57" s="172">
        <v>2</v>
      </c>
    </row>
    <row r="58" spans="2:19" x14ac:dyDescent="0.2">
      <c r="B58" s="172" t="s">
        <v>1010</v>
      </c>
      <c r="C58" s="172" t="s">
        <v>1839</v>
      </c>
      <c r="D58" s="172">
        <v>272</v>
      </c>
      <c r="E58" s="146" t="s">
        <v>296</v>
      </c>
      <c r="F58" s="172" t="s">
        <v>1835</v>
      </c>
      <c r="G58" s="172">
        <v>3</v>
      </c>
      <c r="H58" s="172">
        <v>2</v>
      </c>
      <c r="I58" s="172" t="s">
        <v>1836</v>
      </c>
      <c r="J58" s="146" t="s">
        <v>1925</v>
      </c>
      <c r="K58" s="146" t="s">
        <v>1925</v>
      </c>
      <c r="L58" s="172" t="s">
        <v>1860</v>
      </c>
      <c r="N58" s="172">
        <v>110</v>
      </c>
      <c r="P58" s="172">
        <v>2</v>
      </c>
      <c r="Q58" s="172">
        <v>2</v>
      </c>
    </row>
    <row r="59" spans="2:19" x14ac:dyDescent="0.2">
      <c r="B59" s="172" t="s">
        <v>1010</v>
      </c>
      <c r="C59" s="172" t="s">
        <v>1840</v>
      </c>
      <c r="D59" s="172">
        <v>273</v>
      </c>
      <c r="E59" s="146" t="s">
        <v>296</v>
      </c>
      <c r="F59" s="172" t="s">
        <v>1835</v>
      </c>
      <c r="G59" s="172">
        <v>3</v>
      </c>
      <c r="H59" s="172">
        <v>1</v>
      </c>
      <c r="I59" s="172" t="s">
        <v>1836</v>
      </c>
      <c r="J59" s="146" t="s">
        <v>1925</v>
      </c>
      <c r="K59" s="146" t="s">
        <v>1925</v>
      </c>
      <c r="L59" s="172" t="s">
        <v>1860</v>
      </c>
      <c r="N59" s="172">
        <v>106</v>
      </c>
      <c r="P59" s="172">
        <v>4</v>
      </c>
      <c r="Q59" s="172">
        <v>0</v>
      </c>
    </row>
    <row r="60" spans="2:19" x14ac:dyDescent="0.2">
      <c r="B60" s="172" t="s">
        <v>1010</v>
      </c>
      <c r="C60" s="172" t="s">
        <v>1841</v>
      </c>
      <c r="D60" s="172">
        <v>274</v>
      </c>
      <c r="E60" s="146" t="s">
        <v>296</v>
      </c>
      <c r="F60" s="172" t="s">
        <v>1835</v>
      </c>
      <c r="G60" s="172">
        <v>2</v>
      </c>
      <c r="H60" s="172">
        <v>2</v>
      </c>
      <c r="I60" s="172" t="s">
        <v>1836</v>
      </c>
      <c r="J60" s="146" t="s">
        <v>1925</v>
      </c>
      <c r="K60" s="146" t="s">
        <v>1925</v>
      </c>
      <c r="L60" s="172" t="s">
        <v>1860</v>
      </c>
      <c r="N60" s="172">
        <v>110</v>
      </c>
      <c r="P60" s="172">
        <v>2</v>
      </c>
      <c r="Q60" s="172">
        <v>4</v>
      </c>
    </row>
    <row r="61" spans="2:19" x14ac:dyDescent="0.2">
      <c r="B61" s="172" t="s">
        <v>882</v>
      </c>
      <c r="C61" s="172" t="s">
        <v>1842</v>
      </c>
      <c r="D61" s="172">
        <v>279</v>
      </c>
      <c r="E61" s="146" t="s">
        <v>880</v>
      </c>
      <c r="F61" s="172" t="s">
        <v>1835</v>
      </c>
      <c r="G61" s="172">
        <v>1</v>
      </c>
      <c r="H61" s="172">
        <v>2</v>
      </c>
      <c r="I61" s="172" t="s">
        <v>1843</v>
      </c>
      <c r="J61" s="146" t="s">
        <v>1925</v>
      </c>
      <c r="K61" s="146" t="s">
        <v>1925</v>
      </c>
      <c r="L61" s="172" t="s">
        <v>1860</v>
      </c>
      <c r="N61" s="172">
        <v>77</v>
      </c>
      <c r="P61" s="172">
        <v>2</v>
      </c>
      <c r="Q61" s="172">
        <v>2</v>
      </c>
    </row>
    <row r="62" spans="2:19" x14ac:dyDescent="0.2">
      <c r="B62" s="172" t="s">
        <v>882</v>
      </c>
      <c r="C62" s="172" t="s">
        <v>1844</v>
      </c>
      <c r="D62" s="172">
        <v>280</v>
      </c>
      <c r="E62" s="146" t="s">
        <v>880</v>
      </c>
      <c r="F62" s="172" t="s">
        <v>1845</v>
      </c>
      <c r="G62" s="172">
        <v>2</v>
      </c>
      <c r="H62" s="172">
        <v>2</v>
      </c>
      <c r="I62" s="172" t="s">
        <v>1843</v>
      </c>
      <c r="J62" s="146" t="s">
        <v>1925</v>
      </c>
      <c r="K62" s="146" t="s">
        <v>1925</v>
      </c>
      <c r="L62" s="172" t="s">
        <v>1860</v>
      </c>
      <c r="N62" s="172">
        <v>66</v>
      </c>
      <c r="P62" s="172">
        <v>2</v>
      </c>
      <c r="Q62" s="172">
        <v>2</v>
      </c>
    </row>
    <row r="63" spans="2:19" x14ac:dyDescent="0.2">
      <c r="B63" s="172" t="s">
        <v>882</v>
      </c>
      <c r="C63" s="172" t="s">
        <v>1846</v>
      </c>
      <c r="D63" s="172">
        <v>289</v>
      </c>
      <c r="E63" s="146" t="s">
        <v>880</v>
      </c>
      <c r="F63" s="172" t="s">
        <v>1835</v>
      </c>
      <c r="G63" s="172">
        <v>1</v>
      </c>
      <c r="H63" s="172">
        <v>1</v>
      </c>
      <c r="I63" s="172" t="s">
        <v>1843</v>
      </c>
      <c r="J63" s="146" t="s">
        <v>1925</v>
      </c>
      <c r="K63" s="146" t="s">
        <v>1925</v>
      </c>
      <c r="L63" s="172" t="s">
        <v>1860</v>
      </c>
      <c r="N63" s="172">
        <v>78</v>
      </c>
      <c r="P63" s="172">
        <v>0</v>
      </c>
      <c r="Q63" s="172">
        <v>1</v>
      </c>
    </row>
    <row r="64" spans="2:19" x14ac:dyDescent="0.2">
      <c r="B64" s="172" t="s">
        <v>880</v>
      </c>
      <c r="C64" s="172" t="s">
        <v>1847</v>
      </c>
      <c r="D64" s="172">
        <v>278</v>
      </c>
      <c r="E64" s="146" t="s">
        <v>880</v>
      </c>
      <c r="F64" s="172" t="s">
        <v>1835</v>
      </c>
      <c r="G64" s="172">
        <v>1</v>
      </c>
      <c r="H64" s="172">
        <v>1</v>
      </c>
      <c r="I64" s="172" t="s">
        <v>1843</v>
      </c>
      <c r="J64" s="146" t="s">
        <v>1925</v>
      </c>
      <c r="K64" s="146" t="s">
        <v>1925</v>
      </c>
      <c r="L64" s="172" t="s">
        <v>1860</v>
      </c>
      <c r="N64" s="172">
        <v>89</v>
      </c>
      <c r="P64" s="172">
        <v>6</v>
      </c>
      <c r="Q64" s="172">
        <v>0</v>
      </c>
    </row>
    <row r="65" spans="1:20" x14ac:dyDescent="0.2">
      <c r="B65" s="172" t="s">
        <v>880</v>
      </c>
      <c r="C65" s="172" t="s">
        <v>1848</v>
      </c>
      <c r="D65" s="172">
        <v>281</v>
      </c>
      <c r="E65" s="146" t="s">
        <v>880</v>
      </c>
      <c r="F65" s="172" t="s">
        <v>1835</v>
      </c>
      <c r="G65" s="172">
        <v>2</v>
      </c>
      <c r="H65" s="172">
        <v>2</v>
      </c>
      <c r="I65" s="172" t="s">
        <v>1843</v>
      </c>
      <c r="J65" s="146" t="s">
        <v>1925</v>
      </c>
      <c r="K65" s="146" t="s">
        <v>1925</v>
      </c>
      <c r="L65" s="172" t="s">
        <v>1860</v>
      </c>
      <c r="N65" s="172">
        <v>73</v>
      </c>
      <c r="P65" s="172">
        <v>2</v>
      </c>
      <c r="Q65" s="172">
        <v>0</v>
      </c>
    </row>
    <row r="66" spans="1:20" x14ac:dyDescent="0.2">
      <c r="B66" s="172" t="s">
        <v>880</v>
      </c>
      <c r="C66" s="172" t="s">
        <v>1849</v>
      </c>
      <c r="D66" s="172">
        <v>284</v>
      </c>
      <c r="E66" s="146" t="s">
        <v>880</v>
      </c>
      <c r="F66" s="172" t="s">
        <v>1845</v>
      </c>
      <c r="G66" s="172">
        <v>1</v>
      </c>
      <c r="H66" s="172">
        <v>2</v>
      </c>
      <c r="I66" s="172" t="s">
        <v>1843</v>
      </c>
      <c r="J66" s="146" t="s">
        <v>1925</v>
      </c>
      <c r="K66" s="146" t="s">
        <v>1925</v>
      </c>
      <c r="L66" s="172" t="s">
        <v>1860</v>
      </c>
      <c r="N66" s="172">
        <v>57</v>
      </c>
      <c r="P66" s="172">
        <v>4</v>
      </c>
      <c r="Q66" s="172">
        <v>0</v>
      </c>
    </row>
    <row r="67" spans="1:20" x14ac:dyDescent="0.2">
      <c r="B67" s="263"/>
      <c r="C67" s="263"/>
      <c r="D67" s="263"/>
      <c r="E67" s="146" t="s">
        <v>880</v>
      </c>
      <c r="F67" s="263"/>
      <c r="G67" s="263"/>
      <c r="H67" s="263"/>
      <c r="I67" s="263"/>
      <c r="J67" s="146" t="s">
        <v>1925</v>
      </c>
      <c r="K67" s="146" t="s">
        <v>1925</v>
      </c>
      <c r="L67" s="263"/>
      <c r="N67" s="263"/>
      <c r="P67" s="263"/>
      <c r="Q67" s="263"/>
    </row>
    <row r="68" spans="1:20" x14ac:dyDescent="0.2">
      <c r="B68" s="172" t="s">
        <v>880</v>
      </c>
      <c r="C68" s="172" t="s">
        <v>1851</v>
      </c>
      <c r="D68" s="172">
        <v>294</v>
      </c>
      <c r="E68" s="146" t="s">
        <v>880</v>
      </c>
      <c r="F68" s="172" t="s">
        <v>1835</v>
      </c>
      <c r="G68" s="172">
        <v>1</v>
      </c>
      <c r="H68" s="172">
        <v>2</v>
      </c>
      <c r="I68" s="172" t="s">
        <v>1843</v>
      </c>
      <c r="J68" s="146" t="s">
        <v>1925</v>
      </c>
      <c r="K68" s="146" t="s">
        <v>1925</v>
      </c>
      <c r="L68" s="172" t="s">
        <v>1860</v>
      </c>
      <c r="N68" s="172">
        <v>68</v>
      </c>
      <c r="P68" s="172">
        <v>0</v>
      </c>
      <c r="Q68" s="172">
        <v>0</v>
      </c>
    </row>
    <row r="69" spans="1:20" x14ac:dyDescent="0.2">
      <c r="B69" s="172" t="s">
        <v>880</v>
      </c>
      <c r="C69" s="172" t="s">
        <v>1852</v>
      </c>
      <c r="D69" s="172">
        <v>295</v>
      </c>
      <c r="E69" s="146" t="s">
        <v>880</v>
      </c>
      <c r="F69" s="172" t="s">
        <v>1845</v>
      </c>
      <c r="G69" s="172">
        <v>1</v>
      </c>
      <c r="H69" s="172">
        <v>2</v>
      </c>
      <c r="I69" s="172" t="s">
        <v>1843</v>
      </c>
      <c r="J69" s="146" t="s">
        <v>1925</v>
      </c>
      <c r="K69" s="146" t="s">
        <v>1925</v>
      </c>
      <c r="L69" s="172" t="s">
        <v>1860</v>
      </c>
      <c r="N69" s="172">
        <v>59</v>
      </c>
      <c r="P69" s="172">
        <v>0</v>
      </c>
      <c r="Q69" s="172">
        <v>0</v>
      </c>
    </row>
    <row r="70" spans="1:20" x14ac:dyDescent="0.2">
      <c r="B70" s="172" t="s">
        <v>882</v>
      </c>
      <c r="C70" s="172" t="s">
        <v>1853</v>
      </c>
      <c r="D70" s="172">
        <v>298</v>
      </c>
      <c r="E70" s="146" t="s">
        <v>880</v>
      </c>
      <c r="F70" s="172" t="s">
        <v>1845</v>
      </c>
      <c r="G70" s="172">
        <v>1</v>
      </c>
      <c r="H70" s="172">
        <v>1</v>
      </c>
      <c r="I70" s="172" t="s">
        <v>1843</v>
      </c>
      <c r="J70" s="146" t="s">
        <v>1925</v>
      </c>
      <c r="K70" s="146" t="s">
        <v>1925</v>
      </c>
      <c r="L70" s="172" t="s">
        <v>1860</v>
      </c>
      <c r="N70" s="261">
        <v>59</v>
      </c>
      <c r="P70" s="261">
        <v>0</v>
      </c>
      <c r="Q70" s="261">
        <v>0</v>
      </c>
    </row>
    <row r="71" spans="1:20" x14ac:dyDescent="0.2">
      <c r="B71" s="172" t="s">
        <v>1010</v>
      </c>
      <c r="C71" s="172" t="s">
        <v>1854</v>
      </c>
      <c r="D71" s="237">
        <v>300</v>
      </c>
      <c r="E71" s="146" t="s">
        <v>296</v>
      </c>
      <c r="F71" s="172"/>
      <c r="G71" s="172"/>
      <c r="H71" s="172"/>
      <c r="I71" s="262">
        <v>45361</v>
      </c>
      <c r="J71" s="146" t="s">
        <v>1925</v>
      </c>
      <c r="K71" s="146" t="s">
        <v>1925</v>
      </c>
      <c r="L71" s="172" t="s">
        <v>1860</v>
      </c>
      <c r="N71" s="172">
        <v>133</v>
      </c>
      <c r="O71" s="146">
        <v>0</v>
      </c>
      <c r="P71" s="172">
        <v>0</v>
      </c>
      <c r="Q71" s="172">
        <v>127</v>
      </c>
      <c r="R71" s="146">
        <v>5</v>
      </c>
      <c r="S71" s="146">
        <v>1</v>
      </c>
    </row>
    <row r="72" spans="1:20" x14ac:dyDescent="0.2">
      <c r="B72" s="172" t="s">
        <v>1010</v>
      </c>
      <c r="C72" s="172" t="s">
        <v>1855</v>
      </c>
      <c r="D72" s="237">
        <v>301</v>
      </c>
      <c r="E72" s="146" t="s">
        <v>296</v>
      </c>
      <c r="F72" s="172" t="s">
        <v>1845</v>
      </c>
      <c r="G72" s="172">
        <v>1</v>
      </c>
      <c r="H72" s="172">
        <v>1</v>
      </c>
      <c r="I72" s="262">
        <v>45361</v>
      </c>
      <c r="J72" s="146" t="s">
        <v>1925</v>
      </c>
      <c r="K72" s="146" t="s">
        <v>1925</v>
      </c>
      <c r="L72" s="172" t="s">
        <v>1860</v>
      </c>
      <c r="N72" s="172">
        <v>82</v>
      </c>
      <c r="O72" s="146">
        <v>0</v>
      </c>
      <c r="P72" s="172">
        <v>0</v>
      </c>
      <c r="Q72" s="172">
        <v>77</v>
      </c>
      <c r="R72" s="146">
        <v>4</v>
      </c>
      <c r="S72" s="146">
        <v>1</v>
      </c>
    </row>
    <row r="73" spans="1:20" x14ac:dyDescent="0.2">
      <c r="B73" s="172" t="s">
        <v>1556</v>
      </c>
      <c r="C73" s="172" t="s">
        <v>1856</v>
      </c>
      <c r="D73" s="237">
        <v>302</v>
      </c>
      <c r="E73" s="146" t="s">
        <v>296</v>
      </c>
      <c r="F73" s="172" t="s">
        <v>1845</v>
      </c>
      <c r="G73" s="172"/>
      <c r="H73" s="172"/>
      <c r="I73" s="172" t="s">
        <v>1129</v>
      </c>
      <c r="J73" s="146" t="s">
        <v>1925</v>
      </c>
      <c r="K73" s="146" t="s">
        <v>1925</v>
      </c>
      <c r="L73" s="172" t="s">
        <v>1860</v>
      </c>
      <c r="N73" s="172">
        <v>99</v>
      </c>
      <c r="O73" s="146">
        <v>5</v>
      </c>
      <c r="P73" s="172">
        <v>0</v>
      </c>
      <c r="Q73" s="172">
        <v>99</v>
      </c>
      <c r="R73" s="146">
        <v>0</v>
      </c>
      <c r="S73" s="146">
        <v>0</v>
      </c>
    </row>
    <row r="74" spans="1:20" x14ac:dyDescent="0.2">
      <c r="B74" s="172" t="s">
        <v>1556</v>
      </c>
      <c r="C74" s="172" t="s">
        <v>1857</v>
      </c>
      <c r="D74" s="237">
        <v>303</v>
      </c>
      <c r="E74" s="146" t="s">
        <v>296</v>
      </c>
      <c r="F74" s="172" t="s">
        <v>1845</v>
      </c>
      <c r="G74" s="172"/>
      <c r="H74" s="172"/>
      <c r="I74" s="172" t="s">
        <v>1129</v>
      </c>
      <c r="J74" s="146" t="s">
        <v>1925</v>
      </c>
      <c r="K74" s="146" t="s">
        <v>1925</v>
      </c>
      <c r="L74" s="172" t="s">
        <v>1860</v>
      </c>
      <c r="N74" s="172">
        <v>77</v>
      </c>
      <c r="O74" s="146">
        <v>2</v>
      </c>
      <c r="P74" s="172">
        <v>0</v>
      </c>
      <c r="Q74" s="172">
        <v>68</v>
      </c>
      <c r="R74" s="146">
        <v>6</v>
      </c>
      <c r="S74" s="146">
        <v>1</v>
      </c>
    </row>
    <row r="75" spans="1:20" x14ac:dyDescent="0.2">
      <c r="B75" s="172" t="s">
        <v>882</v>
      </c>
      <c r="C75" s="172" t="s">
        <v>1858</v>
      </c>
      <c r="D75" s="237">
        <v>297</v>
      </c>
      <c r="E75" s="146" t="s">
        <v>880</v>
      </c>
      <c r="F75" s="172" t="s">
        <v>1845</v>
      </c>
      <c r="G75" s="172">
        <v>1</v>
      </c>
      <c r="H75" s="172">
        <v>2</v>
      </c>
      <c r="I75" s="172" t="s">
        <v>1129</v>
      </c>
      <c r="J75" s="146" t="s">
        <v>1925</v>
      </c>
      <c r="K75" s="146" t="s">
        <v>1925</v>
      </c>
      <c r="L75" s="172" t="s">
        <v>1860</v>
      </c>
      <c r="N75" s="172">
        <v>72</v>
      </c>
      <c r="O75" s="146">
        <v>4</v>
      </c>
      <c r="P75" s="172">
        <v>0</v>
      </c>
      <c r="Q75" s="172">
        <v>63</v>
      </c>
      <c r="R75" s="146">
        <v>3</v>
      </c>
      <c r="S75" s="146">
        <v>2</v>
      </c>
    </row>
    <row r="76" spans="1:20" x14ac:dyDescent="0.2">
      <c r="A76" s="172"/>
      <c r="B76" s="261" t="s">
        <v>1021</v>
      </c>
      <c r="C76" s="172" t="s">
        <v>1573</v>
      </c>
      <c r="D76" s="261">
        <v>1</v>
      </c>
      <c r="E76" s="172"/>
      <c r="F76" s="261" t="s">
        <v>1835</v>
      </c>
      <c r="G76" s="261">
        <v>1</v>
      </c>
      <c r="H76" s="261" t="s">
        <v>1728</v>
      </c>
      <c r="I76" s="264">
        <v>44996</v>
      </c>
      <c r="J76" s="146" t="s">
        <v>1925</v>
      </c>
      <c r="K76" s="146" t="s">
        <v>1925</v>
      </c>
      <c r="L76" s="261" t="s">
        <v>1860</v>
      </c>
      <c r="M76" s="172"/>
      <c r="N76" s="172">
        <v>70</v>
      </c>
    </row>
    <row r="77" spans="1:20" x14ac:dyDescent="0.2">
      <c r="B77" s="261" t="s">
        <v>1021</v>
      </c>
      <c r="C77" s="146" t="s">
        <v>1574</v>
      </c>
      <c r="D77" s="261">
        <v>6</v>
      </c>
      <c r="F77" s="261" t="s">
        <v>1835</v>
      </c>
      <c r="G77" s="261">
        <v>1</v>
      </c>
      <c r="H77" s="261"/>
      <c r="I77" s="261" t="s">
        <v>1926</v>
      </c>
      <c r="J77" s="146" t="s">
        <v>1925</v>
      </c>
      <c r="K77" s="146" t="s">
        <v>1925</v>
      </c>
      <c r="L77" s="261" t="s">
        <v>1860</v>
      </c>
      <c r="N77" s="146">
        <v>115</v>
      </c>
      <c r="O77" s="146">
        <v>10</v>
      </c>
      <c r="P77" s="146">
        <v>61</v>
      </c>
      <c r="Q77" s="146">
        <v>37</v>
      </c>
      <c r="R77" s="146">
        <v>3</v>
      </c>
      <c r="S77" s="146">
        <v>4</v>
      </c>
      <c r="T77" s="146">
        <f t="shared" ref="T77:T79" si="0">SUM(O77:S77)</f>
        <v>115</v>
      </c>
    </row>
    <row r="78" spans="1:20" x14ac:dyDescent="0.2">
      <c r="B78" s="261" t="s">
        <v>1021</v>
      </c>
      <c r="C78" s="146" t="s">
        <v>1575</v>
      </c>
      <c r="D78" s="261">
        <v>18</v>
      </c>
      <c r="F78" s="261" t="s">
        <v>1835</v>
      </c>
      <c r="G78" s="261">
        <v>2</v>
      </c>
      <c r="H78" s="261"/>
      <c r="I78" s="264">
        <v>45505</v>
      </c>
      <c r="J78" s="146" t="s">
        <v>1925</v>
      </c>
      <c r="K78" s="146" t="s">
        <v>1925</v>
      </c>
      <c r="L78" s="261" t="s">
        <v>1860</v>
      </c>
      <c r="N78" s="146">
        <v>75</v>
      </c>
      <c r="O78" s="146">
        <v>4</v>
      </c>
      <c r="P78" s="146">
        <v>45</v>
      </c>
      <c r="Q78" s="146">
        <v>19</v>
      </c>
      <c r="R78" s="146">
        <v>5</v>
      </c>
      <c r="S78" s="146">
        <v>2</v>
      </c>
      <c r="T78" s="146">
        <f t="shared" si="0"/>
        <v>75</v>
      </c>
    </row>
    <row r="79" spans="1:20" x14ac:dyDescent="0.2">
      <c r="B79" s="261" t="s">
        <v>1021</v>
      </c>
      <c r="C79" s="146" t="s">
        <v>1576</v>
      </c>
      <c r="D79" s="261">
        <v>30</v>
      </c>
      <c r="F79" s="261" t="s">
        <v>1835</v>
      </c>
      <c r="G79" s="261">
        <v>3</v>
      </c>
      <c r="H79" s="261"/>
      <c r="I79" s="264">
        <v>45505</v>
      </c>
      <c r="J79" s="146" t="s">
        <v>1925</v>
      </c>
      <c r="K79" s="146" t="s">
        <v>1925</v>
      </c>
      <c r="L79" s="261" t="s">
        <v>1860</v>
      </c>
      <c r="N79" s="146">
        <v>68</v>
      </c>
      <c r="O79" s="146">
        <v>3</v>
      </c>
      <c r="P79" s="146">
        <v>36</v>
      </c>
      <c r="Q79" s="146">
        <v>23</v>
      </c>
      <c r="R79" s="146">
        <v>3</v>
      </c>
      <c r="S79" s="146">
        <v>3</v>
      </c>
      <c r="T79" s="146">
        <f t="shared" si="0"/>
        <v>68</v>
      </c>
    </row>
    <row r="80" spans="1:20" x14ac:dyDescent="0.2">
      <c r="B80" s="261" t="s">
        <v>1021</v>
      </c>
      <c r="C80" s="146" t="s">
        <v>1577</v>
      </c>
      <c r="D80" s="261">
        <v>44</v>
      </c>
      <c r="F80" s="261" t="s">
        <v>1835</v>
      </c>
      <c r="G80" s="261">
        <v>4</v>
      </c>
      <c r="H80" s="261"/>
      <c r="I80" s="264">
        <v>45566</v>
      </c>
      <c r="J80" s="146" t="s">
        <v>1925</v>
      </c>
      <c r="K80" s="146" t="s">
        <v>1925</v>
      </c>
      <c r="L80" s="261" t="s">
        <v>1860</v>
      </c>
      <c r="N80" s="146">
        <v>64</v>
      </c>
      <c r="O80" s="172">
        <v>3</v>
      </c>
      <c r="P80" s="146">
        <v>31</v>
      </c>
      <c r="Q80" s="146">
        <v>23</v>
      </c>
      <c r="R80" s="146">
        <v>2</v>
      </c>
      <c r="S80" s="146">
        <v>5</v>
      </c>
      <c r="T80" s="146">
        <f>SUM(O80:S80)</f>
        <v>64</v>
      </c>
    </row>
    <row r="81" spans="2:14" x14ac:dyDescent="0.2">
      <c r="B81" s="261" t="s">
        <v>1021</v>
      </c>
      <c r="D81" s="261">
        <v>5</v>
      </c>
      <c r="F81" s="261" t="s">
        <v>1835</v>
      </c>
      <c r="G81" s="261">
        <v>1</v>
      </c>
      <c r="H81" s="261"/>
      <c r="I81" s="261" t="s">
        <v>1927</v>
      </c>
      <c r="J81" s="146" t="s">
        <v>1925</v>
      </c>
      <c r="K81" s="146" t="s">
        <v>1925</v>
      </c>
      <c r="L81" s="261" t="s">
        <v>1860</v>
      </c>
    </row>
    <row r="82" spans="2:14" x14ac:dyDescent="0.2">
      <c r="B82" s="261" t="s">
        <v>1021</v>
      </c>
      <c r="D82" s="261">
        <v>4</v>
      </c>
      <c r="F82" s="261" t="s">
        <v>1835</v>
      </c>
      <c r="G82" s="261">
        <v>1</v>
      </c>
      <c r="H82" s="261"/>
      <c r="I82" s="261" t="s">
        <v>1928</v>
      </c>
      <c r="J82" s="146" t="s">
        <v>1925</v>
      </c>
      <c r="K82" s="146" t="s">
        <v>1925</v>
      </c>
      <c r="L82" s="261" t="s">
        <v>1860</v>
      </c>
    </row>
    <row r="83" spans="2:14" x14ac:dyDescent="0.2">
      <c r="B83" s="261" t="s">
        <v>1021</v>
      </c>
      <c r="D83" s="261">
        <v>20</v>
      </c>
      <c r="F83" s="261" t="s">
        <v>1835</v>
      </c>
      <c r="G83" s="261">
        <v>2</v>
      </c>
      <c r="H83" s="261"/>
      <c r="I83" s="261" t="s">
        <v>1929</v>
      </c>
      <c r="J83" s="146" t="s">
        <v>1925</v>
      </c>
      <c r="K83" s="146" t="s">
        <v>1925</v>
      </c>
      <c r="L83" s="261" t="s">
        <v>1860</v>
      </c>
    </row>
    <row r="84" spans="2:14" x14ac:dyDescent="0.2">
      <c r="B84" s="261" t="s">
        <v>1021</v>
      </c>
      <c r="D84" s="261">
        <v>32</v>
      </c>
      <c r="F84" s="261" t="s">
        <v>1835</v>
      </c>
      <c r="G84" s="261">
        <v>3</v>
      </c>
      <c r="H84" s="261"/>
      <c r="I84" s="261" t="s">
        <v>1930</v>
      </c>
      <c r="J84" s="146" t="s">
        <v>1925</v>
      </c>
      <c r="K84" s="146" t="s">
        <v>1925</v>
      </c>
      <c r="L84" s="261" t="s">
        <v>1860</v>
      </c>
    </row>
    <row r="85" spans="2:14" x14ac:dyDescent="0.2">
      <c r="B85" s="261" t="s">
        <v>1021</v>
      </c>
      <c r="D85" s="261">
        <v>45</v>
      </c>
      <c r="F85" s="261" t="s">
        <v>1835</v>
      </c>
      <c r="G85" s="261">
        <v>4</v>
      </c>
      <c r="H85" s="261" t="s">
        <v>1728</v>
      </c>
      <c r="I85" s="261" t="s">
        <v>1931</v>
      </c>
      <c r="J85" s="146" t="s">
        <v>1925</v>
      </c>
      <c r="K85" s="146" t="s">
        <v>1925</v>
      </c>
      <c r="L85" s="261" t="s">
        <v>1860</v>
      </c>
    </row>
    <row r="86" spans="2:14" x14ac:dyDescent="0.2">
      <c r="B86" s="261" t="s">
        <v>1040</v>
      </c>
      <c r="C86" s="146" t="s">
        <v>1932</v>
      </c>
      <c r="D86" s="261">
        <v>230</v>
      </c>
      <c r="F86" s="261" t="s">
        <v>1835</v>
      </c>
      <c r="G86" s="261">
        <v>2</v>
      </c>
      <c r="H86" s="261">
        <v>1</v>
      </c>
      <c r="I86" s="261" t="s">
        <v>1933</v>
      </c>
      <c r="J86" s="146" t="s">
        <v>1925</v>
      </c>
      <c r="K86" s="146" t="s">
        <v>1925</v>
      </c>
      <c r="L86" s="261" t="s">
        <v>1860</v>
      </c>
      <c r="N86" s="146">
        <v>72</v>
      </c>
    </row>
    <row r="87" spans="2:14" x14ac:dyDescent="0.2">
      <c r="B87" s="261" t="s">
        <v>1040</v>
      </c>
      <c r="C87" s="146" t="s">
        <v>1934</v>
      </c>
      <c r="D87" s="261">
        <v>233</v>
      </c>
      <c r="F87" s="261" t="s">
        <v>1835</v>
      </c>
      <c r="G87" s="261">
        <v>1</v>
      </c>
      <c r="H87" s="261">
        <v>2</v>
      </c>
      <c r="I87" s="264">
        <v>45451</v>
      </c>
      <c r="J87" s="146" t="s">
        <v>1925</v>
      </c>
      <c r="K87" s="146" t="s">
        <v>1925</v>
      </c>
      <c r="L87" s="261" t="s">
        <v>1860</v>
      </c>
      <c r="N87" s="146">
        <v>131</v>
      </c>
    </row>
    <row r="88" spans="2:14" x14ac:dyDescent="0.2">
      <c r="B88" s="261" t="s">
        <v>1040</v>
      </c>
      <c r="D88" s="261" t="s">
        <v>1041</v>
      </c>
      <c r="F88" s="261"/>
      <c r="G88" s="261"/>
      <c r="H88" s="261"/>
      <c r="I88" s="261" t="s">
        <v>1935</v>
      </c>
      <c r="J88" s="146" t="s">
        <v>1925</v>
      </c>
      <c r="K88" s="146" t="s">
        <v>1925</v>
      </c>
      <c r="L88" s="261" t="s">
        <v>1860</v>
      </c>
    </row>
    <row r="89" spans="2:14" x14ac:dyDescent="0.2">
      <c r="B89" s="261" t="s">
        <v>1040</v>
      </c>
      <c r="D89" s="261" t="s">
        <v>1043</v>
      </c>
      <c r="F89" s="261"/>
      <c r="G89" s="261"/>
      <c r="H89" s="261"/>
      <c r="I89" s="261" t="s">
        <v>1936</v>
      </c>
      <c r="J89" s="146" t="s">
        <v>1925</v>
      </c>
      <c r="K89" s="146" t="s">
        <v>1925</v>
      </c>
      <c r="L89" s="261" t="s">
        <v>1860</v>
      </c>
    </row>
    <row r="90" spans="2:14" x14ac:dyDescent="0.2">
      <c r="B90" s="261" t="s">
        <v>1040</v>
      </c>
      <c r="D90" s="261" t="s">
        <v>1045</v>
      </c>
      <c r="F90" s="261"/>
      <c r="G90" s="261"/>
      <c r="H90" s="261"/>
      <c r="I90" s="261" t="s">
        <v>1937</v>
      </c>
      <c r="J90" s="146" t="s">
        <v>1925</v>
      </c>
      <c r="K90" s="146" t="s">
        <v>1925</v>
      </c>
      <c r="L90" s="261" t="s">
        <v>1860</v>
      </c>
    </row>
    <row r="91" spans="2:14" x14ac:dyDescent="0.2">
      <c r="B91" s="261" t="s">
        <v>1040</v>
      </c>
      <c r="D91" s="261" t="s">
        <v>1047</v>
      </c>
      <c r="F91" s="261" t="s">
        <v>1728</v>
      </c>
      <c r="G91" s="261" t="s">
        <v>1728</v>
      </c>
      <c r="H91" s="261" t="s">
        <v>1728</v>
      </c>
      <c r="I91" s="261" t="s">
        <v>1938</v>
      </c>
      <c r="J91" s="146" t="s">
        <v>1925</v>
      </c>
      <c r="K91" s="146" t="s">
        <v>1925</v>
      </c>
      <c r="L91" s="261" t="s">
        <v>1860</v>
      </c>
    </row>
    <row r="92" spans="2:14" x14ac:dyDescent="0.2">
      <c r="B92" s="261" t="s">
        <v>1037</v>
      </c>
      <c r="C92" s="146" t="s">
        <v>1939</v>
      </c>
      <c r="D92" s="261">
        <v>210</v>
      </c>
      <c r="F92" s="261" t="s">
        <v>1835</v>
      </c>
      <c r="G92" s="261">
        <v>2</v>
      </c>
      <c r="H92" s="261" t="s">
        <v>1728</v>
      </c>
      <c r="I92" s="261" t="s">
        <v>1940</v>
      </c>
      <c r="J92" s="146" t="s">
        <v>1925</v>
      </c>
      <c r="K92" s="146" t="s">
        <v>1925</v>
      </c>
      <c r="L92" s="261" t="s">
        <v>1860</v>
      </c>
      <c r="N92" s="146">
        <v>33</v>
      </c>
    </row>
    <row r="93" spans="2:14" x14ac:dyDescent="0.2">
      <c r="B93" s="261" t="s">
        <v>1037</v>
      </c>
      <c r="C93" s="146" t="s">
        <v>1941</v>
      </c>
      <c r="D93" s="261">
        <v>212</v>
      </c>
      <c r="F93" s="261" t="s">
        <v>1835</v>
      </c>
      <c r="G93" s="261">
        <v>3</v>
      </c>
      <c r="H93" s="261"/>
      <c r="I93" s="261" t="s">
        <v>1940</v>
      </c>
      <c r="J93" s="146" t="s">
        <v>1925</v>
      </c>
      <c r="K93" s="146" t="s">
        <v>1925</v>
      </c>
      <c r="L93" s="261" t="s">
        <v>1860</v>
      </c>
      <c r="N93" s="146">
        <v>83</v>
      </c>
    </row>
    <row r="94" spans="2:14" x14ac:dyDescent="0.2">
      <c r="B94" s="261" t="s">
        <v>1037</v>
      </c>
      <c r="C94" s="146" t="s">
        <v>1942</v>
      </c>
      <c r="D94" s="261">
        <v>215</v>
      </c>
      <c r="F94" s="261" t="s">
        <v>1835</v>
      </c>
      <c r="G94" s="261">
        <v>4</v>
      </c>
      <c r="H94" s="261" t="s">
        <v>1728</v>
      </c>
      <c r="I94" s="261" t="s">
        <v>1933</v>
      </c>
      <c r="J94" s="146" t="s">
        <v>1925</v>
      </c>
      <c r="K94" s="146" t="s">
        <v>1925</v>
      </c>
      <c r="L94" s="261" t="s">
        <v>1860</v>
      </c>
      <c r="N94" s="146">
        <v>72</v>
      </c>
    </row>
    <row r="95" spans="2:14" x14ac:dyDescent="0.2">
      <c r="B95" s="261" t="s">
        <v>1032</v>
      </c>
      <c r="C95" s="146" t="s">
        <v>1943</v>
      </c>
      <c r="D95" s="261">
        <v>156</v>
      </c>
      <c r="F95" s="261" t="s">
        <v>1845</v>
      </c>
      <c r="G95" s="261">
        <v>1</v>
      </c>
      <c r="H95" s="261" t="s">
        <v>1728</v>
      </c>
      <c r="I95" s="261" t="s">
        <v>1944</v>
      </c>
      <c r="J95" s="146" t="s">
        <v>1925</v>
      </c>
      <c r="K95" s="146" t="s">
        <v>1925</v>
      </c>
      <c r="L95" s="261" t="s">
        <v>1860</v>
      </c>
      <c r="N95" s="146">
        <v>69</v>
      </c>
    </row>
    <row r="96" spans="2:14" x14ac:dyDescent="0.2">
      <c r="B96" s="261" t="s">
        <v>1032</v>
      </c>
      <c r="C96" s="146" t="s">
        <v>1945</v>
      </c>
      <c r="D96" s="261">
        <v>166</v>
      </c>
      <c r="F96" s="261" t="s">
        <v>1845</v>
      </c>
      <c r="G96" s="261">
        <v>2</v>
      </c>
      <c r="H96" s="261"/>
      <c r="I96" s="261" t="s">
        <v>1946</v>
      </c>
      <c r="J96" s="146" t="s">
        <v>1925</v>
      </c>
      <c r="K96" s="146" t="s">
        <v>1925</v>
      </c>
      <c r="L96" s="261" t="s">
        <v>1860</v>
      </c>
      <c r="N96" s="146">
        <v>52</v>
      </c>
    </row>
    <row r="97" spans="2:14" x14ac:dyDescent="0.2">
      <c r="B97" s="261" t="s">
        <v>1947</v>
      </c>
      <c r="C97" s="146" t="s">
        <v>1948</v>
      </c>
      <c r="D97" s="261">
        <v>242</v>
      </c>
      <c r="F97" s="261"/>
      <c r="G97" s="261">
        <v>1</v>
      </c>
      <c r="H97" s="261"/>
      <c r="I97" s="264">
        <v>45329</v>
      </c>
      <c r="J97" s="146" t="s">
        <v>1925</v>
      </c>
      <c r="K97" s="146" t="s">
        <v>1925</v>
      </c>
      <c r="L97" s="261" t="s">
        <v>1860</v>
      </c>
      <c r="N97" s="146">
        <v>66</v>
      </c>
    </row>
    <row r="98" spans="2:14" x14ac:dyDescent="0.2">
      <c r="B98" s="261" t="s">
        <v>1032</v>
      </c>
      <c r="C98" s="146" t="s">
        <v>1949</v>
      </c>
      <c r="D98" s="261">
        <v>244</v>
      </c>
      <c r="F98" s="261"/>
      <c r="G98" s="261">
        <v>2</v>
      </c>
      <c r="H98" s="261"/>
      <c r="I98" s="264">
        <v>45451</v>
      </c>
      <c r="J98" s="146" t="s">
        <v>1925</v>
      </c>
      <c r="K98" s="146" t="s">
        <v>1925</v>
      </c>
      <c r="L98" s="261" t="s">
        <v>1860</v>
      </c>
      <c r="N98" s="146">
        <v>99</v>
      </c>
    </row>
    <row r="99" spans="2:14" x14ac:dyDescent="0.2">
      <c r="B99" s="261" t="s">
        <v>1040</v>
      </c>
      <c r="C99" s="146" t="s">
        <v>1932</v>
      </c>
      <c r="D99" s="261">
        <v>230</v>
      </c>
      <c r="F99" s="261" t="s">
        <v>1835</v>
      </c>
      <c r="G99" s="261">
        <v>2</v>
      </c>
      <c r="H99" s="261">
        <v>1</v>
      </c>
      <c r="I99" s="261" t="s">
        <v>1933</v>
      </c>
      <c r="J99" s="146" t="s">
        <v>1925</v>
      </c>
      <c r="K99" s="146" t="s">
        <v>1925</v>
      </c>
      <c r="L99" s="261" t="s">
        <v>1833</v>
      </c>
      <c r="N99" s="146">
        <v>40</v>
      </c>
    </row>
    <row r="100" spans="2:14" x14ac:dyDescent="0.2">
      <c r="B100" s="261" t="s">
        <v>1040</v>
      </c>
      <c r="C100" s="146" t="s">
        <v>1934</v>
      </c>
      <c r="D100" s="261">
        <v>233</v>
      </c>
      <c r="F100" s="261" t="s">
        <v>1835</v>
      </c>
      <c r="G100" s="261">
        <v>1</v>
      </c>
      <c r="H100" s="261">
        <v>2</v>
      </c>
      <c r="I100" s="264">
        <v>45451</v>
      </c>
      <c r="J100" s="146" t="s">
        <v>1925</v>
      </c>
      <c r="K100" s="146" t="s">
        <v>1925</v>
      </c>
      <c r="L100" s="261" t="s">
        <v>1833</v>
      </c>
      <c r="N100" s="146">
        <v>75</v>
      </c>
    </row>
    <row r="101" spans="2:14" x14ac:dyDescent="0.2">
      <c r="B101" s="261" t="s">
        <v>1037</v>
      </c>
      <c r="C101" s="146" t="s">
        <v>1939</v>
      </c>
      <c r="D101" s="261">
        <v>210</v>
      </c>
      <c r="F101" s="261" t="s">
        <v>1835</v>
      </c>
      <c r="G101" s="261">
        <v>2</v>
      </c>
      <c r="H101" s="261" t="s">
        <v>1728</v>
      </c>
      <c r="I101" s="261" t="s">
        <v>1940</v>
      </c>
      <c r="J101" s="146" t="s">
        <v>1925</v>
      </c>
      <c r="K101" s="146" t="s">
        <v>1925</v>
      </c>
      <c r="L101" s="261" t="s">
        <v>1833</v>
      </c>
      <c r="N101" s="146">
        <v>43</v>
      </c>
    </row>
    <row r="102" spans="2:14" x14ac:dyDescent="0.2">
      <c r="B102" s="261" t="s">
        <v>1037</v>
      </c>
      <c r="C102" s="146" t="s">
        <v>1941</v>
      </c>
      <c r="D102" s="261">
        <v>212</v>
      </c>
      <c r="F102" s="261" t="s">
        <v>1835</v>
      </c>
      <c r="G102" s="261">
        <v>3</v>
      </c>
      <c r="H102" s="261"/>
      <c r="I102" s="261" t="s">
        <v>1940</v>
      </c>
      <c r="J102" s="146" t="s">
        <v>1925</v>
      </c>
      <c r="K102" s="146" t="s">
        <v>1925</v>
      </c>
      <c r="L102" s="261" t="s">
        <v>1833</v>
      </c>
      <c r="N102" s="146">
        <v>44</v>
      </c>
    </row>
    <row r="103" spans="2:14" x14ac:dyDescent="0.2">
      <c r="B103" s="261" t="s">
        <v>1037</v>
      </c>
      <c r="C103" s="146" t="s">
        <v>1942</v>
      </c>
      <c r="D103" s="261">
        <v>215</v>
      </c>
      <c r="F103" s="261" t="s">
        <v>1835</v>
      </c>
      <c r="G103" s="261">
        <v>4</v>
      </c>
      <c r="H103" s="261" t="s">
        <v>1728</v>
      </c>
      <c r="I103" s="261" t="s">
        <v>1933</v>
      </c>
      <c r="J103" s="146" t="s">
        <v>1925</v>
      </c>
      <c r="K103" s="146" t="s">
        <v>1925</v>
      </c>
      <c r="L103" s="261" t="s">
        <v>1833</v>
      </c>
      <c r="N103" s="146">
        <v>43</v>
      </c>
    </row>
    <row r="104" spans="2:14" x14ac:dyDescent="0.2">
      <c r="B104" s="261" t="s">
        <v>1032</v>
      </c>
      <c r="C104" s="146" t="s">
        <v>1943</v>
      </c>
      <c r="D104" s="261">
        <v>156</v>
      </c>
      <c r="F104" s="261" t="s">
        <v>1845</v>
      </c>
      <c r="G104" s="261">
        <v>1</v>
      </c>
      <c r="H104" s="261" t="s">
        <v>1728</v>
      </c>
      <c r="I104" s="261" t="s">
        <v>1944</v>
      </c>
      <c r="J104" s="146" t="s">
        <v>1925</v>
      </c>
      <c r="K104" s="146" t="s">
        <v>1925</v>
      </c>
      <c r="L104" s="261" t="s">
        <v>1833</v>
      </c>
      <c r="N104" s="146">
        <v>34</v>
      </c>
    </row>
    <row r="105" spans="2:14" x14ac:dyDescent="0.2">
      <c r="B105" s="261" t="s">
        <v>1032</v>
      </c>
      <c r="C105" s="146" t="s">
        <v>1945</v>
      </c>
      <c r="D105" s="261">
        <v>166</v>
      </c>
      <c r="F105" s="261" t="s">
        <v>1845</v>
      </c>
      <c r="G105" s="261">
        <v>2</v>
      </c>
      <c r="H105" s="261"/>
      <c r="I105" s="261" t="s">
        <v>1946</v>
      </c>
      <c r="J105" s="146" t="s">
        <v>1925</v>
      </c>
      <c r="K105" s="146" t="s">
        <v>1925</v>
      </c>
      <c r="L105" s="261" t="s">
        <v>1833</v>
      </c>
      <c r="N105" s="146">
        <v>36</v>
      </c>
    </row>
    <row r="106" spans="2:14" x14ac:dyDescent="0.2">
      <c r="B106" s="261" t="s">
        <v>1947</v>
      </c>
      <c r="C106" s="146" t="s">
        <v>1948</v>
      </c>
      <c r="D106" s="261">
        <v>242</v>
      </c>
      <c r="F106" s="261"/>
      <c r="G106" s="261">
        <v>1</v>
      </c>
      <c r="H106" s="261"/>
      <c r="I106" s="264">
        <v>45329</v>
      </c>
      <c r="J106" s="146" t="s">
        <v>1925</v>
      </c>
      <c r="K106" s="146" t="s">
        <v>1925</v>
      </c>
      <c r="L106" s="261" t="s">
        <v>1833</v>
      </c>
      <c r="N106" s="146">
        <v>39</v>
      </c>
    </row>
    <row r="107" spans="2:14" x14ac:dyDescent="0.2">
      <c r="B107" s="261" t="s">
        <v>1032</v>
      </c>
      <c r="C107" s="146" t="s">
        <v>1949</v>
      </c>
      <c r="D107" s="261">
        <v>244</v>
      </c>
      <c r="F107" s="261"/>
      <c r="G107" s="261">
        <v>2</v>
      </c>
      <c r="H107" s="261"/>
      <c r="I107" s="264">
        <v>45451</v>
      </c>
      <c r="J107" s="146" t="s">
        <v>1925</v>
      </c>
      <c r="K107" s="146" t="s">
        <v>1925</v>
      </c>
      <c r="L107" s="261" t="s">
        <v>1833</v>
      </c>
      <c r="N107" s="146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F80B1-B984-449B-89A0-2D91E70EFBE7}">
  <dimension ref="A1:AK2"/>
  <sheetViews>
    <sheetView topLeftCell="G1" workbookViewId="0">
      <selection activeCell="S2" sqref="S2"/>
    </sheetView>
  </sheetViews>
  <sheetFormatPr baseColWidth="10" defaultColWidth="8.83203125" defaultRowHeight="16" x14ac:dyDescent="0.2"/>
  <cols>
    <col min="1" max="1" width="13.1640625" customWidth="1"/>
    <col min="3" max="3" width="15.1640625" customWidth="1"/>
  </cols>
  <sheetData>
    <row r="1" spans="1:37" ht="51" x14ac:dyDescent="0.2">
      <c r="A1" s="44" t="s">
        <v>1950</v>
      </c>
      <c r="B1" s="44" t="s">
        <v>6</v>
      </c>
      <c r="C1" s="44" t="s">
        <v>1</v>
      </c>
      <c r="D1" s="44" t="s">
        <v>1951</v>
      </c>
      <c r="E1" s="245" t="s">
        <v>1952</v>
      </c>
      <c r="F1" s="245" t="s">
        <v>1953</v>
      </c>
      <c r="G1" s="44" t="s">
        <v>1954</v>
      </c>
      <c r="H1" s="44" t="s">
        <v>1183</v>
      </c>
      <c r="I1" s="44" t="s">
        <v>1955</v>
      </c>
      <c r="J1" s="44" t="s">
        <v>11</v>
      </c>
      <c r="K1" s="44" t="s">
        <v>742</v>
      </c>
      <c r="L1" s="111" t="s">
        <v>1956</v>
      </c>
      <c r="M1" s="111" t="s">
        <v>1957</v>
      </c>
      <c r="N1" s="111" t="s">
        <v>1958</v>
      </c>
      <c r="O1" s="111" t="s">
        <v>1959</v>
      </c>
      <c r="P1" s="111" t="s">
        <v>1960</v>
      </c>
      <c r="Q1" s="111" t="s">
        <v>1961</v>
      </c>
      <c r="R1" s="111" t="s">
        <v>1962</v>
      </c>
      <c r="S1" s="111" t="s">
        <v>1963</v>
      </c>
      <c r="T1" s="111" t="s">
        <v>1964</v>
      </c>
      <c r="U1" s="111" t="s">
        <v>1965</v>
      </c>
      <c r="V1" s="111" t="s">
        <v>1966</v>
      </c>
      <c r="W1" s="245" t="s">
        <v>1466</v>
      </c>
      <c r="X1" s="245" t="s">
        <v>1467</v>
      </c>
      <c r="Y1" s="245" t="s">
        <v>1466</v>
      </c>
      <c r="Z1" s="245" t="s">
        <v>1467</v>
      </c>
      <c r="AA1" s="111" t="s">
        <v>1967</v>
      </c>
      <c r="AB1" s="245" t="s">
        <v>1468</v>
      </c>
      <c r="AC1" s="114" t="s">
        <v>1968</v>
      </c>
      <c r="AD1" s="246" t="s">
        <v>1969</v>
      </c>
      <c r="AE1" s="114" t="s">
        <v>1970</v>
      </c>
      <c r="AF1" s="115" t="s">
        <v>1971</v>
      </c>
      <c r="AG1" s="246"/>
      <c r="AH1" s="116" t="s">
        <v>1628</v>
      </c>
      <c r="AI1" s="116" t="s">
        <v>1972</v>
      </c>
      <c r="AJ1" s="116" t="s">
        <v>1630</v>
      </c>
      <c r="AK1" s="116" t="s">
        <v>1973</v>
      </c>
    </row>
    <row r="2" spans="1:37" x14ac:dyDescent="0.2">
      <c r="B2" t="s">
        <v>1974</v>
      </c>
      <c r="C2" t="s">
        <v>1975</v>
      </c>
      <c r="E2">
        <v>949797</v>
      </c>
      <c r="H2" t="s">
        <v>1976</v>
      </c>
      <c r="I2" t="s">
        <v>1975</v>
      </c>
      <c r="L2">
        <v>1</v>
      </c>
      <c r="M2">
        <v>8.81</v>
      </c>
      <c r="N2">
        <v>-24.41</v>
      </c>
      <c r="O2">
        <v>45</v>
      </c>
      <c r="P2">
        <v>48</v>
      </c>
      <c r="R2">
        <v>4</v>
      </c>
      <c r="S2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644A-7A08-4C3C-8D22-67F9B2247AB1}">
  <dimension ref="A1:AG111"/>
  <sheetViews>
    <sheetView workbookViewId="0">
      <pane xSplit="2" ySplit="1" topLeftCell="C50" activePane="bottomRight" state="frozen"/>
      <selection pane="topRight"/>
      <selection pane="bottomLeft"/>
      <selection pane="bottomRight" activeCell="A50" sqref="A50"/>
    </sheetView>
  </sheetViews>
  <sheetFormatPr baseColWidth="10" defaultColWidth="9" defaultRowHeight="16" x14ac:dyDescent="0.2"/>
  <cols>
    <col min="1" max="1" width="13.6640625" style="1" customWidth="1"/>
    <col min="2" max="2" width="15.5" style="1" customWidth="1"/>
    <col min="3" max="3" width="9.1640625" style="1" customWidth="1"/>
    <col min="4" max="4" width="20.6640625" style="1" customWidth="1"/>
    <col min="5" max="7" width="9" style="1" customWidth="1"/>
    <col min="8" max="8" width="9" style="1"/>
    <col min="9" max="9" width="9" style="1" customWidth="1"/>
    <col min="10" max="20" width="9" style="113" customWidth="1"/>
    <col min="21" max="22" width="9" style="63" customWidth="1"/>
    <col min="23" max="23" width="9" style="113" customWidth="1"/>
    <col min="24" max="24" width="18.6640625" style="63" customWidth="1"/>
    <col min="25" max="25" width="9" style="1" customWidth="1"/>
    <col min="26" max="26" width="15.33203125" style="82" customWidth="1"/>
    <col min="27" max="27" width="9" style="116" customWidth="1"/>
    <col min="28" max="28" width="9" style="117" customWidth="1"/>
    <col min="29" max="29" width="9" style="82" customWidth="1"/>
    <col min="30" max="16384" width="9" style="1"/>
  </cols>
  <sheetData>
    <row r="1" spans="1:33" ht="51" x14ac:dyDescent="0.2">
      <c r="A1" s="41" t="s">
        <v>1465</v>
      </c>
      <c r="B1" s="41" t="s">
        <v>6</v>
      </c>
      <c r="C1" s="41" t="s">
        <v>1</v>
      </c>
      <c r="D1" s="41" t="s">
        <v>1951</v>
      </c>
      <c r="E1" s="42" t="s">
        <v>1954</v>
      </c>
      <c r="F1" s="42" t="s">
        <v>11</v>
      </c>
      <c r="G1" s="42" t="s">
        <v>742</v>
      </c>
      <c r="H1" s="43" t="s">
        <v>1977</v>
      </c>
      <c r="I1" s="43" t="s">
        <v>1978</v>
      </c>
      <c r="J1" s="111" t="s">
        <v>1956</v>
      </c>
      <c r="K1" s="111" t="s">
        <v>1957</v>
      </c>
      <c r="L1" s="111" t="s">
        <v>1958</v>
      </c>
      <c r="M1" s="110" t="s">
        <v>1959</v>
      </c>
      <c r="N1" s="110" t="s">
        <v>1960</v>
      </c>
      <c r="O1" s="111" t="s">
        <v>1961</v>
      </c>
      <c r="P1" s="110" t="s">
        <v>1962</v>
      </c>
      <c r="Q1" s="110" t="s">
        <v>1963</v>
      </c>
      <c r="R1" s="111" t="s">
        <v>1964</v>
      </c>
      <c r="S1" s="109" t="s">
        <v>1965</v>
      </c>
      <c r="T1" s="109" t="s">
        <v>1979</v>
      </c>
      <c r="U1" s="112" t="s">
        <v>1466</v>
      </c>
      <c r="V1" s="112" t="s">
        <v>1467</v>
      </c>
      <c r="W1" s="109" t="s">
        <v>1967</v>
      </c>
      <c r="X1" s="112" t="s">
        <v>1468</v>
      </c>
      <c r="Y1" s="45" t="s">
        <v>1968</v>
      </c>
      <c r="Z1" s="119" t="s">
        <v>1969</v>
      </c>
      <c r="AA1" s="114" t="s">
        <v>1970</v>
      </c>
      <c r="AB1" s="115" t="s">
        <v>1971</v>
      </c>
      <c r="AC1" s="103" t="s">
        <v>1980</v>
      </c>
      <c r="AD1" s="1" t="s">
        <v>1628</v>
      </c>
      <c r="AE1" s="1" t="s">
        <v>1972</v>
      </c>
      <c r="AF1" s="1" t="s">
        <v>1630</v>
      </c>
      <c r="AG1" s="1" t="s">
        <v>1973</v>
      </c>
    </row>
    <row r="2" spans="1:33" x14ac:dyDescent="0.2">
      <c r="A2" s="118" t="s">
        <v>391</v>
      </c>
      <c r="B2" s="1" t="s">
        <v>389</v>
      </c>
      <c r="C2" s="1" t="s">
        <v>388</v>
      </c>
      <c r="D2" s="1" t="s">
        <v>1981</v>
      </c>
      <c r="E2" s="1" t="s">
        <v>1982</v>
      </c>
      <c r="F2" s="1" t="s">
        <v>1983</v>
      </c>
      <c r="G2" s="1" t="s">
        <v>742</v>
      </c>
      <c r="H2" s="1">
        <v>753757</v>
      </c>
      <c r="J2" s="113">
        <v>1</v>
      </c>
      <c r="M2" s="113">
        <v>48.606000000000002</v>
      </c>
      <c r="N2" s="113">
        <v>49.868000000000002</v>
      </c>
      <c r="O2" s="113">
        <f>(N2+M2)/2</f>
        <v>49.237000000000002</v>
      </c>
      <c r="P2" s="113">
        <v>7.5460000000000003</v>
      </c>
      <c r="Q2" s="113">
        <v>8.73</v>
      </c>
      <c r="R2" s="113">
        <f>(Q2+P2)/2</f>
        <v>8.1379999999999999</v>
      </c>
      <c r="S2" s="113">
        <f>N2-M2</f>
        <v>1.2620000000000005</v>
      </c>
      <c r="T2" s="113">
        <f>Q2-P2</f>
        <v>1.1840000000000002</v>
      </c>
      <c r="U2" s="63">
        <f>S2/(W2)</f>
        <v>63.100000000000023</v>
      </c>
      <c r="V2" s="63">
        <f>T2/(W2)</f>
        <v>59.20000000000001</v>
      </c>
      <c r="W2" s="113">
        <v>0.02</v>
      </c>
      <c r="X2" s="63">
        <f>U2*V2</f>
        <v>3735.5200000000018</v>
      </c>
      <c r="Y2" s="82">
        <v>0.78888888888888886</v>
      </c>
      <c r="Z2" s="82">
        <v>4.4444444444444446E-2</v>
      </c>
      <c r="AD2" s="1" t="s">
        <v>1628</v>
      </c>
      <c r="AE2" s="1" t="s">
        <v>1984</v>
      </c>
      <c r="AF2" s="1" t="s">
        <v>1984</v>
      </c>
      <c r="AG2" s="80"/>
    </row>
    <row r="3" spans="1:33" x14ac:dyDescent="0.2">
      <c r="A3" s="118" t="s">
        <v>398</v>
      </c>
      <c r="B3" s="1" t="s">
        <v>389</v>
      </c>
      <c r="C3" s="1" t="s">
        <v>397</v>
      </c>
      <c r="D3" s="1" t="s">
        <v>1981</v>
      </c>
      <c r="E3" s="1" t="s">
        <v>1982</v>
      </c>
      <c r="F3" s="1" t="s">
        <v>1985</v>
      </c>
      <c r="G3" s="1" t="s">
        <v>742</v>
      </c>
      <c r="H3" s="1">
        <v>753758</v>
      </c>
      <c r="J3" s="113">
        <v>1</v>
      </c>
      <c r="M3" s="113">
        <v>46.481000000000002</v>
      </c>
      <c r="N3" s="113">
        <v>47.872999999999998</v>
      </c>
      <c r="O3" s="113">
        <f t="shared" ref="O3:O72" si="0">(N3+M3)/2</f>
        <v>47.177</v>
      </c>
      <c r="P3" s="113">
        <v>8.5269999999999992</v>
      </c>
      <c r="Q3" s="113">
        <v>9.9830000000000005</v>
      </c>
      <c r="R3" s="113">
        <f t="shared" ref="R3:R69" si="1">(Q3+P3)/2</f>
        <v>9.254999999999999</v>
      </c>
      <c r="S3" s="113">
        <f t="shared" ref="S3:S69" si="2">N3-M3</f>
        <v>1.3919999999999959</v>
      </c>
      <c r="T3" s="113">
        <f t="shared" ref="T3:T69" si="3">Q3-P3</f>
        <v>1.4560000000000013</v>
      </c>
      <c r="U3" s="63">
        <f t="shared" ref="U3:U14" si="4">S3/(W3)</f>
        <v>69.599999999999795</v>
      </c>
      <c r="V3" s="63">
        <f t="shared" ref="V3:V14" si="5">T3/(W3)</f>
        <v>72.800000000000068</v>
      </c>
      <c r="W3" s="113">
        <v>0.02</v>
      </c>
      <c r="X3" s="63">
        <f t="shared" ref="X3:X73" si="6">U3*V3</f>
        <v>5066.8799999999901</v>
      </c>
      <c r="Y3" s="82">
        <v>0.85902777777777772</v>
      </c>
      <c r="Z3" s="82">
        <v>5.9027777777777776E-2</v>
      </c>
      <c r="AC3" s="82">
        <f t="shared" ref="AC3:AC5" si="7">Y3+Z3</f>
        <v>0.91805555555555551</v>
      </c>
      <c r="AD3" s="82" t="s">
        <v>1628</v>
      </c>
      <c r="AE3" s="1" t="s">
        <v>1984</v>
      </c>
      <c r="AF3" s="1" t="s">
        <v>1984</v>
      </c>
    </row>
    <row r="4" spans="1:33" x14ac:dyDescent="0.2">
      <c r="A4" s="118" t="s">
        <v>408</v>
      </c>
      <c r="B4" s="1" t="s">
        <v>389</v>
      </c>
      <c r="C4" s="1" t="s">
        <v>407</v>
      </c>
      <c r="D4" s="1" t="s">
        <v>1981</v>
      </c>
      <c r="E4" s="1" t="s">
        <v>1986</v>
      </c>
      <c r="G4" s="1" t="s">
        <v>742</v>
      </c>
      <c r="H4" s="1">
        <v>753759</v>
      </c>
      <c r="J4" s="113">
        <v>1</v>
      </c>
      <c r="M4" s="113">
        <v>49.216999999999999</v>
      </c>
      <c r="N4" s="113">
        <v>50.271000000000001</v>
      </c>
      <c r="O4" s="113">
        <f t="shared" si="0"/>
        <v>49.744</v>
      </c>
      <c r="P4" s="113">
        <v>8.6579999999999995</v>
      </c>
      <c r="Q4" s="113">
        <v>10.081</v>
      </c>
      <c r="R4" s="113">
        <f t="shared" si="1"/>
        <v>9.3694999999999986</v>
      </c>
      <c r="S4" s="113">
        <f t="shared" si="2"/>
        <v>1.054000000000002</v>
      </c>
      <c r="T4" s="113">
        <f t="shared" si="3"/>
        <v>1.423</v>
      </c>
      <c r="U4" s="63">
        <f t="shared" si="4"/>
        <v>52.700000000000102</v>
      </c>
      <c r="V4" s="63">
        <f t="shared" si="5"/>
        <v>71.150000000000006</v>
      </c>
      <c r="W4" s="113">
        <v>0.02</v>
      </c>
      <c r="X4" s="63">
        <f t="shared" si="6"/>
        <v>3749.6050000000077</v>
      </c>
      <c r="Y4" s="82">
        <v>0.94791666666666663</v>
      </c>
      <c r="Z4" s="82">
        <v>4.3749999999999997E-2</v>
      </c>
      <c r="AC4" s="82">
        <f t="shared" si="7"/>
        <v>0.99166666666666659</v>
      </c>
      <c r="AD4" s="1" t="s">
        <v>1628</v>
      </c>
      <c r="AE4" s="1" t="s">
        <v>1984</v>
      </c>
      <c r="AF4" s="1" t="s">
        <v>1984</v>
      </c>
    </row>
    <row r="5" spans="1:33" x14ac:dyDescent="0.2">
      <c r="A5" s="118">
        <v>302</v>
      </c>
      <c r="B5" s="1" t="s">
        <v>297</v>
      </c>
      <c r="C5" s="1" t="s">
        <v>576</v>
      </c>
      <c r="D5" s="1" t="s">
        <v>1981</v>
      </c>
      <c r="E5" s="1" t="s">
        <v>1986</v>
      </c>
      <c r="F5" s="1" t="s">
        <v>1987</v>
      </c>
      <c r="G5" s="1" t="s">
        <v>9</v>
      </c>
      <c r="H5" s="1">
        <v>753760</v>
      </c>
      <c r="J5" s="113">
        <v>1</v>
      </c>
      <c r="M5" s="113">
        <v>48.671999999999997</v>
      </c>
      <c r="N5" s="113">
        <v>49.856999999999999</v>
      </c>
      <c r="O5" s="113">
        <f t="shared" si="0"/>
        <v>49.264499999999998</v>
      </c>
      <c r="P5" s="113">
        <v>8.3420000000000005</v>
      </c>
      <c r="Q5" s="113">
        <v>11.433</v>
      </c>
      <c r="R5" s="113">
        <f t="shared" si="1"/>
        <v>9.8874999999999993</v>
      </c>
      <c r="S5" s="113">
        <f t="shared" si="2"/>
        <v>1.1850000000000023</v>
      </c>
      <c r="T5" s="113">
        <f t="shared" si="3"/>
        <v>3.0909999999999993</v>
      </c>
      <c r="U5" s="63">
        <f t="shared" si="4"/>
        <v>59.250000000000114</v>
      </c>
      <c r="V5" s="63">
        <f t="shared" si="5"/>
        <v>154.54999999999995</v>
      </c>
      <c r="W5" s="113">
        <v>0.02</v>
      </c>
      <c r="X5" s="63">
        <f t="shared" si="6"/>
        <v>9157.0875000000142</v>
      </c>
      <c r="Y5" s="82">
        <v>1.2500000000000001E-2</v>
      </c>
      <c r="Z5" s="82">
        <v>0.1076388888888889</v>
      </c>
      <c r="AC5" s="82">
        <f t="shared" si="7"/>
        <v>0.12013888888888889</v>
      </c>
    </row>
    <row r="6" spans="1:33" x14ac:dyDescent="0.2">
      <c r="R6" s="113">
        <f t="shared" si="1"/>
        <v>0</v>
      </c>
      <c r="S6" s="113">
        <f t="shared" si="2"/>
        <v>0</v>
      </c>
      <c r="T6" s="113">
        <f t="shared" si="3"/>
        <v>0</v>
      </c>
    </row>
    <row r="7" spans="1:33" x14ac:dyDescent="0.2">
      <c r="R7" s="113">
        <f t="shared" si="1"/>
        <v>0</v>
      </c>
      <c r="S7" s="113">
        <f t="shared" si="2"/>
        <v>0</v>
      </c>
      <c r="T7" s="113">
        <f t="shared" si="3"/>
        <v>0</v>
      </c>
    </row>
    <row r="8" spans="1:33" x14ac:dyDescent="0.2">
      <c r="R8" s="113">
        <f t="shared" si="1"/>
        <v>0</v>
      </c>
      <c r="S8" s="113">
        <f t="shared" si="2"/>
        <v>0</v>
      </c>
      <c r="T8" s="113">
        <f t="shared" si="3"/>
        <v>0</v>
      </c>
    </row>
    <row r="9" spans="1:33" x14ac:dyDescent="0.2">
      <c r="A9" s="118">
        <v>303</v>
      </c>
      <c r="B9" s="1" t="s">
        <v>306</v>
      </c>
      <c r="C9" s="1" t="s">
        <v>577</v>
      </c>
      <c r="D9" s="1" t="s">
        <v>1981</v>
      </c>
      <c r="E9" s="1" t="s">
        <v>1986</v>
      </c>
      <c r="F9" s="1" t="s">
        <v>1988</v>
      </c>
      <c r="G9" s="1" t="s">
        <v>742</v>
      </c>
      <c r="H9" s="1">
        <v>753764</v>
      </c>
      <c r="I9" s="1">
        <v>753765</v>
      </c>
      <c r="J9" s="113">
        <v>0.1</v>
      </c>
      <c r="K9" s="113">
        <v>46</v>
      </c>
      <c r="L9" s="113">
        <v>40</v>
      </c>
      <c r="M9" s="113">
        <v>53.817</v>
      </c>
      <c r="N9" s="113">
        <v>55.689</v>
      </c>
      <c r="O9" s="113">
        <f t="shared" si="0"/>
        <v>54.753</v>
      </c>
      <c r="P9" s="113">
        <v>11.318</v>
      </c>
      <c r="Q9" s="113">
        <v>12.286</v>
      </c>
      <c r="R9" s="113">
        <f t="shared" si="1"/>
        <v>11.802</v>
      </c>
      <c r="S9" s="113">
        <f t="shared" si="2"/>
        <v>1.8719999999999999</v>
      </c>
      <c r="T9" s="113">
        <f t="shared" si="3"/>
        <v>0.96799999999999997</v>
      </c>
      <c r="U9" s="63">
        <f t="shared" si="4"/>
        <v>37.44</v>
      </c>
      <c r="V9" s="63">
        <f t="shared" si="5"/>
        <v>19.36</v>
      </c>
      <c r="W9" s="113">
        <v>0.05</v>
      </c>
      <c r="X9" s="63">
        <f>U9*V9</f>
        <v>724.83839999999998</v>
      </c>
      <c r="Y9" s="82">
        <v>0.375</v>
      </c>
      <c r="Z9" s="82">
        <v>6.9444444444444447E-4</v>
      </c>
      <c r="AC9" s="82">
        <f>Y9+Z9</f>
        <v>0.37569444444444444</v>
      </c>
      <c r="AD9" s="1" t="s">
        <v>1628</v>
      </c>
      <c r="AE9" s="1" t="s">
        <v>1984</v>
      </c>
      <c r="AF9" s="1" t="s">
        <v>1984</v>
      </c>
      <c r="AG9" s="80"/>
    </row>
    <row r="10" spans="1:33" x14ac:dyDescent="0.2">
      <c r="A10" s="120">
        <v>303</v>
      </c>
      <c r="B10" s="1" t="s">
        <v>306</v>
      </c>
      <c r="C10" s="1" t="s">
        <v>577</v>
      </c>
      <c r="D10" s="1" t="s">
        <v>1981</v>
      </c>
      <c r="E10" s="1" t="s">
        <v>1986</v>
      </c>
      <c r="F10" s="1" t="s">
        <v>1989</v>
      </c>
      <c r="G10" s="1" t="s">
        <v>742</v>
      </c>
      <c r="H10" s="1">
        <v>753766</v>
      </c>
      <c r="J10" s="113">
        <v>1</v>
      </c>
      <c r="K10" s="113">
        <v>46</v>
      </c>
      <c r="L10" s="113">
        <v>35</v>
      </c>
      <c r="M10" s="113">
        <v>48.420999999999999</v>
      </c>
      <c r="N10" s="113">
        <v>49.845999999999997</v>
      </c>
      <c r="O10" s="113">
        <f t="shared" si="0"/>
        <v>49.133499999999998</v>
      </c>
      <c r="P10" s="113">
        <v>8.39</v>
      </c>
      <c r="Q10" s="113">
        <v>9.5289999999999999</v>
      </c>
      <c r="R10" s="113">
        <f t="shared" si="1"/>
        <v>8.9595000000000002</v>
      </c>
      <c r="S10" s="113">
        <f t="shared" si="2"/>
        <v>1.4249999999999972</v>
      </c>
      <c r="T10" s="113">
        <f t="shared" si="3"/>
        <v>1.1389999999999993</v>
      </c>
      <c r="U10" s="63">
        <f t="shared" si="4"/>
        <v>71.249999999999858</v>
      </c>
      <c r="V10" s="63">
        <f t="shared" si="5"/>
        <v>56.949999999999967</v>
      </c>
      <c r="W10" s="113">
        <v>0.02</v>
      </c>
      <c r="X10" s="63">
        <f>U10*V10</f>
        <v>4057.6874999999895</v>
      </c>
      <c r="Y10" s="82">
        <v>0.40486111111111112</v>
      </c>
      <c r="Z10" s="82">
        <v>4.7222222222222221E-2</v>
      </c>
      <c r="AC10" s="82">
        <f>Y10+Z10</f>
        <v>0.45208333333333334</v>
      </c>
    </row>
    <row r="11" spans="1:33" x14ac:dyDescent="0.2">
      <c r="A11" s="118">
        <v>304</v>
      </c>
      <c r="B11" s="1" t="s">
        <v>297</v>
      </c>
      <c r="C11" s="1" t="s">
        <v>578</v>
      </c>
      <c r="D11" s="1" t="s">
        <v>1981</v>
      </c>
      <c r="E11" s="1" t="s">
        <v>1986</v>
      </c>
      <c r="F11" s="1" t="s">
        <v>1990</v>
      </c>
      <c r="G11" s="1" t="s">
        <v>742</v>
      </c>
      <c r="H11" s="1">
        <v>753766</v>
      </c>
      <c r="I11" s="1" t="s">
        <v>1991</v>
      </c>
      <c r="J11" s="113">
        <v>1</v>
      </c>
      <c r="K11" s="113">
        <v>46</v>
      </c>
      <c r="L11" s="113">
        <v>35</v>
      </c>
      <c r="M11" s="113">
        <v>47.691000000000003</v>
      </c>
      <c r="N11" s="113">
        <v>49.225000000000001</v>
      </c>
      <c r="O11" s="113">
        <f t="shared" si="0"/>
        <v>48.457999999999998</v>
      </c>
      <c r="P11" s="113">
        <v>9.7739999999999991</v>
      </c>
      <c r="Q11" s="113">
        <v>11.196999999999999</v>
      </c>
      <c r="R11" s="113">
        <f t="shared" si="1"/>
        <v>10.485499999999998</v>
      </c>
      <c r="S11" s="113">
        <f t="shared" si="2"/>
        <v>1.5339999999999989</v>
      </c>
      <c r="T11" s="113">
        <f t="shared" si="3"/>
        <v>1.423</v>
      </c>
      <c r="U11" s="63">
        <f t="shared" si="4"/>
        <v>76.699999999999946</v>
      </c>
      <c r="V11" s="63">
        <f t="shared" si="5"/>
        <v>71.150000000000006</v>
      </c>
      <c r="W11" s="113">
        <v>0.02</v>
      </c>
      <c r="X11" s="63">
        <f t="shared" si="6"/>
        <v>5457.2049999999963</v>
      </c>
      <c r="Y11" s="82">
        <v>0.46597222222222223</v>
      </c>
      <c r="Z11" s="82">
        <v>6.3888888888888884E-2</v>
      </c>
      <c r="AC11" s="82">
        <f>Y11+Z11</f>
        <v>0.52986111111111112</v>
      </c>
      <c r="AD11" s="1" t="s">
        <v>1628</v>
      </c>
      <c r="AE11" s="1" t="s">
        <v>1984</v>
      </c>
      <c r="AF11" s="1" t="s">
        <v>1984</v>
      </c>
      <c r="AG11" s="80"/>
    </row>
    <row r="12" spans="1:33" x14ac:dyDescent="0.2">
      <c r="A12" s="118">
        <v>306</v>
      </c>
      <c r="B12" s="1" t="s">
        <v>297</v>
      </c>
      <c r="C12" s="1" t="s">
        <v>580</v>
      </c>
      <c r="D12" s="1" t="s">
        <v>1981</v>
      </c>
      <c r="E12" s="1" t="s">
        <v>1986</v>
      </c>
      <c r="F12" s="1" t="s">
        <v>1992</v>
      </c>
      <c r="G12" s="1" t="s">
        <v>742</v>
      </c>
      <c r="H12" s="1">
        <v>753768</v>
      </c>
      <c r="J12" s="113">
        <v>1</v>
      </c>
      <c r="K12" s="113">
        <v>46</v>
      </c>
      <c r="L12" s="113">
        <v>35</v>
      </c>
      <c r="M12" s="113">
        <v>46.154000000000003</v>
      </c>
      <c r="N12" s="113">
        <v>47.643999999999998</v>
      </c>
      <c r="O12" s="113">
        <f t="shared" si="0"/>
        <v>46.899000000000001</v>
      </c>
      <c r="P12" s="113">
        <v>8.6839999999999993</v>
      </c>
      <c r="Q12" s="113">
        <v>9.8230000000000004</v>
      </c>
      <c r="R12" s="113">
        <f t="shared" si="1"/>
        <v>9.2534999999999989</v>
      </c>
      <c r="S12" s="113">
        <f t="shared" si="2"/>
        <v>1.4899999999999949</v>
      </c>
      <c r="T12" s="113">
        <f t="shared" si="3"/>
        <v>1.1390000000000011</v>
      </c>
      <c r="U12" s="63">
        <f t="shared" si="4"/>
        <v>74.499999999999744</v>
      </c>
      <c r="V12" s="63">
        <f t="shared" si="5"/>
        <v>56.950000000000053</v>
      </c>
      <c r="W12" s="113">
        <v>0.02</v>
      </c>
      <c r="X12" s="63">
        <f t="shared" si="6"/>
        <v>4242.7749999999896</v>
      </c>
      <c r="Y12" s="82">
        <v>0.5395833333333333</v>
      </c>
      <c r="Z12" s="82">
        <v>4.9305555555555554E-2</v>
      </c>
      <c r="AC12" s="82">
        <f>Y12+Z12</f>
        <v>0.58888888888888891</v>
      </c>
    </row>
    <row r="13" spans="1:33" x14ac:dyDescent="0.2">
      <c r="A13" s="118">
        <v>307</v>
      </c>
      <c r="B13" s="1" t="s">
        <v>306</v>
      </c>
      <c r="C13" s="1" t="s">
        <v>581</v>
      </c>
      <c r="D13" s="1" t="s">
        <v>1981</v>
      </c>
      <c r="F13" s="1" t="s">
        <v>1993</v>
      </c>
      <c r="G13" s="1" t="s">
        <v>742</v>
      </c>
      <c r="H13" s="1">
        <v>753775</v>
      </c>
      <c r="J13" s="113">
        <v>1</v>
      </c>
      <c r="K13" s="113">
        <v>46</v>
      </c>
      <c r="L13" s="113">
        <v>35</v>
      </c>
      <c r="M13" s="113">
        <v>49.039000000000001</v>
      </c>
      <c r="N13" s="113">
        <v>50.91</v>
      </c>
      <c r="O13" s="113">
        <f t="shared" si="0"/>
        <v>49.974499999999999</v>
      </c>
      <c r="P13" s="113">
        <v>8.3320000000000007</v>
      </c>
      <c r="Q13" s="113">
        <v>9.4789999999999992</v>
      </c>
      <c r="R13" s="113">
        <f t="shared" si="1"/>
        <v>8.9055</v>
      </c>
      <c r="S13" s="113">
        <f t="shared" si="2"/>
        <v>1.8709999999999951</v>
      </c>
      <c r="T13" s="113">
        <f t="shared" si="3"/>
        <v>1.1469999999999985</v>
      </c>
      <c r="U13" s="63">
        <f t="shared" si="4"/>
        <v>93.549999999999756</v>
      </c>
      <c r="V13" s="63">
        <f t="shared" si="5"/>
        <v>57.349999999999923</v>
      </c>
      <c r="W13" s="113">
        <v>0.02</v>
      </c>
      <c r="X13" s="63">
        <f t="shared" si="6"/>
        <v>5365.0924999999788</v>
      </c>
      <c r="Y13" s="82">
        <v>0.78888888888888886</v>
      </c>
      <c r="Z13" s="82">
        <v>6.25E-2</v>
      </c>
      <c r="AC13" s="82">
        <f>Y13+Z13</f>
        <v>0.85138888888888886</v>
      </c>
    </row>
    <row r="14" spans="1:33" x14ac:dyDescent="0.2">
      <c r="A14" s="118">
        <v>309</v>
      </c>
      <c r="B14" s="1" t="s">
        <v>306</v>
      </c>
      <c r="C14" s="1" t="s">
        <v>583</v>
      </c>
      <c r="D14" s="1" t="s">
        <v>1981</v>
      </c>
      <c r="E14" s="1" t="s">
        <v>1982</v>
      </c>
      <c r="G14" s="1" t="s">
        <v>742</v>
      </c>
      <c r="H14" s="1">
        <v>753774</v>
      </c>
      <c r="J14" s="113">
        <v>1</v>
      </c>
      <c r="K14" s="113">
        <v>46</v>
      </c>
      <c r="L14" s="113">
        <v>35</v>
      </c>
      <c r="M14" s="113">
        <v>48.853999999999999</v>
      </c>
      <c r="N14" s="113">
        <v>50.027999999999999</v>
      </c>
      <c r="O14" s="113">
        <f t="shared" si="0"/>
        <v>49.441000000000003</v>
      </c>
      <c r="P14" s="113">
        <v>10.196</v>
      </c>
      <c r="Q14" s="113">
        <v>11.289</v>
      </c>
      <c r="R14" s="113">
        <f t="shared" si="1"/>
        <v>10.7425</v>
      </c>
      <c r="S14" s="113">
        <f t="shared" si="2"/>
        <v>1.1739999999999995</v>
      </c>
      <c r="T14" s="113">
        <f t="shared" si="3"/>
        <v>1.093</v>
      </c>
      <c r="U14" s="63">
        <f t="shared" si="4"/>
        <v>58.699999999999974</v>
      </c>
      <c r="V14" s="63">
        <f t="shared" si="5"/>
        <v>54.65</v>
      </c>
      <c r="W14" s="113">
        <v>0.02</v>
      </c>
      <c r="X14" s="63">
        <f t="shared" si="6"/>
        <v>3207.9549999999986</v>
      </c>
      <c r="Y14" s="82">
        <v>0.74097222222222225</v>
      </c>
      <c r="Z14" s="82">
        <v>3.7499999999999999E-2</v>
      </c>
      <c r="AC14" s="82">
        <f t="shared" ref="AC14" si="8">Y14+Z14</f>
        <v>0.77847222222222223</v>
      </c>
      <c r="AG14" s="80"/>
    </row>
    <row r="15" spans="1:33" x14ac:dyDescent="0.2">
      <c r="A15" s="118">
        <v>310</v>
      </c>
      <c r="B15" s="1" t="s">
        <v>306</v>
      </c>
      <c r="C15" s="1" t="s">
        <v>584</v>
      </c>
      <c r="D15" s="1" t="s">
        <v>1981</v>
      </c>
      <c r="E15" s="1" t="s">
        <v>1986</v>
      </c>
      <c r="F15" s="1" t="s">
        <v>1994</v>
      </c>
      <c r="G15" s="1" t="s">
        <v>742</v>
      </c>
      <c r="H15" s="1">
        <v>753770</v>
      </c>
      <c r="J15" s="113">
        <v>1</v>
      </c>
      <c r="K15" s="113">
        <v>46</v>
      </c>
      <c r="L15" s="113">
        <v>35</v>
      </c>
      <c r="M15" s="113">
        <v>47.232999999999997</v>
      </c>
      <c r="N15" s="113">
        <v>48.244</v>
      </c>
      <c r="O15" s="113">
        <f>(N15+M15)/2</f>
        <v>47.738500000000002</v>
      </c>
      <c r="P15" s="113">
        <v>8.0410000000000004</v>
      </c>
      <c r="Q15" s="113">
        <v>9.4420000000000002</v>
      </c>
      <c r="R15" s="113">
        <f t="shared" si="1"/>
        <v>8.7415000000000003</v>
      </c>
      <c r="S15" s="113">
        <f t="shared" si="2"/>
        <v>1.0110000000000028</v>
      </c>
      <c r="T15" s="113">
        <f t="shared" si="3"/>
        <v>1.4009999999999998</v>
      </c>
      <c r="U15" s="63">
        <f>S15/(W15)</f>
        <v>50.550000000000139</v>
      </c>
      <c r="V15" s="63">
        <f>T15/(W15)</f>
        <v>70.049999999999983</v>
      </c>
      <c r="W15" s="113">
        <v>0.02</v>
      </c>
      <c r="X15" s="63">
        <f>U15*V15</f>
        <v>3541.0275000000088</v>
      </c>
      <c r="Y15" s="82">
        <v>0.66041666666666665</v>
      </c>
      <c r="Z15" s="82">
        <v>4.1666666666666664E-2</v>
      </c>
      <c r="AC15" s="82">
        <f>Y15+Z15</f>
        <v>0.70208333333333328</v>
      </c>
      <c r="AD15" s="1" t="s">
        <v>1628</v>
      </c>
      <c r="AE15" s="1" t="s">
        <v>1984</v>
      </c>
      <c r="AF15" s="1" t="s">
        <v>1984</v>
      </c>
      <c r="AG15" s="80"/>
    </row>
    <row r="16" spans="1:33" x14ac:dyDescent="0.2">
      <c r="A16" s="120">
        <v>310</v>
      </c>
      <c r="B16" s="1" t="s">
        <v>306</v>
      </c>
      <c r="C16" s="1" t="s">
        <v>584</v>
      </c>
      <c r="D16" s="1" t="s">
        <v>1981</v>
      </c>
      <c r="F16" s="1" t="s">
        <v>1995</v>
      </c>
      <c r="G16" s="1" t="s">
        <v>9</v>
      </c>
      <c r="H16" s="1">
        <v>753771</v>
      </c>
      <c r="J16" s="113">
        <v>0.1</v>
      </c>
      <c r="K16" s="113">
        <v>46</v>
      </c>
      <c r="L16" s="113">
        <v>35</v>
      </c>
      <c r="M16" s="113">
        <v>44.823999999999998</v>
      </c>
      <c r="N16" s="113">
        <v>45.835000000000001</v>
      </c>
      <c r="O16" s="113">
        <f>(N16+M16)/2</f>
        <v>45.329499999999996</v>
      </c>
      <c r="P16" s="113">
        <v>7.343</v>
      </c>
      <c r="Q16" s="113">
        <v>8.7439999999999998</v>
      </c>
      <c r="R16" s="113">
        <f t="shared" si="1"/>
        <v>8.0434999999999999</v>
      </c>
      <c r="S16" s="113">
        <f t="shared" si="2"/>
        <v>1.0110000000000028</v>
      </c>
      <c r="T16" s="113">
        <f t="shared" si="3"/>
        <v>1.4009999999999998</v>
      </c>
      <c r="U16" s="63">
        <f>S16/(W16)</f>
        <v>20.220000000000056</v>
      </c>
      <c r="V16" s="63">
        <f>T16/(W16)</f>
        <v>28.019999999999996</v>
      </c>
      <c r="W16" s="113">
        <v>0.05</v>
      </c>
      <c r="X16" s="63">
        <f>U16*V16</f>
        <v>566.56440000000146</v>
      </c>
      <c r="Y16" s="82">
        <v>0.7055555555555556</v>
      </c>
      <c r="Z16" s="82">
        <v>6.9444444444444447E-4</v>
      </c>
      <c r="AC16" s="82">
        <f t="shared" ref="AC16:AC29" si="9">Y16+Z16</f>
        <v>0.70625000000000004</v>
      </c>
    </row>
    <row r="17" spans="1:33" x14ac:dyDescent="0.2">
      <c r="A17" s="120">
        <v>310</v>
      </c>
      <c r="B17" s="1" t="s">
        <v>306</v>
      </c>
      <c r="C17" s="1" t="s">
        <v>584</v>
      </c>
      <c r="D17" s="1" t="s">
        <v>1981</v>
      </c>
      <c r="F17" s="1" t="s">
        <v>1995</v>
      </c>
      <c r="G17" s="1" t="s">
        <v>9</v>
      </c>
      <c r="H17" s="1">
        <v>753772</v>
      </c>
      <c r="J17" s="113">
        <v>0.1</v>
      </c>
      <c r="K17" s="113">
        <v>46</v>
      </c>
      <c r="L17" s="113">
        <v>35</v>
      </c>
      <c r="M17" s="113">
        <v>44.823999999999998</v>
      </c>
      <c r="N17" s="113">
        <v>45.835000000000001</v>
      </c>
      <c r="O17" s="113">
        <f>(N17+M17)/2</f>
        <v>45.329499999999996</v>
      </c>
      <c r="P17" s="113">
        <v>7.343</v>
      </c>
      <c r="Q17" s="113">
        <v>8.7439999999999998</v>
      </c>
      <c r="R17" s="113">
        <f t="shared" si="1"/>
        <v>8.0434999999999999</v>
      </c>
      <c r="S17" s="113">
        <f t="shared" si="2"/>
        <v>1.0110000000000028</v>
      </c>
      <c r="T17" s="113">
        <f t="shared" si="3"/>
        <v>1.4009999999999998</v>
      </c>
      <c r="U17" s="63">
        <f>S17/(W17)</f>
        <v>20.220000000000056</v>
      </c>
      <c r="V17" s="63">
        <f>T17/(W17)</f>
        <v>28.019999999999996</v>
      </c>
      <c r="W17" s="113">
        <v>0.05</v>
      </c>
      <c r="X17" s="63">
        <f>U17*V17</f>
        <v>566.56440000000146</v>
      </c>
      <c r="Y17" s="82">
        <v>0.7006944444444444</v>
      </c>
      <c r="Z17" s="82">
        <v>6.9444444444444447E-4</v>
      </c>
      <c r="AC17" s="82">
        <f t="shared" si="9"/>
        <v>0.70138888888888884</v>
      </c>
    </row>
    <row r="18" spans="1:33" x14ac:dyDescent="0.2">
      <c r="A18" s="120">
        <v>310</v>
      </c>
      <c r="B18" s="1" t="s">
        <v>306</v>
      </c>
      <c r="C18" s="1" t="s">
        <v>584</v>
      </c>
      <c r="D18" s="1" t="s">
        <v>1981</v>
      </c>
      <c r="F18" s="1" t="s">
        <v>1996</v>
      </c>
      <c r="G18" s="1" t="s">
        <v>9</v>
      </c>
      <c r="H18" s="1">
        <v>753773</v>
      </c>
      <c r="J18" s="113">
        <v>1</v>
      </c>
      <c r="K18" s="113">
        <v>46</v>
      </c>
      <c r="L18" s="113">
        <v>35</v>
      </c>
      <c r="M18" s="113">
        <v>47.232999999999997</v>
      </c>
      <c r="N18" s="113">
        <v>48.244</v>
      </c>
      <c r="O18" s="113">
        <f>(N18+M18)/2</f>
        <v>47.738500000000002</v>
      </c>
      <c r="P18" s="113">
        <v>7.7</v>
      </c>
      <c r="Q18" s="113">
        <v>8.0399999999999991</v>
      </c>
      <c r="R18" s="113">
        <f t="shared" si="1"/>
        <v>7.8699999999999992</v>
      </c>
      <c r="S18" s="113">
        <f t="shared" si="2"/>
        <v>1.0110000000000028</v>
      </c>
      <c r="T18" s="113">
        <f t="shared" si="3"/>
        <v>0.33999999999999897</v>
      </c>
      <c r="U18" s="63">
        <f>S18/(W18)</f>
        <v>50.550000000000139</v>
      </c>
      <c r="V18" s="63">
        <f>T18/(W18)</f>
        <v>16.999999999999947</v>
      </c>
      <c r="W18" s="113">
        <v>0.02</v>
      </c>
      <c r="X18" s="63">
        <f>U18*V18</f>
        <v>859.34999999999968</v>
      </c>
      <c r="Y18" s="82">
        <v>0.71180555555555558</v>
      </c>
      <c r="Z18" s="82">
        <v>1.0416666666666666E-2</v>
      </c>
      <c r="AC18" s="82">
        <f t="shared" si="9"/>
        <v>0.72222222222222221</v>
      </c>
    </row>
    <row r="19" spans="1:33" x14ac:dyDescent="0.2">
      <c r="A19" s="118">
        <v>301</v>
      </c>
      <c r="B19" s="1" t="s">
        <v>297</v>
      </c>
      <c r="C19" s="1" t="s">
        <v>575</v>
      </c>
      <c r="D19" s="1" t="s">
        <v>1997</v>
      </c>
      <c r="F19" s="1" t="s">
        <v>1998</v>
      </c>
      <c r="G19" s="1" t="s">
        <v>742</v>
      </c>
      <c r="H19" s="1">
        <v>753786</v>
      </c>
      <c r="I19" s="1" t="s">
        <v>1999</v>
      </c>
      <c r="J19" s="113">
        <v>1</v>
      </c>
      <c r="K19" s="113">
        <v>46</v>
      </c>
      <c r="L19" s="113">
        <v>35</v>
      </c>
      <c r="M19" s="113">
        <v>48.8</v>
      </c>
      <c r="N19" s="113">
        <v>50.5</v>
      </c>
      <c r="O19" s="113">
        <f t="shared" ref="O19:O22" si="10">(N19+M19)/2</f>
        <v>49.65</v>
      </c>
      <c r="P19" s="113">
        <v>7.4</v>
      </c>
      <c r="Q19" s="113">
        <v>10.8</v>
      </c>
      <c r="R19" s="113">
        <f t="shared" si="1"/>
        <v>9.1000000000000014</v>
      </c>
      <c r="S19" s="113">
        <f t="shared" si="2"/>
        <v>1.7000000000000028</v>
      </c>
      <c r="T19" s="113">
        <f t="shared" si="3"/>
        <v>3.4000000000000004</v>
      </c>
      <c r="U19" s="63">
        <f t="shared" ref="U19:U22" si="11">S19/(W19)</f>
        <v>85.000000000000142</v>
      </c>
      <c r="V19" s="63">
        <f t="shared" ref="V19:V22" si="12">T19/(W19)</f>
        <v>170.00000000000003</v>
      </c>
      <c r="W19" s="113">
        <v>0.02</v>
      </c>
      <c r="X19" s="63">
        <f t="shared" ref="X19:X22" si="13">U19*V19</f>
        <v>14450.000000000027</v>
      </c>
      <c r="Y19" s="82">
        <v>0.31597222222222221</v>
      </c>
      <c r="Z19" s="82">
        <v>0.1701388888888889</v>
      </c>
      <c r="AC19" s="82">
        <f>Y19+Z19</f>
        <v>0.4861111111111111</v>
      </c>
    </row>
    <row r="20" spans="1:33" x14ac:dyDescent="0.2">
      <c r="A20" s="120">
        <v>301</v>
      </c>
      <c r="B20" s="1" t="s">
        <v>297</v>
      </c>
      <c r="C20" s="1" t="s">
        <v>575</v>
      </c>
      <c r="D20" s="1" t="s">
        <v>1997</v>
      </c>
      <c r="F20" s="1" t="s">
        <v>2000</v>
      </c>
      <c r="G20" s="1" t="s">
        <v>742</v>
      </c>
      <c r="H20" s="1">
        <v>753785</v>
      </c>
      <c r="J20" s="113">
        <v>1</v>
      </c>
      <c r="K20" s="113">
        <v>46</v>
      </c>
      <c r="L20" s="113">
        <v>35</v>
      </c>
      <c r="M20" s="113">
        <v>48.8</v>
      </c>
      <c r="N20" s="113">
        <v>50.5</v>
      </c>
      <c r="O20" s="113">
        <f t="shared" si="10"/>
        <v>49.65</v>
      </c>
      <c r="P20" s="113">
        <v>7.4</v>
      </c>
      <c r="Q20" s="113">
        <v>10.8</v>
      </c>
      <c r="R20" s="113">
        <f t="shared" si="1"/>
        <v>9.1000000000000014</v>
      </c>
      <c r="S20" s="113">
        <f t="shared" si="2"/>
        <v>1.7000000000000028</v>
      </c>
      <c r="T20" s="113">
        <f t="shared" si="3"/>
        <v>3.4000000000000004</v>
      </c>
      <c r="U20" s="63">
        <f t="shared" si="11"/>
        <v>85.000000000000142</v>
      </c>
      <c r="V20" s="63">
        <f t="shared" si="12"/>
        <v>170.00000000000003</v>
      </c>
      <c r="W20" s="113">
        <v>0.02</v>
      </c>
      <c r="X20" s="63">
        <f t="shared" si="13"/>
        <v>14450.000000000027</v>
      </c>
      <c r="Y20" s="82">
        <v>0.14583333333333334</v>
      </c>
      <c r="Z20" s="82">
        <v>0.1701388888888889</v>
      </c>
      <c r="AC20" s="82">
        <f>Y20+Z20</f>
        <v>0.31597222222222221</v>
      </c>
    </row>
    <row r="21" spans="1:33" x14ac:dyDescent="0.2">
      <c r="A21" s="120">
        <v>301</v>
      </c>
      <c r="B21" s="1" t="s">
        <v>297</v>
      </c>
      <c r="C21" s="1" t="s">
        <v>575</v>
      </c>
      <c r="D21" s="1" t="s">
        <v>1997</v>
      </c>
      <c r="F21" s="1" t="s">
        <v>2001</v>
      </c>
      <c r="G21" s="1" t="s">
        <v>9</v>
      </c>
      <c r="H21" s="1">
        <v>753784</v>
      </c>
      <c r="J21" s="113">
        <v>0.1</v>
      </c>
      <c r="K21" s="113">
        <v>46</v>
      </c>
      <c r="L21" s="113">
        <v>35</v>
      </c>
      <c r="M21" s="113">
        <v>50.8</v>
      </c>
      <c r="N21" s="113">
        <v>52</v>
      </c>
      <c r="O21" s="113">
        <f t="shared" si="10"/>
        <v>51.4</v>
      </c>
      <c r="P21" s="113">
        <v>7.2</v>
      </c>
      <c r="Q21" s="113">
        <v>8.3000000000000007</v>
      </c>
      <c r="R21" s="113">
        <f t="shared" si="1"/>
        <v>7.75</v>
      </c>
      <c r="S21" s="113">
        <f t="shared" si="2"/>
        <v>1.2000000000000028</v>
      </c>
      <c r="T21" s="113">
        <f t="shared" si="3"/>
        <v>1.1000000000000005</v>
      </c>
      <c r="U21" s="63">
        <f t="shared" si="11"/>
        <v>24.000000000000057</v>
      </c>
      <c r="V21" s="63">
        <f t="shared" si="12"/>
        <v>22.000000000000011</v>
      </c>
      <c r="W21" s="113">
        <v>0.05</v>
      </c>
      <c r="X21" s="63">
        <f t="shared" si="13"/>
        <v>528.00000000000148</v>
      </c>
    </row>
    <row r="22" spans="1:33" x14ac:dyDescent="0.2">
      <c r="A22" s="118">
        <v>308</v>
      </c>
      <c r="B22" s="1" t="s">
        <v>306</v>
      </c>
      <c r="C22" s="1" t="s">
        <v>582</v>
      </c>
      <c r="D22" s="1" t="s">
        <v>1997</v>
      </c>
      <c r="E22" s="1" t="s">
        <v>1982</v>
      </c>
      <c r="F22" s="1" t="s">
        <v>2002</v>
      </c>
      <c r="G22" s="1" t="s">
        <v>742</v>
      </c>
      <c r="H22" s="1">
        <v>753769</v>
      </c>
      <c r="J22" s="113">
        <v>1</v>
      </c>
      <c r="K22" s="113">
        <v>46</v>
      </c>
      <c r="L22" s="113">
        <v>35</v>
      </c>
      <c r="M22" s="113">
        <v>47.811</v>
      </c>
      <c r="N22" s="113">
        <v>48.744999999999997</v>
      </c>
      <c r="O22" s="113">
        <f t="shared" si="10"/>
        <v>48.277999999999999</v>
      </c>
      <c r="P22" s="113">
        <v>9.0109999999999992</v>
      </c>
      <c r="Q22" s="113">
        <v>10.532</v>
      </c>
      <c r="R22" s="113">
        <f t="shared" si="1"/>
        <v>9.7714999999999996</v>
      </c>
      <c r="S22" s="113">
        <f t="shared" si="2"/>
        <v>0.9339999999999975</v>
      </c>
      <c r="T22" s="113">
        <f t="shared" si="3"/>
        <v>1.5210000000000008</v>
      </c>
      <c r="U22" s="63">
        <f t="shared" si="11"/>
        <v>46.699999999999875</v>
      </c>
      <c r="V22" s="63">
        <f t="shared" si="12"/>
        <v>76.05000000000004</v>
      </c>
      <c r="W22" s="113">
        <v>0.02</v>
      </c>
      <c r="X22" s="63">
        <f t="shared" si="13"/>
        <v>3551.5349999999921</v>
      </c>
      <c r="Y22" s="82">
        <v>0.60138888888888886</v>
      </c>
      <c r="Z22" s="82">
        <v>4.1666666666666664E-2</v>
      </c>
      <c r="AC22" s="82">
        <f>Y22+Z22</f>
        <v>0.64305555555555549</v>
      </c>
    </row>
    <row r="23" spans="1:33" x14ac:dyDescent="0.2">
      <c r="A23" s="120">
        <v>312</v>
      </c>
      <c r="B23" s="1" t="s">
        <v>389</v>
      </c>
      <c r="C23" s="1" t="s">
        <v>2003</v>
      </c>
      <c r="D23" s="1" t="s">
        <v>1981</v>
      </c>
      <c r="F23" s="1" t="s">
        <v>2004</v>
      </c>
      <c r="G23" s="1" t="s">
        <v>9</v>
      </c>
      <c r="H23" s="1">
        <v>753776</v>
      </c>
      <c r="J23" s="113">
        <v>0.1</v>
      </c>
      <c r="K23" s="113">
        <v>46</v>
      </c>
      <c r="L23" s="113">
        <v>35</v>
      </c>
      <c r="R23" s="113">
        <f t="shared" si="1"/>
        <v>0</v>
      </c>
      <c r="S23" s="113">
        <f t="shared" si="2"/>
        <v>0</v>
      </c>
      <c r="T23" s="113">
        <f t="shared" si="3"/>
        <v>0</v>
      </c>
      <c r="Y23" s="82"/>
    </row>
    <row r="24" spans="1:33" x14ac:dyDescent="0.2">
      <c r="A24" s="118">
        <v>312</v>
      </c>
      <c r="B24" s="1" t="s">
        <v>389</v>
      </c>
      <c r="C24" s="1" t="s">
        <v>2003</v>
      </c>
      <c r="D24" s="1" t="s">
        <v>1981</v>
      </c>
      <c r="G24" s="1" t="s">
        <v>742</v>
      </c>
      <c r="H24" s="1">
        <v>753777</v>
      </c>
      <c r="J24" s="113">
        <v>1</v>
      </c>
      <c r="K24" s="113">
        <v>46</v>
      </c>
      <c r="L24" s="113">
        <v>35</v>
      </c>
      <c r="M24" s="113">
        <v>46.587000000000003</v>
      </c>
      <c r="N24" s="113">
        <v>47.771000000000001</v>
      </c>
      <c r="O24" s="113">
        <f t="shared" si="0"/>
        <v>47.179000000000002</v>
      </c>
      <c r="P24" s="113">
        <v>8.3650000000000002</v>
      </c>
      <c r="Q24" s="113">
        <v>9.7729999999999997</v>
      </c>
      <c r="R24" s="113">
        <f t="shared" si="1"/>
        <v>9.0689999999999991</v>
      </c>
      <c r="S24" s="113">
        <f t="shared" si="2"/>
        <v>1.1839999999999975</v>
      </c>
      <c r="T24" s="113">
        <f t="shared" si="3"/>
        <v>1.4079999999999995</v>
      </c>
      <c r="U24" s="63">
        <f t="shared" ref="U24:U72" si="14">S24/(W24)</f>
        <v>59.199999999999875</v>
      </c>
      <c r="V24" s="63">
        <f t="shared" ref="V24:V72" si="15">T24/(W24)</f>
        <v>70.399999999999977</v>
      </c>
      <c r="W24" s="113">
        <v>0.02</v>
      </c>
      <c r="X24" s="63">
        <f t="shared" si="6"/>
        <v>4167.6799999999903</v>
      </c>
      <c r="Y24" s="82">
        <v>0.86805555555555558</v>
      </c>
      <c r="Z24" s="82">
        <v>4.9305555555555554E-2</v>
      </c>
      <c r="AC24" s="82">
        <f t="shared" si="9"/>
        <v>0.91736111111111118</v>
      </c>
      <c r="AD24" s="1" t="s">
        <v>1628</v>
      </c>
      <c r="AE24" s="1" t="s">
        <v>1984</v>
      </c>
      <c r="AF24" s="1" t="s">
        <v>1984</v>
      </c>
      <c r="AG24" s="80"/>
    </row>
    <row r="25" spans="1:33" x14ac:dyDescent="0.2">
      <c r="A25" s="120">
        <v>312</v>
      </c>
      <c r="B25" s="1" t="s">
        <v>389</v>
      </c>
      <c r="C25" s="1" t="s">
        <v>2003</v>
      </c>
      <c r="D25" s="1" t="s">
        <v>1981</v>
      </c>
      <c r="F25" s="1" t="s">
        <v>2005</v>
      </c>
      <c r="G25" s="1" t="s">
        <v>9</v>
      </c>
      <c r="H25" s="1">
        <v>753779</v>
      </c>
      <c r="J25" s="113">
        <v>1</v>
      </c>
      <c r="K25" s="113">
        <v>46</v>
      </c>
      <c r="L25" s="113">
        <v>35</v>
      </c>
      <c r="M25" s="113">
        <v>46.587000000000003</v>
      </c>
      <c r="N25" s="113">
        <v>47.771000000000001</v>
      </c>
      <c r="O25" s="113">
        <f t="shared" si="0"/>
        <v>47.179000000000002</v>
      </c>
      <c r="P25" s="113">
        <v>8.3650000000000002</v>
      </c>
      <c r="Q25" s="113">
        <v>9.7729999999999997</v>
      </c>
      <c r="R25" s="113">
        <f t="shared" si="1"/>
        <v>9.0689999999999991</v>
      </c>
      <c r="S25" s="113">
        <f t="shared" si="2"/>
        <v>1.1839999999999975</v>
      </c>
      <c r="T25" s="113">
        <f t="shared" si="3"/>
        <v>1.4079999999999995</v>
      </c>
      <c r="U25" s="63">
        <f t="shared" si="14"/>
        <v>59.199999999999875</v>
      </c>
      <c r="V25" s="63">
        <f t="shared" si="15"/>
        <v>70.399999999999977</v>
      </c>
      <c r="W25" s="113">
        <v>0.02</v>
      </c>
      <c r="X25" s="63">
        <f t="shared" si="6"/>
        <v>4167.6799999999903</v>
      </c>
      <c r="Y25" s="82">
        <v>0.94305555555555554</v>
      </c>
      <c r="Z25" s="82">
        <v>4.9305555555555554E-2</v>
      </c>
      <c r="AC25" s="82">
        <f t="shared" si="9"/>
        <v>0.99236111111111114</v>
      </c>
    </row>
    <row r="26" spans="1:33" x14ac:dyDescent="0.2">
      <c r="A26" s="120">
        <v>320</v>
      </c>
      <c r="B26" s="1" t="s">
        <v>111</v>
      </c>
      <c r="C26" s="1" t="s">
        <v>2003</v>
      </c>
      <c r="D26" s="1" t="s">
        <v>1981</v>
      </c>
      <c r="F26" s="1" t="s">
        <v>2001</v>
      </c>
      <c r="G26" s="1" t="s">
        <v>9</v>
      </c>
      <c r="H26" s="1">
        <v>753786</v>
      </c>
      <c r="I26" s="1" t="s">
        <v>2006</v>
      </c>
      <c r="J26" s="113">
        <v>0.1</v>
      </c>
      <c r="K26" s="113">
        <v>46</v>
      </c>
      <c r="L26" s="113">
        <v>35</v>
      </c>
      <c r="R26" s="113">
        <f t="shared" si="1"/>
        <v>0</v>
      </c>
      <c r="S26" s="113">
        <f t="shared" si="2"/>
        <v>0</v>
      </c>
      <c r="T26" s="113">
        <f t="shared" si="3"/>
        <v>0</v>
      </c>
      <c r="W26" s="113">
        <v>0.05</v>
      </c>
      <c r="Y26" s="82">
        <v>0.39791666666666664</v>
      </c>
      <c r="Z26" s="82">
        <v>6.9444444444444447E-4</v>
      </c>
      <c r="AC26" s="82">
        <f t="shared" si="9"/>
        <v>0.39861111111111108</v>
      </c>
    </row>
    <row r="27" spans="1:33" x14ac:dyDescent="0.2">
      <c r="A27" s="118">
        <v>320</v>
      </c>
      <c r="B27" s="1" t="s">
        <v>111</v>
      </c>
      <c r="C27" s="1" t="s">
        <v>593</v>
      </c>
      <c r="D27" s="1" t="s">
        <v>1981</v>
      </c>
      <c r="E27" s="1" t="s">
        <v>1986</v>
      </c>
      <c r="G27" s="1" t="s">
        <v>742</v>
      </c>
      <c r="H27" s="1">
        <v>753787</v>
      </c>
      <c r="I27" s="1" t="s">
        <v>2007</v>
      </c>
      <c r="J27" s="113">
        <v>0.5</v>
      </c>
      <c r="K27" s="113">
        <v>46</v>
      </c>
      <c r="L27" s="113">
        <v>35</v>
      </c>
      <c r="M27" s="113">
        <v>48.701999999999998</v>
      </c>
      <c r="N27" s="113">
        <v>49.944000000000003</v>
      </c>
      <c r="O27" s="113">
        <f t="shared" si="0"/>
        <v>49.323</v>
      </c>
      <c r="P27" s="113">
        <v>7.88</v>
      </c>
      <c r="Q27" s="113">
        <v>10.494999999999999</v>
      </c>
      <c r="R27" s="113">
        <f t="shared" si="1"/>
        <v>9.1875</v>
      </c>
      <c r="S27" s="113">
        <f t="shared" si="2"/>
        <v>1.2420000000000044</v>
      </c>
      <c r="T27" s="113">
        <f t="shared" si="3"/>
        <v>2.6149999999999993</v>
      </c>
      <c r="U27" s="63">
        <f t="shared" si="14"/>
        <v>62.100000000000222</v>
      </c>
      <c r="V27" s="63">
        <f t="shared" si="15"/>
        <v>130.74999999999997</v>
      </c>
      <c r="W27" s="113">
        <v>0.02</v>
      </c>
      <c r="X27" s="63">
        <f t="shared" si="6"/>
        <v>8119.5750000000271</v>
      </c>
      <c r="Y27" s="82">
        <v>0.39930555555555558</v>
      </c>
      <c r="Z27" s="82">
        <v>4.7222222222222221E-2</v>
      </c>
      <c r="AC27" s="82">
        <f t="shared" si="9"/>
        <v>0.4465277777777778</v>
      </c>
      <c r="AD27" s="1" t="s">
        <v>1628</v>
      </c>
      <c r="AE27" s="1" t="s">
        <v>1984</v>
      </c>
      <c r="AF27" s="1" t="s">
        <v>1984</v>
      </c>
      <c r="AG27" s="80"/>
    </row>
    <row r="28" spans="1:33" x14ac:dyDescent="0.2">
      <c r="A28" s="118">
        <v>322</v>
      </c>
      <c r="B28" s="1" t="s">
        <v>251</v>
      </c>
      <c r="C28" s="1" t="s">
        <v>596</v>
      </c>
      <c r="D28" s="1" t="s">
        <v>1981</v>
      </c>
      <c r="F28" s="1" t="s">
        <v>2008</v>
      </c>
      <c r="G28" s="1" t="s">
        <v>742</v>
      </c>
      <c r="H28" s="1">
        <v>753781</v>
      </c>
      <c r="J28" s="113">
        <v>0.5</v>
      </c>
      <c r="K28" s="113">
        <v>46</v>
      </c>
      <c r="L28" s="113">
        <v>35</v>
      </c>
      <c r="M28" s="113">
        <v>47.000999999999998</v>
      </c>
      <c r="N28" s="113">
        <v>48.250999999999998</v>
      </c>
      <c r="O28" s="113">
        <f t="shared" si="0"/>
        <v>47.625999999999998</v>
      </c>
      <c r="P28" s="113">
        <v>8.9649999999999999</v>
      </c>
      <c r="Q28" s="113">
        <v>11.441000000000001</v>
      </c>
      <c r="R28" s="113">
        <f t="shared" si="1"/>
        <v>10.202999999999999</v>
      </c>
      <c r="S28" s="113">
        <f t="shared" si="2"/>
        <v>1.25</v>
      </c>
      <c r="T28" s="113">
        <f t="shared" si="3"/>
        <v>2.4760000000000009</v>
      </c>
      <c r="U28" s="63">
        <f t="shared" si="14"/>
        <v>62.5</v>
      </c>
      <c r="V28" s="63">
        <f t="shared" si="15"/>
        <v>123.80000000000004</v>
      </c>
      <c r="W28" s="113">
        <v>0.02</v>
      </c>
      <c r="X28" s="63">
        <f t="shared" si="6"/>
        <v>7737.5000000000027</v>
      </c>
      <c r="Y28" s="82">
        <v>9.7222222222222224E-3</v>
      </c>
      <c r="Z28" s="82">
        <v>4.5138888888888888E-2</v>
      </c>
      <c r="AC28" s="82">
        <f t="shared" si="9"/>
        <v>5.486111111111111E-2</v>
      </c>
    </row>
    <row r="29" spans="1:33" x14ac:dyDescent="0.2">
      <c r="A29" s="120">
        <v>322</v>
      </c>
      <c r="B29" s="1" t="s">
        <v>251</v>
      </c>
      <c r="C29" s="1" t="s">
        <v>596</v>
      </c>
      <c r="D29" s="1" t="s">
        <v>1981</v>
      </c>
      <c r="F29" s="1" t="s">
        <v>2009</v>
      </c>
      <c r="H29" s="1">
        <v>753780</v>
      </c>
      <c r="J29" s="113">
        <v>0.1</v>
      </c>
      <c r="K29" s="113">
        <v>46</v>
      </c>
      <c r="L29" s="113">
        <v>35</v>
      </c>
      <c r="R29" s="113">
        <f t="shared" si="1"/>
        <v>0</v>
      </c>
      <c r="S29" s="113">
        <f t="shared" si="2"/>
        <v>0</v>
      </c>
      <c r="T29" s="113">
        <f t="shared" si="3"/>
        <v>0</v>
      </c>
      <c r="W29" s="113">
        <v>0.05</v>
      </c>
      <c r="Y29" s="82">
        <v>6.9444444444444441E-3</v>
      </c>
      <c r="Z29" s="82">
        <v>6.9444444444444447E-4</v>
      </c>
      <c r="AC29" s="82">
        <f t="shared" si="9"/>
        <v>7.6388888888888886E-3</v>
      </c>
    </row>
    <row r="30" spans="1:33" x14ac:dyDescent="0.2">
      <c r="A30" s="120" t="s">
        <v>438</v>
      </c>
      <c r="B30" s="1" t="s">
        <v>251</v>
      </c>
      <c r="C30" s="1" t="s">
        <v>436</v>
      </c>
      <c r="D30" s="1" t="s">
        <v>1997</v>
      </c>
      <c r="F30" s="1" t="s">
        <v>2010</v>
      </c>
      <c r="G30" s="1" t="s">
        <v>742</v>
      </c>
      <c r="H30" s="1">
        <v>753782</v>
      </c>
      <c r="J30" s="113">
        <v>0.1</v>
      </c>
      <c r="K30" s="113">
        <v>46</v>
      </c>
      <c r="L30" s="113">
        <v>35</v>
      </c>
      <c r="M30" s="113">
        <v>51</v>
      </c>
      <c r="N30" s="113">
        <v>52.5</v>
      </c>
      <c r="O30" s="113">
        <f t="shared" ref="O30" si="16">(N30+M30)/2</f>
        <v>51.75</v>
      </c>
      <c r="P30" s="113">
        <v>10.8</v>
      </c>
      <c r="Q30" s="113">
        <v>12.441000000000001</v>
      </c>
      <c r="R30" s="113">
        <f t="shared" ref="R30:R47" si="17">(Q30+P30)/2</f>
        <v>11.6205</v>
      </c>
      <c r="S30" s="113">
        <f t="shared" ref="S30:S39" si="18">N30-M30</f>
        <v>1.5</v>
      </c>
      <c r="T30" s="113">
        <f t="shared" ref="T30:T47" si="19">Q30-P30</f>
        <v>1.641</v>
      </c>
      <c r="U30" s="63">
        <f t="shared" ref="U30" si="20">S30/(W30)</f>
        <v>30</v>
      </c>
      <c r="V30" s="63">
        <f t="shared" ref="V30" si="21">T30/(W30)</f>
        <v>32.82</v>
      </c>
      <c r="W30" s="113">
        <v>0.05</v>
      </c>
      <c r="X30" s="63">
        <f t="shared" ref="X30:X44" si="22">U30*V30</f>
        <v>984.6</v>
      </c>
    </row>
    <row r="31" spans="1:33" x14ac:dyDescent="0.2">
      <c r="A31" s="118" t="s">
        <v>438</v>
      </c>
      <c r="B31" s="1" t="s">
        <v>251</v>
      </c>
      <c r="C31" s="1" t="s">
        <v>436</v>
      </c>
      <c r="D31" s="1" t="s">
        <v>1997</v>
      </c>
      <c r="G31" s="1" t="s">
        <v>742</v>
      </c>
      <c r="H31" s="1">
        <v>753783</v>
      </c>
      <c r="J31" s="113">
        <v>0.5</v>
      </c>
      <c r="K31" s="113">
        <v>46</v>
      </c>
      <c r="L31" s="113">
        <v>35</v>
      </c>
      <c r="M31" s="113">
        <v>46.4</v>
      </c>
      <c r="N31" s="113">
        <v>47.65</v>
      </c>
      <c r="O31" s="113">
        <f>(N31+M31)/2</f>
        <v>47.024999999999999</v>
      </c>
      <c r="P31" s="113">
        <v>8.1999999999999993</v>
      </c>
      <c r="Q31" s="113">
        <v>11</v>
      </c>
      <c r="R31" s="113">
        <f t="shared" si="17"/>
        <v>9.6</v>
      </c>
      <c r="S31" s="113">
        <f t="shared" si="18"/>
        <v>1.25</v>
      </c>
      <c r="T31" s="113">
        <f t="shared" si="19"/>
        <v>2.8000000000000007</v>
      </c>
      <c r="U31" s="63">
        <f>S31/(W31)</f>
        <v>62.5</v>
      </c>
      <c r="V31" s="63">
        <f>T31/(W31)</f>
        <v>140.00000000000003</v>
      </c>
      <c r="W31" s="113">
        <v>0.02</v>
      </c>
      <c r="X31" s="63">
        <f t="shared" si="22"/>
        <v>8750.0000000000018</v>
      </c>
      <c r="Y31" s="82">
        <v>7.7083333333333337E-2</v>
      </c>
      <c r="Z31" s="82">
        <v>5.1388888888888887E-2</v>
      </c>
      <c r="AC31" s="82">
        <f>Y31+Z31</f>
        <v>0.12847222222222221</v>
      </c>
      <c r="AD31" s="1" t="s">
        <v>1628</v>
      </c>
      <c r="AE31" s="1" t="s">
        <v>1984</v>
      </c>
      <c r="AF31" s="1" t="s">
        <v>1984</v>
      </c>
      <c r="AG31" s="80"/>
    </row>
    <row r="32" spans="1:33" x14ac:dyDescent="0.2">
      <c r="A32" s="120" t="s">
        <v>541</v>
      </c>
      <c r="B32" s="1" t="s">
        <v>111</v>
      </c>
      <c r="C32" s="77" t="s">
        <v>542</v>
      </c>
      <c r="D32" s="77" t="s">
        <v>1997</v>
      </c>
      <c r="F32" s="1" t="s">
        <v>2011</v>
      </c>
      <c r="G32" s="1" t="s">
        <v>742</v>
      </c>
      <c r="H32" s="1">
        <v>753789</v>
      </c>
      <c r="J32" s="113">
        <v>0.1</v>
      </c>
      <c r="K32" s="113">
        <v>46</v>
      </c>
      <c r="L32" s="113">
        <v>35</v>
      </c>
      <c r="M32" s="1"/>
      <c r="N32" s="1"/>
      <c r="O32" s="113">
        <f>(N33+M33)/2</f>
        <v>47.786000000000001</v>
      </c>
      <c r="R32" s="113">
        <f t="shared" si="17"/>
        <v>0</v>
      </c>
      <c r="S32" s="113">
        <f t="shared" si="18"/>
        <v>0</v>
      </c>
      <c r="T32" s="113">
        <f t="shared" si="19"/>
        <v>0</v>
      </c>
      <c r="U32" s="63">
        <f>S32/(W32)</f>
        <v>0</v>
      </c>
      <c r="V32" s="63">
        <f t="shared" ref="V32:V33" si="23">T32/(W32)</f>
        <v>0</v>
      </c>
      <c r="W32" s="113">
        <v>0.05</v>
      </c>
      <c r="X32" s="63">
        <f t="shared" si="22"/>
        <v>0</v>
      </c>
      <c r="Y32" s="82">
        <v>0.46041666666666664</v>
      </c>
      <c r="Z32" s="82">
        <v>6.9444444444444447E-4</v>
      </c>
      <c r="AC32" s="82">
        <f t="shared" ref="AC32:AC38" si="24">Y32+Z32</f>
        <v>0.46111111111111108</v>
      </c>
    </row>
    <row r="33" spans="1:33" x14ac:dyDescent="0.2">
      <c r="A33" s="118" t="s">
        <v>541</v>
      </c>
      <c r="B33" s="1" t="s">
        <v>111</v>
      </c>
      <c r="C33" s="77" t="s">
        <v>542</v>
      </c>
      <c r="D33" s="77" t="s">
        <v>1997</v>
      </c>
      <c r="F33" s="1" t="s">
        <v>2012</v>
      </c>
      <c r="G33" s="1" t="s">
        <v>742</v>
      </c>
      <c r="H33" s="1">
        <v>753790</v>
      </c>
      <c r="J33" s="113">
        <v>0.5</v>
      </c>
      <c r="K33" s="113">
        <v>46</v>
      </c>
      <c r="L33" s="113">
        <v>35</v>
      </c>
      <c r="M33" s="113">
        <v>47.164999999999999</v>
      </c>
      <c r="N33" s="113">
        <v>48.406999999999996</v>
      </c>
      <c r="O33" s="113">
        <f>(Q33+P33)/2</f>
        <v>10.124499999999999</v>
      </c>
      <c r="P33" s="113">
        <v>8.7189999999999994</v>
      </c>
      <c r="Q33" s="113">
        <v>11.53</v>
      </c>
      <c r="R33" s="113">
        <f t="shared" si="17"/>
        <v>10.124499999999999</v>
      </c>
      <c r="S33" s="113">
        <f t="shared" si="18"/>
        <v>1.2419999999999973</v>
      </c>
      <c r="T33" s="113">
        <f t="shared" si="19"/>
        <v>2.8109999999999999</v>
      </c>
      <c r="U33" s="63">
        <f t="shared" ref="U33" si="25">S33/(W33)</f>
        <v>62.099999999999866</v>
      </c>
      <c r="V33" s="63">
        <f t="shared" si="23"/>
        <v>140.54999999999998</v>
      </c>
      <c r="W33" s="113">
        <v>0.02</v>
      </c>
      <c r="X33" s="63">
        <f t="shared" si="22"/>
        <v>8728.1549999999806</v>
      </c>
      <c r="Y33" s="82">
        <v>0.46180555555555558</v>
      </c>
      <c r="Z33" s="82">
        <v>5.1388888888888887E-2</v>
      </c>
      <c r="AC33" s="82">
        <f t="shared" si="24"/>
        <v>0.51319444444444451</v>
      </c>
      <c r="AD33" s="1" t="s">
        <v>1628</v>
      </c>
      <c r="AE33" s="1" t="s">
        <v>1984</v>
      </c>
      <c r="AF33" s="1" t="s">
        <v>1984</v>
      </c>
      <c r="AG33" s="80"/>
    </row>
    <row r="34" spans="1:33" x14ac:dyDescent="0.2">
      <c r="A34" s="118">
        <v>305</v>
      </c>
      <c r="B34" s="1" t="s">
        <v>297</v>
      </c>
      <c r="C34" s="1" t="s">
        <v>579</v>
      </c>
      <c r="D34" s="1" t="s">
        <v>1997</v>
      </c>
      <c r="G34" s="1" t="s">
        <v>742</v>
      </c>
      <c r="H34" s="1">
        <v>753831</v>
      </c>
      <c r="J34" s="113">
        <v>1</v>
      </c>
      <c r="K34" s="113">
        <v>46</v>
      </c>
      <c r="L34" s="113">
        <v>35</v>
      </c>
      <c r="M34" s="113">
        <v>48.5</v>
      </c>
      <c r="N34" s="113">
        <v>50.4</v>
      </c>
      <c r="O34" s="113">
        <f t="shared" ref="O34:O39" si="26">(N34+M34)/2</f>
        <v>49.45</v>
      </c>
      <c r="P34" s="113">
        <v>7.9</v>
      </c>
      <c r="Q34" s="113">
        <v>10.6</v>
      </c>
      <c r="R34" s="113">
        <f t="shared" si="17"/>
        <v>9.25</v>
      </c>
      <c r="S34" s="113">
        <f t="shared" si="18"/>
        <v>1.8999999999999986</v>
      </c>
      <c r="T34" s="113">
        <f t="shared" si="19"/>
        <v>2.6999999999999993</v>
      </c>
      <c r="U34" s="63">
        <f t="shared" ref="U34" si="27">S34/(W34)</f>
        <v>94.999999999999929</v>
      </c>
      <c r="V34" s="63">
        <f t="shared" ref="V34" si="28">T34/(W34)</f>
        <v>134.99999999999997</v>
      </c>
      <c r="W34" s="113">
        <v>0.02</v>
      </c>
      <c r="X34" s="63">
        <f t="shared" si="22"/>
        <v>12824.999999999987</v>
      </c>
      <c r="Y34" s="82">
        <v>4.8611111111111112E-2</v>
      </c>
      <c r="Z34" s="82">
        <v>0.15069444444444444</v>
      </c>
      <c r="AC34" s="82">
        <f t="shared" si="24"/>
        <v>0.19930555555555554</v>
      </c>
      <c r="AD34" s="1" t="s">
        <v>1628</v>
      </c>
    </row>
    <row r="35" spans="1:33" x14ac:dyDescent="0.2">
      <c r="A35" s="120" t="s">
        <v>543</v>
      </c>
      <c r="B35" s="1" t="s">
        <v>111</v>
      </c>
      <c r="C35" s="1" t="s">
        <v>544</v>
      </c>
      <c r="D35" s="1" t="s">
        <v>1997</v>
      </c>
      <c r="E35" s="1" t="s">
        <v>1986</v>
      </c>
      <c r="F35" s="1" t="s">
        <v>2011</v>
      </c>
      <c r="G35" s="1" t="s">
        <v>742</v>
      </c>
      <c r="H35" s="1">
        <v>753791</v>
      </c>
      <c r="J35" s="113">
        <v>0.1</v>
      </c>
      <c r="K35" s="113">
        <v>46</v>
      </c>
      <c r="L35" s="113">
        <v>35</v>
      </c>
      <c r="O35" s="113">
        <f t="shared" si="26"/>
        <v>0</v>
      </c>
      <c r="R35" s="113">
        <f t="shared" si="17"/>
        <v>0</v>
      </c>
      <c r="S35" s="113">
        <f t="shared" si="18"/>
        <v>0</v>
      </c>
      <c r="T35" s="113">
        <f t="shared" si="19"/>
        <v>0</v>
      </c>
      <c r="U35" s="63">
        <f t="shared" ref="U35:U44" si="29">S35/(W35)</f>
        <v>0</v>
      </c>
      <c r="V35" s="63">
        <f t="shared" ref="V35:V44" si="30">T35/(W35)</f>
        <v>0</v>
      </c>
      <c r="W35" s="113">
        <v>0.05</v>
      </c>
      <c r="X35" s="63">
        <f t="shared" si="22"/>
        <v>0</v>
      </c>
      <c r="Y35" s="82">
        <v>0.52361111111111114</v>
      </c>
      <c r="Z35" s="82">
        <v>6.9444444444444447E-4</v>
      </c>
      <c r="AC35" s="82">
        <f t="shared" si="24"/>
        <v>0.52430555555555558</v>
      </c>
    </row>
    <row r="36" spans="1:33" x14ac:dyDescent="0.2">
      <c r="A36" s="118" t="s">
        <v>543</v>
      </c>
      <c r="B36" s="1" t="s">
        <v>111</v>
      </c>
      <c r="C36" s="1" t="s">
        <v>544</v>
      </c>
      <c r="D36" s="1" t="s">
        <v>1997</v>
      </c>
      <c r="E36" s="1" t="s">
        <v>1986</v>
      </c>
      <c r="F36" s="1" t="s">
        <v>2013</v>
      </c>
      <c r="G36" s="1" t="s">
        <v>742</v>
      </c>
      <c r="H36" s="1">
        <v>753792</v>
      </c>
      <c r="J36" s="113">
        <v>0.5</v>
      </c>
      <c r="K36" s="113">
        <v>46</v>
      </c>
      <c r="L36" s="113">
        <v>35</v>
      </c>
      <c r="M36" s="113">
        <v>47.23</v>
      </c>
      <c r="N36" s="113">
        <v>48.210999999999999</v>
      </c>
      <c r="O36" s="113">
        <f t="shared" si="26"/>
        <v>47.720500000000001</v>
      </c>
      <c r="P36" s="113">
        <v>8.2070000000000007</v>
      </c>
      <c r="Q36" s="113">
        <v>11.420999999999999</v>
      </c>
      <c r="R36" s="113">
        <f t="shared" si="17"/>
        <v>9.8140000000000001</v>
      </c>
      <c r="S36" s="113">
        <f t="shared" si="18"/>
        <v>0.98100000000000165</v>
      </c>
      <c r="T36" s="113">
        <f t="shared" si="19"/>
        <v>3.2139999999999986</v>
      </c>
      <c r="U36" s="63">
        <f t="shared" si="29"/>
        <v>49.050000000000082</v>
      </c>
      <c r="V36" s="63">
        <f t="shared" si="30"/>
        <v>160.69999999999993</v>
      </c>
      <c r="W36" s="113">
        <v>0.02</v>
      </c>
      <c r="X36" s="63">
        <f t="shared" si="22"/>
        <v>7882.33500000001</v>
      </c>
      <c r="Y36" s="82">
        <v>0.52500000000000002</v>
      </c>
      <c r="Z36" s="82">
        <v>4.6527777777777779E-2</v>
      </c>
      <c r="AC36" s="82">
        <f t="shared" si="24"/>
        <v>0.57152777777777786</v>
      </c>
    </row>
    <row r="37" spans="1:33" x14ac:dyDescent="0.2">
      <c r="A37" s="118" t="s">
        <v>562</v>
      </c>
      <c r="B37" s="1" t="s">
        <v>560</v>
      </c>
      <c r="C37" s="1" t="s">
        <v>563</v>
      </c>
      <c r="D37" s="1" t="s">
        <v>1997</v>
      </c>
      <c r="E37" s="1" t="s">
        <v>1986</v>
      </c>
      <c r="F37" s="1" t="s">
        <v>2013</v>
      </c>
      <c r="G37" s="1" t="s">
        <v>742</v>
      </c>
      <c r="H37" s="1">
        <v>753793</v>
      </c>
      <c r="J37" s="113">
        <v>0.5</v>
      </c>
      <c r="K37" s="113">
        <v>46</v>
      </c>
      <c r="L37" s="113">
        <v>35</v>
      </c>
      <c r="M37" s="113">
        <v>49.061999999999998</v>
      </c>
      <c r="N37" s="113">
        <v>50.042000000000002</v>
      </c>
      <c r="O37" s="113">
        <f t="shared" si="26"/>
        <v>49.552</v>
      </c>
      <c r="P37" s="113">
        <v>8.1189999999999998</v>
      </c>
      <c r="Q37" s="113">
        <v>11.334</v>
      </c>
      <c r="R37" s="113">
        <f t="shared" si="17"/>
        <v>9.7264999999999997</v>
      </c>
      <c r="S37" s="113">
        <f t="shared" si="18"/>
        <v>0.98000000000000398</v>
      </c>
      <c r="T37" s="113">
        <f t="shared" si="19"/>
        <v>3.2149999999999999</v>
      </c>
      <c r="U37" s="63">
        <f t="shared" si="29"/>
        <v>49.000000000000199</v>
      </c>
      <c r="V37" s="63">
        <f t="shared" si="30"/>
        <v>160.75</v>
      </c>
      <c r="W37" s="113">
        <v>0.02</v>
      </c>
      <c r="X37" s="63">
        <f t="shared" si="22"/>
        <v>7876.7500000000318</v>
      </c>
      <c r="Y37" s="82">
        <v>0.5756944444444444</v>
      </c>
      <c r="Z37" s="82">
        <v>4.6527777777777779E-2</v>
      </c>
      <c r="AC37" s="82">
        <f t="shared" si="24"/>
        <v>0.62222222222222223</v>
      </c>
    </row>
    <row r="38" spans="1:33" x14ac:dyDescent="0.2">
      <c r="A38" s="1" t="s">
        <v>570</v>
      </c>
      <c r="B38" s="1" t="s">
        <v>560</v>
      </c>
      <c r="C38" s="1" t="s">
        <v>569</v>
      </c>
      <c r="D38" s="1" t="s">
        <v>1997</v>
      </c>
      <c r="E38" s="1" t="s">
        <v>1982</v>
      </c>
      <c r="G38" s="1" t="s">
        <v>742</v>
      </c>
      <c r="H38" s="1">
        <v>753798</v>
      </c>
      <c r="J38" s="113">
        <v>0.5</v>
      </c>
      <c r="K38" s="113">
        <v>46</v>
      </c>
      <c r="L38" s="113">
        <v>35</v>
      </c>
      <c r="M38" s="113">
        <v>48.603999999999999</v>
      </c>
      <c r="N38" s="113">
        <v>49.606000000000002</v>
      </c>
      <c r="O38" s="113">
        <f t="shared" si="26"/>
        <v>49.105000000000004</v>
      </c>
      <c r="P38" s="113">
        <v>8.109</v>
      </c>
      <c r="Q38" s="113">
        <v>11.4</v>
      </c>
      <c r="R38" s="113">
        <f t="shared" si="17"/>
        <v>9.7545000000000002</v>
      </c>
      <c r="S38" s="113">
        <f t="shared" si="18"/>
        <v>1.0020000000000024</v>
      </c>
      <c r="T38" s="113">
        <f t="shared" si="19"/>
        <v>3.2910000000000004</v>
      </c>
      <c r="U38" s="63">
        <f t="shared" si="29"/>
        <v>50.100000000000122</v>
      </c>
      <c r="V38" s="63">
        <f t="shared" si="30"/>
        <v>164.55</v>
      </c>
      <c r="W38" s="113">
        <v>0.02</v>
      </c>
      <c r="X38" s="63">
        <f t="shared" si="22"/>
        <v>8243.9550000000199</v>
      </c>
      <c r="Y38" s="82">
        <v>0.75</v>
      </c>
      <c r="Z38" s="82">
        <v>4.8611111111111112E-2</v>
      </c>
      <c r="AC38" s="82">
        <f t="shared" si="24"/>
        <v>0.79861111111111116</v>
      </c>
    </row>
    <row r="39" spans="1:33" x14ac:dyDescent="0.2">
      <c r="A39" s="1" t="s">
        <v>573</v>
      </c>
      <c r="B39" s="1" t="s">
        <v>560</v>
      </c>
      <c r="C39" s="1" t="s">
        <v>572</v>
      </c>
      <c r="D39" s="1" t="s">
        <v>1997</v>
      </c>
      <c r="O39" s="113">
        <f t="shared" si="26"/>
        <v>0</v>
      </c>
      <c r="R39" s="113">
        <f t="shared" si="17"/>
        <v>0</v>
      </c>
      <c r="S39" s="113">
        <f t="shared" si="18"/>
        <v>0</v>
      </c>
      <c r="T39" s="113">
        <f t="shared" si="19"/>
        <v>0</v>
      </c>
      <c r="U39" s="63" t="e">
        <f t="shared" si="29"/>
        <v>#DIV/0!</v>
      </c>
      <c r="V39" s="63" t="e">
        <f t="shared" si="30"/>
        <v>#DIV/0!</v>
      </c>
      <c r="X39" s="63" t="e">
        <f t="shared" si="22"/>
        <v>#DIV/0!</v>
      </c>
    </row>
    <row r="40" spans="1:33" x14ac:dyDescent="0.2">
      <c r="A40" s="120">
        <v>311</v>
      </c>
      <c r="B40" s="1" t="s">
        <v>389</v>
      </c>
      <c r="C40" s="1" t="s">
        <v>585</v>
      </c>
      <c r="D40" s="1" t="s">
        <v>1997</v>
      </c>
      <c r="E40" s="1" t="s">
        <v>1982</v>
      </c>
      <c r="F40" s="1" t="s">
        <v>2011</v>
      </c>
      <c r="G40" s="1" t="s">
        <v>742</v>
      </c>
      <c r="H40" s="1">
        <v>753794</v>
      </c>
      <c r="J40" s="113">
        <v>0.1</v>
      </c>
      <c r="K40" s="113">
        <v>46</v>
      </c>
      <c r="L40" s="113">
        <v>35</v>
      </c>
      <c r="M40" s="1"/>
      <c r="N40" s="1"/>
      <c r="O40" s="113">
        <f>(N41+M41)/2</f>
        <v>47.301500000000004</v>
      </c>
      <c r="R40" s="113">
        <f t="shared" si="17"/>
        <v>0</v>
      </c>
      <c r="S40" s="113">
        <f>N41-M41</f>
        <v>1.4930000000000021</v>
      </c>
      <c r="T40" s="113">
        <f t="shared" si="19"/>
        <v>0</v>
      </c>
      <c r="U40" s="63" t="e">
        <f t="shared" si="29"/>
        <v>#DIV/0!</v>
      </c>
      <c r="V40" s="63" t="e">
        <f t="shared" si="30"/>
        <v>#DIV/0!</v>
      </c>
      <c r="X40" s="63" t="e">
        <f t="shared" si="22"/>
        <v>#DIV/0!</v>
      </c>
    </row>
    <row r="41" spans="1:33" x14ac:dyDescent="0.2">
      <c r="A41" s="118">
        <v>311</v>
      </c>
      <c r="B41" s="1" t="s">
        <v>389</v>
      </c>
      <c r="C41" s="1" t="s">
        <v>585</v>
      </c>
      <c r="D41" s="1" t="s">
        <v>1997</v>
      </c>
      <c r="E41" s="1" t="s">
        <v>1982</v>
      </c>
      <c r="F41" s="1" t="s">
        <v>2011</v>
      </c>
      <c r="G41" s="1" t="s">
        <v>742</v>
      </c>
      <c r="H41" s="1">
        <v>753795</v>
      </c>
      <c r="J41" s="113">
        <v>0.5</v>
      </c>
      <c r="K41" s="113">
        <v>46</v>
      </c>
      <c r="L41" s="113">
        <v>35</v>
      </c>
      <c r="M41" s="113">
        <v>46.555</v>
      </c>
      <c r="N41" s="113">
        <v>48.048000000000002</v>
      </c>
      <c r="O41" s="113">
        <f>(N43+M43)/2</f>
        <v>48.1295</v>
      </c>
      <c r="P41" s="113">
        <v>9.2530000000000001</v>
      </c>
      <c r="Q41" s="113">
        <v>11.552</v>
      </c>
      <c r="R41" s="113">
        <f t="shared" si="17"/>
        <v>10.4025</v>
      </c>
      <c r="S41" s="113">
        <f>N43-M43</f>
        <v>2.1029999999999944</v>
      </c>
      <c r="T41" s="113">
        <f t="shared" si="19"/>
        <v>2.2989999999999995</v>
      </c>
      <c r="U41" s="63">
        <f t="shared" si="29"/>
        <v>105.14999999999972</v>
      </c>
      <c r="V41" s="63">
        <f t="shared" si="30"/>
        <v>114.94999999999997</v>
      </c>
      <c r="W41" s="113">
        <v>0.02</v>
      </c>
      <c r="X41" s="63">
        <f t="shared" si="22"/>
        <v>12086.992499999966</v>
      </c>
      <c r="Y41" s="82">
        <v>0.63124999999999998</v>
      </c>
      <c r="Z41" s="82">
        <v>4.9305555555555554E-2</v>
      </c>
      <c r="AC41" s="82">
        <f t="shared" ref="AC41:AC43" si="31">Y41+Z41</f>
        <v>0.68055555555555558</v>
      </c>
    </row>
    <row r="42" spans="1:33" x14ac:dyDescent="0.2">
      <c r="A42" s="120">
        <v>319</v>
      </c>
      <c r="B42" s="1" t="s">
        <v>111</v>
      </c>
      <c r="C42" s="1" t="s">
        <v>592</v>
      </c>
      <c r="D42" s="1" t="s">
        <v>1997</v>
      </c>
      <c r="E42" s="1" t="s">
        <v>1986</v>
      </c>
      <c r="F42" s="1" t="s">
        <v>2004</v>
      </c>
      <c r="G42" s="1" t="s">
        <v>742</v>
      </c>
      <c r="H42" s="1">
        <v>753796</v>
      </c>
      <c r="J42" s="113">
        <v>0.1</v>
      </c>
      <c r="K42" s="113">
        <v>46</v>
      </c>
      <c r="L42" s="113">
        <v>35</v>
      </c>
      <c r="O42" s="113">
        <f>(N42+M42)/2</f>
        <v>0</v>
      </c>
      <c r="R42" s="113">
        <f t="shared" si="17"/>
        <v>0</v>
      </c>
      <c r="S42" s="113">
        <f t="shared" ref="S42:S47" si="32">N42-M42</f>
        <v>0</v>
      </c>
      <c r="T42" s="113">
        <f t="shared" si="19"/>
        <v>0</v>
      </c>
      <c r="U42" s="63">
        <f t="shared" si="29"/>
        <v>0</v>
      </c>
      <c r="V42" s="63">
        <f t="shared" si="30"/>
        <v>0</v>
      </c>
      <c r="W42" s="113">
        <v>0.05</v>
      </c>
      <c r="X42" s="63">
        <f t="shared" si="22"/>
        <v>0</v>
      </c>
      <c r="Y42" s="82">
        <v>0.68888888888888888</v>
      </c>
      <c r="Z42" s="82">
        <v>6.9444444444444447E-4</v>
      </c>
      <c r="AC42" s="82">
        <f t="shared" ref="AC42" si="33">Y42+Z42</f>
        <v>0.68958333333333333</v>
      </c>
    </row>
    <row r="43" spans="1:33" x14ac:dyDescent="0.2">
      <c r="A43" s="118">
        <v>319</v>
      </c>
      <c r="B43" s="1" t="s">
        <v>111</v>
      </c>
      <c r="C43" s="1" t="s">
        <v>592</v>
      </c>
      <c r="D43" s="1" t="s">
        <v>1997</v>
      </c>
      <c r="E43" s="1" t="s">
        <v>1986</v>
      </c>
      <c r="G43" s="1" t="s">
        <v>742</v>
      </c>
      <c r="H43" s="1">
        <v>753797</v>
      </c>
      <c r="J43" s="113">
        <v>0.5</v>
      </c>
      <c r="K43" s="113">
        <v>46</v>
      </c>
      <c r="L43" s="113">
        <v>35</v>
      </c>
      <c r="M43" s="113">
        <v>47.078000000000003</v>
      </c>
      <c r="N43" s="113">
        <v>49.180999999999997</v>
      </c>
      <c r="O43" s="113">
        <f>(N43+M43)/2</f>
        <v>48.1295</v>
      </c>
      <c r="P43" s="113">
        <v>9.5370000000000008</v>
      </c>
      <c r="Q43" s="113">
        <v>11.138</v>
      </c>
      <c r="R43" s="113">
        <f t="shared" si="17"/>
        <v>10.3375</v>
      </c>
      <c r="S43" s="113">
        <f t="shared" si="32"/>
        <v>2.1029999999999944</v>
      </c>
      <c r="T43" s="113">
        <f t="shared" si="19"/>
        <v>1.6009999999999991</v>
      </c>
      <c r="U43" s="63">
        <f t="shared" si="29"/>
        <v>105.14999999999972</v>
      </c>
      <c r="V43" s="63">
        <f t="shared" si="30"/>
        <v>80.049999999999955</v>
      </c>
      <c r="W43" s="113">
        <v>0.02</v>
      </c>
      <c r="X43" s="63">
        <f t="shared" si="22"/>
        <v>8417.2574999999724</v>
      </c>
      <c r="Y43" s="82">
        <v>0.69097222222222221</v>
      </c>
      <c r="Z43" s="82">
        <v>4.9305555555555554E-2</v>
      </c>
      <c r="AC43" s="82">
        <f t="shared" si="31"/>
        <v>0.74027777777777781</v>
      </c>
    </row>
    <row r="44" spans="1:33" x14ac:dyDescent="0.2">
      <c r="A44" s="1">
        <v>321</v>
      </c>
      <c r="B44" s="1" t="s">
        <v>251</v>
      </c>
      <c r="C44" s="1" t="s">
        <v>594</v>
      </c>
      <c r="D44" s="1" t="s">
        <v>1997</v>
      </c>
      <c r="O44" s="113">
        <f>(N44+M44)/2</f>
        <v>0</v>
      </c>
      <c r="R44" s="113">
        <f t="shared" si="17"/>
        <v>0</v>
      </c>
      <c r="S44" s="113">
        <f t="shared" si="32"/>
        <v>0</v>
      </c>
      <c r="T44" s="113">
        <f t="shared" si="19"/>
        <v>0</v>
      </c>
      <c r="U44" s="63" t="e">
        <f t="shared" si="29"/>
        <v>#DIV/0!</v>
      </c>
      <c r="V44" s="63" t="e">
        <f t="shared" si="30"/>
        <v>#DIV/0!</v>
      </c>
      <c r="X44" s="63" t="e">
        <f t="shared" si="22"/>
        <v>#DIV/0!</v>
      </c>
    </row>
    <row r="45" spans="1:33" x14ac:dyDescent="0.2">
      <c r="A45" s="1">
        <v>68</v>
      </c>
      <c r="B45" s="1" t="s">
        <v>2014</v>
      </c>
      <c r="D45" s="1" t="s">
        <v>1997</v>
      </c>
      <c r="R45" s="113">
        <f t="shared" si="17"/>
        <v>0</v>
      </c>
      <c r="S45" s="113">
        <f t="shared" si="32"/>
        <v>0</v>
      </c>
      <c r="T45" s="113">
        <f t="shared" si="19"/>
        <v>0</v>
      </c>
    </row>
    <row r="46" spans="1:33" x14ac:dyDescent="0.2">
      <c r="A46" s="1">
        <v>76</v>
      </c>
      <c r="B46" s="1" t="s">
        <v>2014</v>
      </c>
      <c r="D46" s="1" t="s">
        <v>1997</v>
      </c>
      <c r="R46" s="113">
        <f t="shared" si="17"/>
        <v>0</v>
      </c>
      <c r="S46" s="113">
        <f t="shared" si="32"/>
        <v>0</v>
      </c>
      <c r="T46" s="113">
        <f t="shared" si="19"/>
        <v>0</v>
      </c>
    </row>
    <row r="47" spans="1:33" x14ac:dyDescent="0.2">
      <c r="A47" s="118" t="s">
        <v>413</v>
      </c>
      <c r="B47" s="1" t="s">
        <v>122</v>
      </c>
      <c r="C47" s="1" t="s">
        <v>411</v>
      </c>
      <c r="D47" s="1" t="s">
        <v>1981</v>
      </c>
      <c r="F47" s="1" t="s">
        <v>2015</v>
      </c>
      <c r="G47" s="1" t="s">
        <v>742</v>
      </c>
      <c r="H47" s="1">
        <v>753830</v>
      </c>
      <c r="J47" s="113">
        <v>0.5</v>
      </c>
      <c r="K47" s="113">
        <v>46</v>
      </c>
      <c r="L47" s="113">
        <v>35</v>
      </c>
      <c r="M47" s="113">
        <v>49</v>
      </c>
      <c r="N47" s="113">
        <v>50.13</v>
      </c>
      <c r="O47" s="113">
        <f>(N47+M47)/2</f>
        <v>49.564999999999998</v>
      </c>
      <c r="P47" s="113">
        <v>7.9</v>
      </c>
      <c r="Q47" s="113">
        <v>10.8</v>
      </c>
      <c r="R47" s="113">
        <f t="shared" si="17"/>
        <v>9.3500000000000014</v>
      </c>
      <c r="S47" s="113">
        <f t="shared" si="32"/>
        <v>1.1300000000000026</v>
      </c>
      <c r="T47" s="113">
        <f t="shared" si="19"/>
        <v>2.9000000000000004</v>
      </c>
      <c r="U47" s="63">
        <f>S47/(W47)</f>
        <v>56.500000000000128</v>
      </c>
      <c r="V47" s="63">
        <f>T47/(W47)</f>
        <v>145.00000000000003</v>
      </c>
      <c r="W47" s="113">
        <v>0.02</v>
      </c>
      <c r="X47" s="63">
        <f>U47*V47</f>
        <v>8192.50000000002</v>
      </c>
      <c r="Y47" s="82">
        <v>0.98888888888888893</v>
      </c>
      <c r="Z47" s="82">
        <v>4.791666666666667E-2</v>
      </c>
      <c r="AC47" s="82">
        <f t="shared" ref="AC47:AC49" si="34">Y47+Z47</f>
        <v>1.0368055555555555</v>
      </c>
    </row>
    <row r="48" spans="1:33" x14ac:dyDescent="0.2">
      <c r="A48" s="118" t="s">
        <v>403</v>
      </c>
      <c r="B48" s="1" t="s">
        <v>122</v>
      </c>
      <c r="C48" s="1" t="s">
        <v>401</v>
      </c>
      <c r="D48" s="1" t="s">
        <v>1981</v>
      </c>
      <c r="E48" s="1" t="s">
        <v>1986</v>
      </c>
      <c r="F48" s="1" t="s">
        <v>2015</v>
      </c>
      <c r="G48" s="1" t="s">
        <v>742</v>
      </c>
      <c r="H48" s="1">
        <v>753828</v>
      </c>
      <c r="J48" s="113">
        <v>0.5</v>
      </c>
      <c r="K48" s="113">
        <v>46</v>
      </c>
      <c r="L48" s="113">
        <v>35</v>
      </c>
      <c r="M48" s="113">
        <v>47.735999999999997</v>
      </c>
      <c r="N48" s="113">
        <v>48.875999999999998</v>
      </c>
      <c r="O48" s="113">
        <f t="shared" ref="O48" si="35">(N48+M48)/2</f>
        <v>48.305999999999997</v>
      </c>
      <c r="P48" s="113">
        <v>9.0039999999999996</v>
      </c>
      <c r="Q48" s="113">
        <v>11.170999999999999</v>
      </c>
      <c r="R48" s="113">
        <f t="shared" ref="R48" si="36">(Q48+P48)/2</f>
        <v>10.087499999999999</v>
      </c>
      <c r="S48" s="113">
        <f t="shared" ref="S48" si="37">N48-M48</f>
        <v>1.1400000000000006</v>
      </c>
      <c r="T48" s="113">
        <f t="shared" ref="T48" si="38">Q48-P48</f>
        <v>2.1669999999999998</v>
      </c>
      <c r="U48" s="63">
        <f>S48/(W48)</f>
        <v>57.000000000000028</v>
      </c>
      <c r="V48" s="63">
        <f>T48/(W48)</f>
        <v>108.35</v>
      </c>
      <c r="W48" s="113">
        <v>0.02</v>
      </c>
      <c r="X48" s="63">
        <f>U48*V48</f>
        <v>6175.9500000000025</v>
      </c>
      <c r="Y48" s="82">
        <v>0.88194444444444442</v>
      </c>
      <c r="Z48" s="82">
        <v>3.6111111111111108E-2</v>
      </c>
      <c r="AC48" s="82">
        <f t="shared" si="34"/>
        <v>0.91805555555555551</v>
      </c>
    </row>
    <row r="49" spans="1:29" ht="15.75" customHeight="1" x14ac:dyDescent="0.2">
      <c r="A49" s="118" t="s">
        <v>412</v>
      </c>
      <c r="B49" s="1" t="s">
        <v>122</v>
      </c>
      <c r="C49" s="1" t="s">
        <v>411</v>
      </c>
      <c r="D49" s="1" t="s">
        <v>1981</v>
      </c>
      <c r="F49" s="1" t="s">
        <v>2015</v>
      </c>
      <c r="G49" s="1" t="s">
        <v>742</v>
      </c>
      <c r="H49" s="1">
        <v>753829</v>
      </c>
      <c r="J49" s="113">
        <v>0.5</v>
      </c>
      <c r="K49" s="113">
        <v>46</v>
      </c>
      <c r="L49" s="113">
        <v>35</v>
      </c>
      <c r="M49" s="113">
        <v>48.1</v>
      </c>
      <c r="N49" s="113">
        <v>49.13</v>
      </c>
      <c r="O49" s="113">
        <f>(N49+M49)/2</f>
        <v>48.615000000000002</v>
      </c>
      <c r="P49" s="113">
        <v>6.9</v>
      </c>
      <c r="Q49" s="113">
        <v>9.8000000000000007</v>
      </c>
      <c r="R49" s="113">
        <f>(Q49+P49)/2</f>
        <v>8.3500000000000014</v>
      </c>
      <c r="S49" s="113">
        <f>N49-M49</f>
        <v>1.0300000000000011</v>
      </c>
      <c r="T49" s="113">
        <f>Q49-P49</f>
        <v>2.9000000000000004</v>
      </c>
      <c r="U49" s="63">
        <f>S49/(W49)</f>
        <v>51.500000000000057</v>
      </c>
      <c r="V49" s="63">
        <f>T49/(W49)</f>
        <v>145.00000000000003</v>
      </c>
      <c r="W49" s="113">
        <v>0.02</v>
      </c>
      <c r="X49" s="63">
        <f>U49*V49</f>
        <v>7467.50000000001</v>
      </c>
      <c r="Y49" s="82">
        <v>0.93055555555555558</v>
      </c>
      <c r="Z49" s="82">
        <v>4.3749999999999997E-2</v>
      </c>
      <c r="AC49" s="82">
        <f t="shared" si="34"/>
        <v>0.97430555555555554</v>
      </c>
    </row>
    <row r="50" spans="1:29" x14ac:dyDescent="0.2">
      <c r="A50" s="1" t="s">
        <v>417</v>
      </c>
      <c r="B50" s="1" t="s">
        <v>111</v>
      </c>
      <c r="C50" s="1" t="s">
        <v>415</v>
      </c>
      <c r="D50" s="1" t="s">
        <v>1997</v>
      </c>
      <c r="F50" s="1" t="s">
        <v>2016</v>
      </c>
      <c r="O50" s="113">
        <f t="shared" si="0"/>
        <v>0</v>
      </c>
      <c r="R50" s="113">
        <f t="shared" si="1"/>
        <v>0</v>
      </c>
      <c r="S50" s="113">
        <f t="shared" si="2"/>
        <v>0</v>
      </c>
      <c r="T50" s="113">
        <f t="shared" si="3"/>
        <v>0</v>
      </c>
      <c r="U50" s="63" t="e">
        <f t="shared" si="14"/>
        <v>#DIV/0!</v>
      </c>
      <c r="V50" s="63" t="e">
        <f t="shared" si="15"/>
        <v>#DIV/0!</v>
      </c>
      <c r="X50" s="63" t="e">
        <f t="shared" si="6"/>
        <v>#DIV/0!</v>
      </c>
    </row>
    <row r="51" spans="1:29" x14ac:dyDescent="0.2">
      <c r="A51" s="1" t="s">
        <v>420</v>
      </c>
      <c r="B51" s="1" t="s">
        <v>111</v>
      </c>
      <c r="C51" s="1" t="s">
        <v>419</v>
      </c>
      <c r="D51" s="1" t="s">
        <v>1997</v>
      </c>
      <c r="F51" s="1" t="s">
        <v>2016</v>
      </c>
      <c r="O51" s="113">
        <f t="shared" si="0"/>
        <v>0</v>
      </c>
      <c r="R51" s="113">
        <f t="shared" si="1"/>
        <v>0</v>
      </c>
      <c r="S51" s="113">
        <f t="shared" si="2"/>
        <v>0</v>
      </c>
      <c r="T51" s="113">
        <f t="shared" si="3"/>
        <v>0</v>
      </c>
      <c r="U51" s="63" t="e">
        <f t="shared" si="14"/>
        <v>#DIV/0!</v>
      </c>
      <c r="V51" s="63" t="e">
        <f t="shared" si="15"/>
        <v>#DIV/0!</v>
      </c>
      <c r="X51" s="63" t="e">
        <f t="shared" si="6"/>
        <v>#DIV/0!</v>
      </c>
    </row>
    <row r="52" spans="1:29" x14ac:dyDescent="0.2">
      <c r="A52" s="1" t="s">
        <v>422</v>
      </c>
      <c r="B52" s="1" t="s">
        <v>111</v>
      </c>
      <c r="C52" s="1" t="s">
        <v>423</v>
      </c>
      <c r="D52" s="1" t="s">
        <v>1997</v>
      </c>
      <c r="F52" s="1" t="s">
        <v>2016</v>
      </c>
      <c r="O52" s="113">
        <f t="shared" si="0"/>
        <v>0</v>
      </c>
      <c r="R52" s="113">
        <f t="shared" si="1"/>
        <v>0</v>
      </c>
      <c r="S52" s="113">
        <f t="shared" si="2"/>
        <v>0</v>
      </c>
      <c r="T52" s="113">
        <f t="shared" si="3"/>
        <v>0</v>
      </c>
      <c r="U52" s="63" t="e">
        <f t="shared" si="14"/>
        <v>#DIV/0!</v>
      </c>
      <c r="V52" s="63" t="e">
        <f t="shared" si="15"/>
        <v>#DIV/0!</v>
      </c>
      <c r="X52" s="63" t="e">
        <f t="shared" si="6"/>
        <v>#DIV/0!</v>
      </c>
    </row>
    <row r="53" spans="1:29" x14ac:dyDescent="0.2">
      <c r="A53" s="1" t="s">
        <v>429</v>
      </c>
      <c r="B53" s="1" t="s">
        <v>111</v>
      </c>
      <c r="C53" s="1" t="s">
        <v>427</v>
      </c>
      <c r="D53" s="1" t="s">
        <v>1997</v>
      </c>
      <c r="F53" s="1" t="s">
        <v>2016</v>
      </c>
      <c r="O53" s="113">
        <f t="shared" si="0"/>
        <v>0</v>
      </c>
      <c r="R53" s="113">
        <f t="shared" si="1"/>
        <v>0</v>
      </c>
      <c r="S53" s="113">
        <f t="shared" si="2"/>
        <v>0</v>
      </c>
      <c r="T53" s="113">
        <f t="shared" si="3"/>
        <v>0</v>
      </c>
      <c r="U53" s="63" t="e">
        <f t="shared" si="14"/>
        <v>#DIV/0!</v>
      </c>
      <c r="V53" s="63" t="e">
        <f t="shared" si="15"/>
        <v>#DIV/0!</v>
      </c>
      <c r="X53" s="63" t="e">
        <f t="shared" si="6"/>
        <v>#DIV/0!</v>
      </c>
    </row>
    <row r="54" spans="1:29" x14ac:dyDescent="0.2">
      <c r="A54" s="1" t="s">
        <v>434</v>
      </c>
      <c r="B54" s="1" t="s">
        <v>251</v>
      </c>
      <c r="C54" s="1" t="s">
        <v>431</v>
      </c>
      <c r="D54" s="1" t="s">
        <v>1997</v>
      </c>
      <c r="F54" s="1" t="s">
        <v>2016</v>
      </c>
      <c r="O54" s="113">
        <f t="shared" si="0"/>
        <v>0</v>
      </c>
      <c r="R54" s="113">
        <f t="shared" si="1"/>
        <v>0</v>
      </c>
      <c r="S54" s="113">
        <f t="shared" si="2"/>
        <v>0</v>
      </c>
      <c r="T54" s="113">
        <f t="shared" si="3"/>
        <v>0</v>
      </c>
      <c r="U54" s="63" t="e">
        <f t="shared" si="14"/>
        <v>#DIV/0!</v>
      </c>
      <c r="V54" s="63" t="e">
        <f t="shared" si="15"/>
        <v>#DIV/0!</v>
      </c>
      <c r="X54" s="63" t="e">
        <f t="shared" si="6"/>
        <v>#DIV/0!</v>
      </c>
    </row>
    <row r="55" spans="1:29" x14ac:dyDescent="0.2">
      <c r="A55" s="1" t="s">
        <v>453</v>
      </c>
      <c r="B55" s="1" t="s">
        <v>446</v>
      </c>
      <c r="C55" s="1" t="s">
        <v>451</v>
      </c>
      <c r="D55" s="1" t="s">
        <v>1997</v>
      </c>
      <c r="E55" s="121"/>
      <c r="F55" s="1" t="s">
        <v>2016</v>
      </c>
      <c r="O55" s="113">
        <f t="shared" si="0"/>
        <v>0</v>
      </c>
      <c r="R55" s="113">
        <f t="shared" si="1"/>
        <v>0</v>
      </c>
      <c r="S55" s="113">
        <f t="shared" si="2"/>
        <v>0</v>
      </c>
      <c r="T55" s="113">
        <f t="shared" si="3"/>
        <v>0</v>
      </c>
      <c r="U55" s="63" t="e">
        <f t="shared" si="14"/>
        <v>#DIV/0!</v>
      </c>
      <c r="V55" s="63" t="e">
        <f t="shared" si="15"/>
        <v>#DIV/0!</v>
      </c>
      <c r="X55" s="63" t="e">
        <f t="shared" si="6"/>
        <v>#DIV/0!</v>
      </c>
    </row>
    <row r="56" spans="1:29" x14ac:dyDescent="0.2">
      <c r="R56" s="113">
        <f t="shared" si="1"/>
        <v>0</v>
      </c>
      <c r="S56" s="113">
        <f t="shared" si="2"/>
        <v>0</v>
      </c>
      <c r="T56" s="113">
        <f t="shared" si="3"/>
        <v>0</v>
      </c>
    </row>
    <row r="57" spans="1:29" x14ac:dyDescent="0.2">
      <c r="A57" s="1" t="s">
        <v>328</v>
      </c>
      <c r="B57" s="1" t="s">
        <v>316</v>
      </c>
      <c r="C57" s="1" t="s">
        <v>329</v>
      </c>
      <c r="D57" s="1" t="s">
        <v>2017</v>
      </c>
      <c r="O57" s="113">
        <f t="shared" si="0"/>
        <v>0</v>
      </c>
      <c r="R57" s="113">
        <f t="shared" si="1"/>
        <v>0</v>
      </c>
      <c r="S57" s="113">
        <f t="shared" si="2"/>
        <v>0</v>
      </c>
      <c r="T57" s="113">
        <f t="shared" si="3"/>
        <v>0</v>
      </c>
      <c r="U57" s="63" t="e">
        <f t="shared" si="14"/>
        <v>#DIV/0!</v>
      </c>
      <c r="V57" s="63" t="e">
        <f t="shared" si="15"/>
        <v>#DIV/0!</v>
      </c>
      <c r="X57" s="63" t="e">
        <f t="shared" si="6"/>
        <v>#DIV/0!</v>
      </c>
    </row>
    <row r="58" spans="1:29" x14ac:dyDescent="0.2">
      <c r="A58" s="1" t="s">
        <v>335</v>
      </c>
      <c r="B58" s="1" t="s">
        <v>316</v>
      </c>
      <c r="C58" s="1" t="s">
        <v>336</v>
      </c>
      <c r="D58" s="1" t="s">
        <v>2017</v>
      </c>
      <c r="O58" s="113">
        <f t="shared" si="0"/>
        <v>0</v>
      </c>
      <c r="R58" s="113">
        <f t="shared" si="1"/>
        <v>0</v>
      </c>
      <c r="S58" s="113">
        <f t="shared" si="2"/>
        <v>0</v>
      </c>
      <c r="T58" s="113">
        <f t="shared" si="3"/>
        <v>0</v>
      </c>
      <c r="U58" s="63" t="e">
        <f t="shared" si="14"/>
        <v>#DIV/0!</v>
      </c>
      <c r="V58" s="63" t="e">
        <f t="shared" si="15"/>
        <v>#DIV/0!</v>
      </c>
      <c r="X58" s="63" t="e">
        <f t="shared" si="6"/>
        <v>#DIV/0!</v>
      </c>
    </row>
    <row r="59" spans="1:29" x14ac:dyDescent="0.2">
      <c r="A59" s="1" t="s">
        <v>354</v>
      </c>
      <c r="B59" s="1" t="s">
        <v>211</v>
      </c>
      <c r="C59" s="1" t="s">
        <v>355</v>
      </c>
      <c r="D59" s="1" t="s">
        <v>2017</v>
      </c>
      <c r="O59" s="113">
        <f t="shared" si="0"/>
        <v>0</v>
      </c>
      <c r="R59" s="113">
        <f t="shared" si="1"/>
        <v>0</v>
      </c>
      <c r="S59" s="113">
        <f t="shared" si="2"/>
        <v>0</v>
      </c>
      <c r="T59" s="113">
        <f t="shared" si="3"/>
        <v>0</v>
      </c>
      <c r="U59" s="63" t="e">
        <f t="shared" si="14"/>
        <v>#DIV/0!</v>
      </c>
      <c r="V59" s="63" t="e">
        <f t="shared" si="15"/>
        <v>#DIV/0!</v>
      </c>
      <c r="X59" s="63" t="e">
        <f t="shared" si="6"/>
        <v>#DIV/0!</v>
      </c>
    </row>
    <row r="60" spans="1:29" x14ac:dyDescent="0.2">
      <c r="A60" s="1" t="s">
        <v>358</v>
      </c>
      <c r="B60" s="1" t="s">
        <v>211</v>
      </c>
      <c r="C60" s="1" t="s">
        <v>359</v>
      </c>
      <c r="D60" s="1" t="s">
        <v>2017</v>
      </c>
      <c r="O60" s="113">
        <f t="shared" si="0"/>
        <v>0</v>
      </c>
      <c r="R60" s="113">
        <f t="shared" si="1"/>
        <v>0</v>
      </c>
      <c r="S60" s="113">
        <f t="shared" si="2"/>
        <v>0</v>
      </c>
      <c r="T60" s="113">
        <f t="shared" si="3"/>
        <v>0</v>
      </c>
      <c r="U60" s="63" t="e">
        <f t="shared" si="14"/>
        <v>#DIV/0!</v>
      </c>
      <c r="V60" s="63" t="e">
        <f t="shared" si="15"/>
        <v>#DIV/0!</v>
      </c>
      <c r="X60" s="63" t="e">
        <f t="shared" si="6"/>
        <v>#DIV/0!</v>
      </c>
    </row>
    <row r="61" spans="1:29" x14ac:dyDescent="0.2">
      <c r="A61" s="1" t="s">
        <v>362</v>
      </c>
      <c r="B61" s="1" t="s">
        <v>211</v>
      </c>
      <c r="C61" s="1" t="s">
        <v>363</v>
      </c>
      <c r="D61" s="1" t="s">
        <v>2017</v>
      </c>
      <c r="O61" s="113">
        <f t="shared" si="0"/>
        <v>0</v>
      </c>
      <c r="R61" s="113">
        <f t="shared" si="1"/>
        <v>0</v>
      </c>
      <c r="S61" s="113">
        <f t="shared" si="2"/>
        <v>0</v>
      </c>
      <c r="T61" s="113">
        <f t="shared" si="3"/>
        <v>0</v>
      </c>
      <c r="U61" s="63" t="e">
        <f t="shared" si="14"/>
        <v>#DIV/0!</v>
      </c>
      <c r="V61" s="63" t="e">
        <f t="shared" si="15"/>
        <v>#DIV/0!</v>
      </c>
      <c r="X61" s="63" t="e">
        <f t="shared" si="6"/>
        <v>#DIV/0!</v>
      </c>
    </row>
    <row r="62" spans="1:29" x14ac:dyDescent="0.2">
      <c r="A62" s="1" t="s">
        <v>454</v>
      </c>
      <c r="B62" s="1" t="s">
        <v>456</v>
      </c>
      <c r="C62" s="1" t="s">
        <v>455</v>
      </c>
      <c r="D62" s="1" t="s">
        <v>2017</v>
      </c>
      <c r="O62" s="113">
        <f t="shared" si="0"/>
        <v>0</v>
      </c>
      <c r="R62" s="113">
        <f t="shared" si="1"/>
        <v>0</v>
      </c>
      <c r="S62" s="113">
        <f t="shared" si="2"/>
        <v>0</v>
      </c>
      <c r="T62" s="113">
        <f t="shared" si="3"/>
        <v>0</v>
      </c>
      <c r="U62" s="63" t="e">
        <f t="shared" si="14"/>
        <v>#DIV/0!</v>
      </c>
      <c r="V62" s="63" t="e">
        <f t="shared" si="15"/>
        <v>#DIV/0!</v>
      </c>
      <c r="X62" s="63" t="e">
        <f t="shared" si="6"/>
        <v>#DIV/0!</v>
      </c>
    </row>
    <row r="63" spans="1:29" x14ac:dyDescent="0.2">
      <c r="A63" s="1" t="s">
        <v>463</v>
      </c>
      <c r="B63" s="1" t="s">
        <v>456</v>
      </c>
      <c r="C63" s="1" t="s">
        <v>464</v>
      </c>
      <c r="D63" s="1" t="s">
        <v>2017</v>
      </c>
      <c r="O63" s="113">
        <f t="shared" si="0"/>
        <v>0</v>
      </c>
      <c r="R63" s="113">
        <f t="shared" si="1"/>
        <v>0</v>
      </c>
      <c r="S63" s="113">
        <f t="shared" si="2"/>
        <v>0</v>
      </c>
      <c r="T63" s="113">
        <f t="shared" si="3"/>
        <v>0</v>
      </c>
      <c r="U63" s="63" t="e">
        <f t="shared" si="14"/>
        <v>#DIV/0!</v>
      </c>
      <c r="V63" s="63" t="e">
        <f t="shared" si="15"/>
        <v>#DIV/0!</v>
      </c>
      <c r="X63" s="63" t="e">
        <f t="shared" si="6"/>
        <v>#DIV/0!</v>
      </c>
    </row>
    <row r="64" spans="1:29" x14ac:dyDescent="0.2">
      <c r="A64" s="1">
        <v>313</v>
      </c>
      <c r="B64" s="1" t="s">
        <v>316</v>
      </c>
      <c r="C64" s="1" t="s">
        <v>586</v>
      </c>
      <c r="D64" s="1" t="s">
        <v>2017</v>
      </c>
      <c r="O64" s="113">
        <f t="shared" si="0"/>
        <v>0</v>
      </c>
      <c r="R64" s="113">
        <f t="shared" si="1"/>
        <v>0</v>
      </c>
      <c r="S64" s="113">
        <f t="shared" si="2"/>
        <v>0</v>
      </c>
      <c r="T64" s="113">
        <f t="shared" si="3"/>
        <v>0</v>
      </c>
      <c r="U64" s="63" t="e">
        <f t="shared" si="14"/>
        <v>#DIV/0!</v>
      </c>
      <c r="V64" s="63" t="e">
        <f t="shared" si="15"/>
        <v>#DIV/0!</v>
      </c>
      <c r="X64" s="63" t="e">
        <f t="shared" si="6"/>
        <v>#DIV/0!</v>
      </c>
    </row>
    <row r="65" spans="1:33" x14ac:dyDescent="0.2">
      <c r="A65" s="1">
        <v>316</v>
      </c>
      <c r="B65" s="1" t="s">
        <v>211</v>
      </c>
      <c r="C65" s="1" t="s">
        <v>589</v>
      </c>
      <c r="D65" s="1" t="s">
        <v>2017</v>
      </c>
      <c r="F65" s="1" t="s">
        <v>2018</v>
      </c>
      <c r="G65" s="1" t="s">
        <v>742</v>
      </c>
      <c r="O65" s="113">
        <f t="shared" si="0"/>
        <v>0</v>
      </c>
      <c r="R65" s="113">
        <f t="shared" si="1"/>
        <v>0</v>
      </c>
      <c r="S65" s="113">
        <f t="shared" si="2"/>
        <v>0</v>
      </c>
      <c r="T65" s="113">
        <f t="shared" si="3"/>
        <v>0</v>
      </c>
      <c r="U65" s="63" t="e">
        <f t="shared" si="14"/>
        <v>#DIV/0!</v>
      </c>
      <c r="V65" s="63" t="e">
        <f t="shared" si="15"/>
        <v>#DIV/0!</v>
      </c>
      <c r="X65" s="63" t="e">
        <f t="shared" si="6"/>
        <v>#DIV/0!</v>
      </c>
    </row>
    <row r="66" spans="1:33" x14ac:dyDescent="0.2">
      <c r="A66" s="1" t="s">
        <v>350</v>
      </c>
      <c r="B66" s="1" t="s">
        <v>163</v>
      </c>
      <c r="C66" s="1" t="s">
        <v>351</v>
      </c>
      <c r="D66" s="1" t="s">
        <v>2019</v>
      </c>
      <c r="O66" s="113">
        <f t="shared" si="0"/>
        <v>0</v>
      </c>
      <c r="R66" s="113">
        <f t="shared" si="1"/>
        <v>0</v>
      </c>
      <c r="S66" s="113">
        <f t="shared" si="2"/>
        <v>0</v>
      </c>
      <c r="T66" s="113">
        <f t="shared" si="3"/>
        <v>0</v>
      </c>
      <c r="U66" s="63" t="e">
        <f t="shared" si="14"/>
        <v>#DIV/0!</v>
      </c>
      <c r="V66" s="63" t="e">
        <f t="shared" si="15"/>
        <v>#DIV/0!</v>
      </c>
      <c r="X66" s="63" t="e">
        <f t="shared" si="6"/>
        <v>#DIV/0!</v>
      </c>
    </row>
    <row r="67" spans="1:33" x14ac:dyDescent="0.2">
      <c r="A67" s="1" t="s">
        <v>370</v>
      </c>
      <c r="B67" s="1" t="s">
        <v>318</v>
      </c>
      <c r="C67" s="1" t="s">
        <v>371</v>
      </c>
      <c r="D67" s="1" t="s">
        <v>2019</v>
      </c>
      <c r="O67" s="113">
        <f t="shared" si="0"/>
        <v>0</v>
      </c>
      <c r="R67" s="113">
        <f t="shared" si="1"/>
        <v>0</v>
      </c>
      <c r="S67" s="113">
        <f t="shared" si="2"/>
        <v>0</v>
      </c>
      <c r="T67" s="113">
        <f t="shared" si="3"/>
        <v>0</v>
      </c>
      <c r="U67" s="63" t="e">
        <f t="shared" si="14"/>
        <v>#DIV/0!</v>
      </c>
      <c r="V67" s="63" t="e">
        <f t="shared" si="15"/>
        <v>#DIV/0!</v>
      </c>
      <c r="X67" s="63" t="e">
        <f t="shared" si="6"/>
        <v>#DIV/0!</v>
      </c>
    </row>
    <row r="68" spans="1:33" x14ac:dyDescent="0.2">
      <c r="A68" s="1" t="s">
        <v>374</v>
      </c>
      <c r="B68" s="1" t="s">
        <v>318</v>
      </c>
      <c r="C68" s="1" t="s">
        <v>375</v>
      </c>
      <c r="D68" s="1" t="s">
        <v>2019</v>
      </c>
      <c r="O68" s="113">
        <f t="shared" si="0"/>
        <v>0</v>
      </c>
      <c r="R68" s="113">
        <f t="shared" si="1"/>
        <v>0</v>
      </c>
      <c r="S68" s="113">
        <f t="shared" si="2"/>
        <v>0</v>
      </c>
      <c r="T68" s="113">
        <f t="shared" si="3"/>
        <v>0</v>
      </c>
      <c r="U68" s="63" t="e">
        <f t="shared" si="14"/>
        <v>#DIV/0!</v>
      </c>
      <c r="V68" s="63" t="e">
        <f t="shared" si="15"/>
        <v>#DIV/0!</v>
      </c>
      <c r="X68" s="63" t="e">
        <f t="shared" si="6"/>
        <v>#DIV/0!</v>
      </c>
    </row>
    <row r="69" spans="1:33" x14ac:dyDescent="0.2">
      <c r="A69" s="1">
        <v>314</v>
      </c>
      <c r="B69" s="1" t="s">
        <v>163</v>
      </c>
      <c r="C69" s="1" t="s">
        <v>587</v>
      </c>
      <c r="D69" s="1" t="s">
        <v>2019</v>
      </c>
      <c r="O69" s="113">
        <f t="shared" si="0"/>
        <v>0</v>
      </c>
      <c r="R69" s="113">
        <f t="shared" si="1"/>
        <v>0</v>
      </c>
      <c r="S69" s="113">
        <f t="shared" si="2"/>
        <v>0</v>
      </c>
      <c r="T69" s="113">
        <f t="shared" si="3"/>
        <v>0</v>
      </c>
      <c r="U69" s="63" t="e">
        <f t="shared" si="14"/>
        <v>#DIV/0!</v>
      </c>
      <c r="V69" s="63" t="e">
        <f t="shared" si="15"/>
        <v>#DIV/0!</v>
      </c>
      <c r="X69" s="63" t="e">
        <f t="shared" si="6"/>
        <v>#DIV/0!</v>
      </c>
    </row>
    <row r="70" spans="1:33" x14ac:dyDescent="0.2">
      <c r="A70" s="1">
        <v>315</v>
      </c>
      <c r="B70" s="1" t="s">
        <v>163</v>
      </c>
      <c r="C70" s="1" t="s">
        <v>588</v>
      </c>
      <c r="D70" s="1" t="s">
        <v>2019</v>
      </c>
      <c r="O70" s="113">
        <f t="shared" si="0"/>
        <v>0</v>
      </c>
      <c r="R70" s="113">
        <f t="shared" ref="R70:R77" si="39">(Q70+P70)/2</f>
        <v>0</v>
      </c>
      <c r="S70" s="113">
        <f t="shared" ref="S70:S77" si="40">N70-M70</f>
        <v>0</v>
      </c>
      <c r="T70" s="113">
        <f t="shared" ref="T70:T77" si="41">Q70-P70</f>
        <v>0</v>
      </c>
      <c r="U70" s="63" t="e">
        <f t="shared" si="14"/>
        <v>#DIV/0!</v>
      </c>
      <c r="V70" s="63" t="e">
        <f t="shared" si="15"/>
        <v>#DIV/0!</v>
      </c>
      <c r="X70" s="63" t="e">
        <f t="shared" si="6"/>
        <v>#DIV/0!</v>
      </c>
    </row>
    <row r="71" spans="1:33" x14ac:dyDescent="0.2">
      <c r="A71" s="1">
        <v>317</v>
      </c>
      <c r="B71" s="1" t="s">
        <v>318</v>
      </c>
      <c r="C71" s="1" t="s">
        <v>590</v>
      </c>
      <c r="D71" s="1" t="s">
        <v>2019</v>
      </c>
      <c r="O71" s="113">
        <f t="shared" si="0"/>
        <v>0</v>
      </c>
      <c r="R71" s="113">
        <f t="shared" si="39"/>
        <v>0</v>
      </c>
      <c r="S71" s="113">
        <f t="shared" si="40"/>
        <v>0</v>
      </c>
      <c r="T71" s="113">
        <f t="shared" si="41"/>
        <v>0</v>
      </c>
      <c r="U71" s="63" t="e">
        <f>S71/(W71)</f>
        <v>#DIV/0!</v>
      </c>
      <c r="V71" s="63" t="e">
        <f t="shared" si="15"/>
        <v>#DIV/0!</v>
      </c>
      <c r="X71" s="63" t="e">
        <f>U71*V71</f>
        <v>#DIV/0!</v>
      </c>
    </row>
    <row r="72" spans="1:33" x14ac:dyDescent="0.2">
      <c r="A72" s="1">
        <v>318</v>
      </c>
      <c r="B72" s="1" t="s">
        <v>318</v>
      </c>
      <c r="C72" s="1" t="s">
        <v>591</v>
      </c>
      <c r="D72" s="1" t="s">
        <v>2019</v>
      </c>
      <c r="O72" s="113">
        <f t="shared" si="0"/>
        <v>0</v>
      </c>
      <c r="R72" s="113">
        <f t="shared" si="39"/>
        <v>0</v>
      </c>
      <c r="S72" s="113">
        <f t="shared" si="40"/>
        <v>0</v>
      </c>
      <c r="T72" s="113">
        <f t="shared" si="41"/>
        <v>0</v>
      </c>
      <c r="U72" s="63" t="e">
        <f t="shared" si="14"/>
        <v>#DIV/0!</v>
      </c>
      <c r="V72" s="63" t="e">
        <f t="shared" si="15"/>
        <v>#DIV/0!</v>
      </c>
      <c r="X72" s="63" t="e">
        <f t="shared" si="6"/>
        <v>#DIV/0!</v>
      </c>
    </row>
    <row r="73" spans="1:33" ht="17.25" customHeight="1" x14ac:dyDescent="0.2">
      <c r="A73" s="1" t="s">
        <v>654</v>
      </c>
      <c r="B73" s="1" t="s">
        <v>633</v>
      </c>
      <c r="C73" s="1" t="s">
        <v>655</v>
      </c>
      <c r="D73" s="1" t="s">
        <v>2019</v>
      </c>
      <c r="F73" s="1" t="s">
        <v>2020</v>
      </c>
      <c r="O73" s="113">
        <f>(N73+M73)/2</f>
        <v>0</v>
      </c>
      <c r="R73" s="113">
        <f t="shared" si="39"/>
        <v>0</v>
      </c>
      <c r="S73" s="113">
        <f t="shared" si="40"/>
        <v>0</v>
      </c>
      <c r="T73" s="113">
        <f t="shared" si="41"/>
        <v>0</v>
      </c>
      <c r="U73" s="63" t="e">
        <f>S73/(W73)</f>
        <v>#DIV/0!</v>
      </c>
      <c r="V73" s="63" t="e">
        <f>T73/(W73)</f>
        <v>#DIV/0!</v>
      </c>
      <c r="X73" s="63" t="e">
        <f t="shared" si="6"/>
        <v>#DIV/0!</v>
      </c>
    </row>
    <row r="74" spans="1:33" x14ac:dyDescent="0.2">
      <c r="A74" s="1" t="s">
        <v>658</v>
      </c>
      <c r="B74" s="1" t="s">
        <v>633</v>
      </c>
      <c r="C74" s="1" t="s">
        <v>659</v>
      </c>
      <c r="D74" s="1" t="s">
        <v>2019</v>
      </c>
      <c r="F74" s="1" t="s">
        <v>2020</v>
      </c>
      <c r="O74" s="113">
        <f>(N74+M74)/2</f>
        <v>0</v>
      </c>
      <c r="R74" s="113">
        <f t="shared" si="39"/>
        <v>0</v>
      </c>
      <c r="S74" s="113">
        <f t="shared" si="40"/>
        <v>0</v>
      </c>
      <c r="T74" s="113">
        <f t="shared" si="41"/>
        <v>0</v>
      </c>
      <c r="U74" s="63" t="e">
        <f>S74/(W74)</f>
        <v>#DIV/0!</v>
      </c>
      <c r="V74" s="63" t="e">
        <f>T74/(W74)</f>
        <v>#DIV/0!</v>
      </c>
      <c r="X74" s="63" t="e">
        <f t="shared" ref="X74:X106" si="42">U74*V74</f>
        <v>#DIV/0!</v>
      </c>
    </row>
    <row r="75" spans="1:33" x14ac:dyDescent="0.2">
      <c r="A75" s="1" t="s">
        <v>660</v>
      </c>
      <c r="B75" s="1" t="s">
        <v>2021</v>
      </c>
      <c r="C75" s="1" t="s">
        <v>2022</v>
      </c>
      <c r="D75" s="1" t="s">
        <v>2019</v>
      </c>
      <c r="E75" s="1" t="s">
        <v>2023</v>
      </c>
      <c r="F75" s="1" t="s">
        <v>2024</v>
      </c>
      <c r="G75" s="1" t="s">
        <v>742</v>
      </c>
      <c r="H75" s="1">
        <v>753761</v>
      </c>
      <c r="J75" s="113">
        <v>1</v>
      </c>
      <c r="M75" s="113">
        <v>43.8</v>
      </c>
      <c r="N75" s="113">
        <v>55.8</v>
      </c>
      <c r="O75" s="113">
        <f>(N75+M75)/2</f>
        <v>49.8</v>
      </c>
      <c r="P75" s="113">
        <v>8.92</v>
      </c>
      <c r="Q75" s="113">
        <v>13.92</v>
      </c>
      <c r="R75" s="113">
        <f t="shared" si="39"/>
        <v>11.42</v>
      </c>
      <c r="S75" s="113">
        <f t="shared" si="40"/>
        <v>12</v>
      </c>
      <c r="T75" s="113">
        <f t="shared" si="41"/>
        <v>5</v>
      </c>
      <c r="U75" s="63">
        <f t="shared" ref="U75:U77" si="43">S75/(W75)</f>
        <v>160</v>
      </c>
      <c r="V75" s="63">
        <f t="shared" ref="V75:V77" si="44">T75/(W75)</f>
        <v>66.666666666666671</v>
      </c>
      <c r="W75" s="113">
        <v>7.4999999999999997E-2</v>
      </c>
      <c r="X75" s="63">
        <f t="shared" si="42"/>
        <v>10666.666666666668</v>
      </c>
      <c r="Y75" s="82">
        <v>0.16666666666666666</v>
      </c>
      <c r="Z75" s="82">
        <v>0.125</v>
      </c>
      <c r="AC75" s="82">
        <f>Y75+Z75</f>
        <v>0.29166666666666663</v>
      </c>
    </row>
    <row r="76" spans="1:33" x14ac:dyDescent="0.2">
      <c r="A76" s="1" t="s">
        <v>660</v>
      </c>
      <c r="B76" s="1" t="s">
        <v>2021</v>
      </c>
      <c r="C76" s="1" t="s">
        <v>2022</v>
      </c>
      <c r="D76" s="1" t="s">
        <v>2019</v>
      </c>
      <c r="E76" s="1" t="s">
        <v>2023</v>
      </c>
      <c r="F76" s="1" t="s">
        <v>2025</v>
      </c>
      <c r="G76" s="1" t="s">
        <v>742</v>
      </c>
      <c r="H76" s="1">
        <v>753762</v>
      </c>
      <c r="J76" s="113">
        <v>1</v>
      </c>
      <c r="M76" s="113">
        <v>43.8</v>
      </c>
      <c r="N76" s="113">
        <v>55.8</v>
      </c>
      <c r="O76" s="113">
        <f t="shared" ref="O76:O77" si="45">(N76+M76)/2</f>
        <v>49.8</v>
      </c>
      <c r="P76" s="113">
        <v>8.92</v>
      </c>
      <c r="Q76" s="113">
        <v>13.92</v>
      </c>
      <c r="R76" s="113">
        <f t="shared" si="39"/>
        <v>11.42</v>
      </c>
      <c r="S76" s="113">
        <f t="shared" si="40"/>
        <v>12</v>
      </c>
      <c r="T76" s="113">
        <f t="shared" si="41"/>
        <v>5</v>
      </c>
      <c r="U76" s="63">
        <f t="shared" si="43"/>
        <v>160</v>
      </c>
      <c r="V76" s="63">
        <f t="shared" si="44"/>
        <v>66.666666666666671</v>
      </c>
      <c r="W76" s="113">
        <v>7.4999999999999997E-2</v>
      </c>
      <c r="X76" s="63">
        <f t="shared" si="42"/>
        <v>10666.666666666668</v>
      </c>
      <c r="Y76" s="82">
        <v>0.16805555555555557</v>
      </c>
      <c r="Z76" s="82">
        <v>0.125</v>
      </c>
      <c r="AC76" s="82">
        <f t="shared" ref="AC76:AC77" si="46">Y76+Z76</f>
        <v>0.29305555555555557</v>
      </c>
    </row>
    <row r="77" spans="1:33" x14ac:dyDescent="0.2">
      <c r="A77" s="1" t="s">
        <v>660</v>
      </c>
      <c r="B77" s="1" t="s">
        <v>2021</v>
      </c>
      <c r="C77" s="1" t="s">
        <v>2022</v>
      </c>
      <c r="D77" s="1" t="s">
        <v>2019</v>
      </c>
      <c r="E77" s="1" t="s">
        <v>2023</v>
      </c>
      <c r="F77" s="1" t="s">
        <v>2026</v>
      </c>
      <c r="G77" s="1" t="s">
        <v>742</v>
      </c>
      <c r="J77" s="113">
        <v>1</v>
      </c>
      <c r="M77" s="113">
        <v>43.8</v>
      </c>
      <c r="N77" s="113">
        <v>55.8</v>
      </c>
      <c r="O77" s="113">
        <f t="shared" si="45"/>
        <v>49.8</v>
      </c>
      <c r="P77" s="113">
        <v>8.92</v>
      </c>
      <c r="Q77" s="113">
        <v>13.92</v>
      </c>
      <c r="R77" s="113">
        <f t="shared" si="39"/>
        <v>11.42</v>
      </c>
      <c r="S77" s="113">
        <f t="shared" si="40"/>
        <v>12</v>
      </c>
      <c r="T77" s="113">
        <f t="shared" si="41"/>
        <v>5</v>
      </c>
      <c r="U77" s="63">
        <f t="shared" si="43"/>
        <v>160</v>
      </c>
      <c r="V77" s="63">
        <f t="shared" si="44"/>
        <v>66.666666666666671</v>
      </c>
      <c r="W77" s="113">
        <v>7.4999999999999997E-2</v>
      </c>
      <c r="X77" s="63">
        <f t="shared" si="42"/>
        <v>10666.666666666668</v>
      </c>
      <c r="Y77" s="82">
        <v>0.17152777777777778</v>
      </c>
      <c r="Z77" s="82">
        <v>0.125</v>
      </c>
      <c r="AC77" s="82">
        <f t="shared" si="46"/>
        <v>0.29652777777777778</v>
      </c>
    </row>
    <row r="78" spans="1:33" x14ac:dyDescent="0.2">
      <c r="A78" s="123" t="s">
        <v>2027</v>
      </c>
      <c r="X78" s="63">
        <f t="shared" si="42"/>
        <v>0</v>
      </c>
    </row>
    <row r="79" spans="1:33" s="125" customFormat="1" x14ac:dyDescent="0.2">
      <c r="A79" s="124" t="s">
        <v>403</v>
      </c>
      <c r="B79" s="125" t="s">
        <v>122</v>
      </c>
      <c r="C79" s="125" t="s">
        <v>401</v>
      </c>
      <c r="D79" s="125" t="s">
        <v>1981</v>
      </c>
      <c r="E79" s="125" t="s">
        <v>1986</v>
      </c>
      <c r="F79" s="138" t="s">
        <v>2028</v>
      </c>
      <c r="G79" s="125" t="s">
        <v>742</v>
      </c>
      <c r="H79" s="125">
        <v>753799</v>
      </c>
      <c r="J79" s="126">
        <v>0.5</v>
      </c>
      <c r="K79" s="126">
        <v>46</v>
      </c>
      <c r="L79" s="126">
        <v>35</v>
      </c>
      <c r="M79" s="126">
        <v>47.75</v>
      </c>
      <c r="N79" s="126">
        <v>49</v>
      </c>
      <c r="O79" s="126"/>
      <c r="P79" s="126">
        <v>7.72</v>
      </c>
      <c r="Q79" s="126">
        <v>7.74</v>
      </c>
      <c r="R79" s="126"/>
      <c r="S79" s="126">
        <f t="shared" ref="S79:S88" si="47">N79-M79</f>
        <v>1.25</v>
      </c>
      <c r="T79" s="126">
        <f t="shared" ref="T79:T88" si="48">Q79-P79</f>
        <v>2.0000000000000462E-2</v>
      </c>
      <c r="U79" s="63">
        <f>S79/(W79)</f>
        <v>62.5</v>
      </c>
      <c r="V79" s="63">
        <f>T79/(W79)</f>
        <v>1.0000000000000231</v>
      </c>
      <c r="W79" s="126">
        <v>0.02</v>
      </c>
      <c r="X79" s="63">
        <f t="shared" si="42"/>
        <v>62.500000000001442</v>
      </c>
      <c r="Z79" s="127"/>
      <c r="AA79" s="128"/>
      <c r="AB79" s="129"/>
      <c r="AC79" s="127"/>
      <c r="AE79" s="125" t="s">
        <v>1984</v>
      </c>
      <c r="AF79" s="125" t="s">
        <v>1984</v>
      </c>
      <c r="AG79" s="141"/>
    </row>
    <row r="80" spans="1:33" x14ac:dyDescent="0.2">
      <c r="A80" s="130" t="s">
        <v>403</v>
      </c>
      <c r="B80" s="1" t="s">
        <v>122</v>
      </c>
      <c r="C80" s="1" t="s">
        <v>401</v>
      </c>
      <c r="D80" s="1" t="s">
        <v>1981</v>
      </c>
      <c r="F80" s="139" t="s">
        <v>2029</v>
      </c>
      <c r="G80" s="1" t="s">
        <v>742</v>
      </c>
      <c r="H80" s="1">
        <v>753800</v>
      </c>
      <c r="J80" s="113">
        <v>0.5</v>
      </c>
      <c r="K80" s="113">
        <v>46</v>
      </c>
      <c r="L80" s="113">
        <v>35</v>
      </c>
      <c r="M80" s="113">
        <v>47.75</v>
      </c>
      <c r="N80" s="113">
        <v>49</v>
      </c>
      <c r="P80" s="113">
        <v>7.72</v>
      </c>
      <c r="Q80" s="113">
        <v>7.74</v>
      </c>
      <c r="S80" s="113">
        <f t="shared" si="47"/>
        <v>1.25</v>
      </c>
      <c r="T80" s="113">
        <f t="shared" si="48"/>
        <v>2.0000000000000462E-2</v>
      </c>
      <c r="U80" s="63">
        <f t="shared" ref="U80:U105" si="49">S80/(W80)</f>
        <v>62.5</v>
      </c>
      <c r="V80" s="63">
        <f t="shared" ref="V80:V102" si="50">T80/(W80)</f>
        <v>1.0000000000000231</v>
      </c>
      <c r="W80" s="113">
        <v>0.02</v>
      </c>
      <c r="X80" s="63">
        <f t="shared" si="42"/>
        <v>62.500000000001442</v>
      </c>
      <c r="AG80" s="80"/>
    </row>
    <row r="81" spans="1:33" x14ac:dyDescent="0.2">
      <c r="A81" s="130" t="s">
        <v>403</v>
      </c>
      <c r="B81" s="1" t="s">
        <v>122</v>
      </c>
      <c r="C81" s="1" t="s">
        <v>401</v>
      </c>
      <c r="D81" s="1" t="s">
        <v>1981</v>
      </c>
      <c r="F81" s="139" t="s">
        <v>2030</v>
      </c>
      <c r="G81" s="1" t="s">
        <v>742</v>
      </c>
      <c r="H81" s="1">
        <v>753801</v>
      </c>
      <c r="J81" s="113">
        <v>0.5</v>
      </c>
      <c r="K81" s="113">
        <v>46</v>
      </c>
      <c r="L81" s="113">
        <v>35</v>
      </c>
      <c r="M81" s="113">
        <v>47.75</v>
      </c>
      <c r="N81" s="113">
        <v>49</v>
      </c>
      <c r="P81" s="113">
        <v>7.72</v>
      </c>
      <c r="Q81" s="113">
        <v>7.74</v>
      </c>
      <c r="S81" s="113">
        <f t="shared" si="47"/>
        <v>1.25</v>
      </c>
      <c r="T81" s="113">
        <f t="shared" si="48"/>
        <v>2.0000000000000462E-2</v>
      </c>
      <c r="U81" s="63">
        <f t="shared" si="49"/>
        <v>62.5</v>
      </c>
      <c r="V81" s="63">
        <f t="shared" si="50"/>
        <v>1.0000000000000231</v>
      </c>
      <c r="W81" s="113">
        <v>0.02</v>
      </c>
      <c r="X81" s="63">
        <f t="shared" si="42"/>
        <v>62.500000000001442</v>
      </c>
      <c r="AG81" s="80"/>
    </row>
    <row r="82" spans="1:33" x14ac:dyDescent="0.2">
      <c r="A82" s="130" t="s">
        <v>403</v>
      </c>
      <c r="B82" s="1" t="s">
        <v>122</v>
      </c>
      <c r="C82" s="1" t="s">
        <v>401</v>
      </c>
      <c r="D82" s="1" t="s">
        <v>1981</v>
      </c>
      <c r="F82" s="139" t="s">
        <v>2031</v>
      </c>
      <c r="G82" s="1" t="s">
        <v>742</v>
      </c>
      <c r="H82" s="1">
        <v>753802</v>
      </c>
      <c r="J82" s="63">
        <v>1</v>
      </c>
      <c r="K82" s="113">
        <v>46</v>
      </c>
      <c r="L82" s="113">
        <v>35</v>
      </c>
      <c r="M82" s="113">
        <v>47.75</v>
      </c>
      <c r="N82" s="113">
        <v>49</v>
      </c>
      <c r="P82" s="113">
        <v>7.8</v>
      </c>
      <c r="Q82" s="113">
        <v>7.82</v>
      </c>
      <c r="S82" s="113">
        <f t="shared" si="47"/>
        <v>1.25</v>
      </c>
      <c r="T82" s="113">
        <f t="shared" si="48"/>
        <v>2.0000000000000462E-2</v>
      </c>
      <c r="U82" s="63">
        <f t="shared" si="49"/>
        <v>62.5</v>
      </c>
      <c r="V82" s="63">
        <f t="shared" si="50"/>
        <v>1.0000000000000231</v>
      </c>
      <c r="W82" s="113">
        <v>0.02</v>
      </c>
      <c r="X82" s="63">
        <f t="shared" si="42"/>
        <v>62.500000000001442</v>
      </c>
      <c r="AG82" s="80"/>
    </row>
    <row r="83" spans="1:33" x14ac:dyDescent="0.2">
      <c r="A83" s="130" t="s">
        <v>403</v>
      </c>
      <c r="B83" s="1" t="s">
        <v>122</v>
      </c>
      <c r="C83" s="1" t="s">
        <v>401</v>
      </c>
      <c r="D83" s="1" t="s">
        <v>1981</v>
      </c>
      <c r="F83" s="139" t="s">
        <v>2032</v>
      </c>
      <c r="G83" s="1" t="s">
        <v>742</v>
      </c>
      <c r="H83" s="1">
        <v>753803</v>
      </c>
      <c r="J83" s="63">
        <v>1</v>
      </c>
      <c r="K83" s="113">
        <v>46</v>
      </c>
      <c r="L83" s="113">
        <v>35</v>
      </c>
      <c r="M83" s="113">
        <v>47.75</v>
      </c>
      <c r="N83" s="113">
        <v>49</v>
      </c>
      <c r="P83" s="113">
        <v>7.8</v>
      </c>
      <c r="Q83" s="113">
        <v>7.82</v>
      </c>
      <c r="S83" s="113">
        <f t="shared" si="47"/>
        <v>1.25</v>
      </c>
      <c r="T83" s="113">
        <f t="shared" si="48"/>
        <v>2.0000000000000462E-2</v>
      </c>
      <c r="U83" s="63">
        <f t="shared" si="49"/>
        <v>62.5</v>
      </c>
      <c r="V83" s="63">
        <f t="shared" si="50"/>
        <v>1.0000000000000231</v>
      </c>
      <c r="W83" s="113">
        <v>0.02</v>
      </c>
      <c r="X83" s="63">
        <f t="shared" si="42"/>
        <v>62.500000000001442</v>
      </c>
      <c r="AE83" s="1" t="s">
        <v>1984</v>
      </c>
      <c r="AF83" s="1" t="s">
        <v>1984</v>
      </c>
      <c r="AG83" s="80"/>
    </row>
    <row r="84" spans="1:33" x14ac:dyDescent="0.2">
      <c r="A84" s="130" t="s">
        <v>403</v>
      </c>
      <c r="B84" s="1" t="s">
        <v>122</v>
      </c>
      <c r="C84" s="1" t="s">
        <v>401</v>
      </c>
      <c r="D84" s="1" t="s">
        <v>1981</v>
      </c>
      <c r="F84" s="139" t="s">
        <v>2033</v>
      </c>
      <c r="G84" s="1" t="s">
        <v>742</v>
      </c>
      <c r="H84" s="1">
        <v>753804</v>
      </c>
      <c r="J84" s="63">
        <v>1</v>
      </c>
      <c r="K84" s="113">
        <v>46</v>
      </c>
      <c r="L84" s="113">
        <v>35</v>
      </c>
      <c r="M84" s="113">
        <v>47.75</v>
      </c>
      <c r="N84" s="113">
        <v>49</v>
      </c>
      <c r="P84" s="113">
        <v>7.8</v>
      </c>
      <c r="Q84" s="113">
        <v>7.82</v>
      </c>
      <c r="S84" s="113">
        <f t="shared" si="47"/>
        <v>1.25</v>
      </c>
      <c r="T84" s="113">
        <f t="shared" si="48"/>
        <v>2.0000000000000462E-2</v>
      </c>
      <c r="U84" s="63">
        <f t="shared" si="49"/>
        <v>62.5</v>
      </c>
      <c r="V84" s="63">
        <f t="shared" si="50"/>
        <v>1.0000000000000231</v>
      </c>
      <c r="W84" s="113">
        <v>0.02</v>
      </c>
      <c r="X84" s="63">
        <f t="shared" si="42"/>
        <v>62.500000000001442</v>
      </c>
      <c r="AG84" s="80"/>
    </row>
    <row r="85" spans="1:33" x14ac:dyDescent="0.2">
      <c r="A85" s="130" t="s">
        <v>403</v>
      </c>
      <c r="B85" s="1" t="s">
        <v>122</v>
      </c>
      <c r="C85" s="1" t="s">
        <v>401</v>
      </c>
      <c r="D85" s="1" t="s">
        <v>1981</v>
      </c>
      <c r="F85" s="139" t="s">
        <v>2034</v>
      </c>
      <c r="G85" s="1" t="s">
        <v>742</v>
      </c>
      <c r="H85" s="1">
        <v>753805</v>
      </c>
      <c r="J85" s="63">
        <v>2</v>
      </c>
      <c r="K85" s="113">
        <v>46</v>
      </c>
      <c r="L85" s="113">
        <v>35</v>
      </c>
      <c r="M85" s="113">
        <v>47.75</v>
      </c>
      <c r="N85" s="113">
        <v>49</v>
      </c>
      <c r="P85" s="113">
        <v>7.86</v>
      </c>
      <c r="Q85" s="113">
        <v>7.88</v>
      </c>
      <c r="S85" s="113">
        <f t="shared" si="47"/>
        <v>1.25</v>
      </c>
      <c r="T85" s="113">
        <f t="shared" si="48"/>
        <v>1.9999999999999574E-2</v>
      </c>
      <c r="U85" s="63">
        <f t="shared" si="49"/>
        <v>62.5</v>
      </c>
      <c r="V85" s="63">
        <f t="shared" si="50"/>
        <v>0.99999999999997868</v>
      </c>
      <c r="W85" s="113">
        <v>0.02</v>
      </c>
      <c r="X85" s="63">
        <f t="shared" si="42"/>
        <v>62.499999999998664</v>
      </c>
      <c r="Z85" s="82">
        <v>0</v>
      </c>
      <c r="AE85" s="1" t="s">
        <v>1984</v>
      </c>
      <c r="AF85" s="1" t="s">
        <v>1984</v>
      </c>
      <c r="AG85" s="80"/>
    </row>
    <row r="86" spans="1:33" x14ac:dyDescent="0.2">
      <c r="A86" s="130" t="s">
        <v>403</v>
      </c>
      <c r="B86" s="1" t="s">
        <v>122</v>
      </c>
      <c r="C86" s="1" t="s">
        <v>401</v>
      </c>
      <c r="D86" s="1" t="s">
        <v>1981</v>
      </c>
      <c r="F86" s="139" t="s">
        <v>2035</v>
      </c>
      <c r="G86" s="1" t="s">
        <v>742</v>
      </c>
      <c r="H86" s="1">
        <v>753806</v>
      </c>
      <c r="J86" s="63">
        <v>2</v>
      </c>
      <c r="K86" s="113">
        <v>46</v>
      </c>
      <c r="L86" s="113">
        <v>35</v>
      </c>
      <c r="M86" s="113">
        <v>47.75</v>
      </c>
      <c r="N86" s="113">
        <v>49</v>
      </c>
      <c r="P86" s="113">
        <v>7.86</v>
      </c>
      <c r="Q86" s="113">
        <v>7.88</v>
      </c>
      <c r="S86" s="113">
        <f t="shared" si="47"/>
        <v>1.25</v>
      </c>
      <c r="T86" s="113">
        <f t="shared" si="48"/>
        <v>1.9999999999999574E-2</v>
      </c>
      <c r="U86" s="63">
        <f t="shared" si="49"/>
        <v>62.5</v>
      </c>
      <c r="V86" s="63">
        <f t="shared" si="50"/>
        <v>0.99999999999997868</v>
      </c>
      <c r="W86" s="113">
        <v>0.02</v>
      </c>
      <c r="X86" s="63">
        <f t="shared" si="42"/>
        <v>62.499999999998664</v>
      </c>
      <c r="Z86" s="82">
        <v>0</v>
      </c>
      <c r="AG86" s="80"/>
    </row>
    <row r="87" spans="1:33" x14ac:dyDescent="0.2">
      <c r="A87" s="130" t="s">
        <v>403</v>
      </c>
      <c r="B87" s="1" t="s">
        <v>122</v>
      </c>
      <c r="C87" s="1" t="s">
        <v>401</v>
      </c>
      <c r="D87" s="1" t="s">
        <v>1981</v>
      </c>
      <c r="F87" s="139" t="s">
        <v>2036</v>
      </c>
      <c r="G87" s="1" t="s">
        <v>742</v>
      </c>
      <c r="H87" s="1">
        <v>753807</v>
      </c>
      <c r="J87" s="63">
        <v>2</v>
      </c>
      <c r="K87" s="113">
        <v>46</v>
      </c>
      <c r="L87" s="113">
        <v>35</v>
      </c>
      <c r="M87" s="113">
        <v>47.75</v>
      </c>
      <c r="N87" s="113">
        <v>49</v>
      </c>
      <c r="P87" s="113">
        <v>7.86</v>
      </c>
      <c r="Q87" s="113">
        <v>7.88</v>
      </c>
      <c r="S87" s="113">
        <f t="shared" si="47"/>
        <v>1.25</v>
      </c>
      <c r="T87" s="113">
        <f t="shared" si="48"/>
        <v>1.9999999999999574E-2</v>
      </c>
      <c r="U87" s="63">
        <f t="shared" si="49"/>
        <v>62.5</v>
      </c>
      <c r="V87" s="63">
        <f t="shared" si="50"/>
        <v>0.99999999999997868</v>
      </c>
      <c r="W87" s="113">
        <v>0.02</v>
      </c>
      <c r="X87" s="63">
        <f t="shared" si="42"/>
        <v>62.499999999998664</v>
      </c>
      <c r="Z87" s="82">
        <v>0</v>
      </c>
      <c r="AG87" s="80"/>
    </row>
    <row r="88" spans="1:33" x14ac:dyDescent="0.2">
      <c r="A88" s="130" t="s">
        <v>403</v>
      </c>
      <c r="B88" s="1" t="s">
        <v>122</v>
      </c>
      <c r="C88" s="1" t="s">
        <v>401</v>
      </c>
      <c r="D88" s="1" t="s">
        <v>1981</v>
      </c>
      <c r="F88" s="139" t="s">
        <v>2037</v>
      </c>
      <c r="G88" s="1" t="s">
        <v>742</v>
      </c>
      <c r="H88" s="1">
        <v>753808</v>
      </c>
      <c r="J88" s="63">
        <v>5</v>
      </c>
      <c r="K88" s="113">
        <v>46</v>
      </c>
      <c r="L88" s="113">
        <v>35</v>
      </c>
      <c r="M88" s="113">
        <v>47.75</v>
      </c>
      <c r="N88" s="113">
        <v>49</v>
      </c>
      <c r="P88" s="113">
        <v>7.9</v>
      </c>
      <c r="Q88" s="113">
        <v>7.92</v>
      </c>
      <c r="S88" s="113">
        <f t="shared" si="47"/>
        <v>1.25</v>
      </c>
      <c r="T88" s="113">
        <f t="shared" si="48"/>
        <v>1.9999999999999574E-2</v>
      </c>
      <c r="U88" s="63">
        <f t="shared" si="49"/>
        <v>62.5</v>
      </c>
      <c r="V88" s="63">
        <f t="shared" si="50"/>
        <v>0.99999999999997868</v>
      </c>
      <c r="W88" s="113">
        <v>0.02</v>
      </c>
      <c r="X88" s="63">
        <f t="shared" si="42"/>
        <v>62.499999999998664</v>
      </c>
      <c r="Z88" s="82">
        <v>0</v>
      </c>
      <c r="AG88" s="80"/>
    </row>
    <row r="89" spans="1:33" s="132" customFormat="1" x14ac:dyDescent="0.2">
      <c r="A89" s="131" t="s">
        <v>403</v>
      </c>
      <c r="B89" s="132" t="s">
        <v>122</v>
      </c>
      <c r="C89" s="132" t="s">
        <v>401</v>
      </c>
      <c r="D89" s="132" t="s">
        <v>1981</v>
      </c>
      <c r="F89" s="140" t="s">
        <v>2038</v>
      </c>
      <c r="G89" s="132" t="s">
        <v>742</v>
      </c>
      <c r="H89" s="132">
        <v>753809</v>
      </c>
      <c r="J89" s="133">
        <v>5</v>
      </c>
      <c r="K89" s="134">
        <v>46</v>
      </c>
      <c r="L89" s="134">
        <v>35</v>
      </c>
      <c r="M89" s="134">
        <v>47.75</v>
      </c>
      <c r="N89" s="134">
        <v>49</v>
      </c>
      <c r="O89" s="134"/>
      <c r="P89" s="134">
        <v>7.9</v>
      </c>
      <c r="Q89" s="134">
        <v>7.92</v>
      </c>
      <c r="R89" s="134"/>
      <c r="S89" s="134">
        <f t="shared" ref="S89:S96" si="51">N89-M89</f>
        <v>1.25</v>
      </c>
      <c r="T89" s="134">
        <f t="shared" ref="T89:T96" si="52">Q89-P89</f>
        <v>1.9999999999999574E-2</v>
      </c>
      <c r="U89" s="63">
        <f t="shared" si="49"/>
        <v>62.5</v>
      </c>
      <c r="V89" s="63">
        <f t="shared" si="50"/>
        <v>0.99999999999997868</v>
      </c>
      <c r="W89" s="134">
        <v>0.02</v>
      </c>
      <c r="X89" s="63">
        <f t="shared" si="42"/>
        <v>62.499999999998664</v>
      </c>
      <c r="Z89" s="135"/>
      <c r="AA89" s="136"/>
      <c r="AB89" s="137"/>
      <c r="AC89" s="135"/>
      <c r="AE89" s="132" t="s">
        <v>1984</v>
      </c>
      <c r="AF89" s="132" t="s">
        <v>1984</v>
      </c>
      <c r="AG89" s="142"/>
    </row>
    <row r="90" spans="1:33" x14ac:dyDescent="0.2">
      <c r="A90" s="120" t="s">
        <v>403</v>
      </c>
      <c r="B90" s="1" t="s">
        <v>122</v>
      </c>
      <c r="C90" s="1" t="s">
        <v>401</v>
      </c>
      <c r="D90" s="1" t="s">
        <v>1981</v>
      </c>
      <c r="F90" s="1" t="s">
        <v>2039</v>
      </c>
      <c r="G90" s="1" t="s">
        <v>742</v>
      </c>
      <c r="H90" s="1">
        <v>753810</v>
      </c>
      <c r="J90" s="113">
        <v>0</v>
      </c>
      <c r="K90" s="113">
        <v>46</v>
      </c>
      <c r="L90" s="113">
        <v>35</v>
      </c>
      <c r="S90" s="113">
        <f t="shared" si="51"/>
        <v>0</v>
      </c>
      <c r="T90" s="113">
        <f t="shared" si="52"/>
        <v>0</v>
      </c>
      <c r="U90" s="63" t="e">
        <f t="shared" si="49"/>
        <v>#DIV/0!</v>
      </c>
      <c r="V90" s="63" t="e">
        <f t="shared" si="50"/>
        <v>#DIV/0!</v>
      </c>
      <c r="W90" s="122"/>
      <c r="X90" s="63" t="e">
        <f t="shared" si="42"/>
        <v>#DIV/0!</v>
      </c>
    </row>
    <row r="91" spans="1:33" x14ac:dyDescent="0.2">
      <c r="A91" s="120" t="s">
        <v>403</v>
      </c>
      <c r="B91" s="1" t="s">
        <v>122</v>
      </c>
      <c r="C91" s="1" t="s">
        <v>401</v>
      </c>
      <c r="D91" s="1" t="s">
        <v>1981</v>
      </c>
      <c r="F91" s="1" t="s">
        <v>2039</v>
      </c>
      <c r="G91" s="1" t="s">
        <v>742</v>
      </c>
      <c r="H91" s="1">
        <v>753811</v>
      </c>
      <c r="J91" s="113">
        <v>0</v>
      </c>
      <c r="K91" s="113">
        <v>46</v>
      </c>
      <c r="L91" s="113">
        <v>35</v>
      </c>
      <c r="S91" s="113">
        <f t="shared" si="51"/>
        <v>0</v>
      </c>
      <c r="T91" s="113">
        <f t="shared" si="52"/>
        <v>0</v>
      </c>
      <c r="U91" s="63" t="e">
        <f t="shared" si="49"/>
        <v>#DIV/0!</v>
      </c>
      <c r="V91" s="63" t="e">
        <f t="shared" si="50"/>
        <v>#DIV/0!</v>
      </c>
      <c r="W91" s="122"/>
      <c r="X91" s="63" t="e">
        <f t="shared" si="42"/>
        <v>#DIV/0!</v>
      </c>
    </row>
    <row r="92" spans="1:33" x14ac:dyDescent="0.2">
      <c r="A92" s="120" t="s">
        <v>403</v>
      </c>
      <c r="B92" s="1" t="s">
        <v>122</v>
      </c>
      <c r="C92" s="1" t="s">
        <v>401</v>
      </c>
      <c r="D92" s="1" t="s">
        <v>1981</v>
      </c>
      <c r="F92" s="1" t="s">
        <v>2039</v>
      </c>
      <c r="G92" s="1" t="s">
        <v>742</v>
      </c>
      <c r="H92" s="1">
        <v>753812</v>
      </c>
      <c r="J92" s="113">
        <v>0</v>
      </c>
      <c r="K92" s="113">
        <v>46</v>
      </c>
      <c r="L92" s="113">
        <v>35</v>
      </c>
      <c r="S92" s="113">
        <f t="shared" si="51"/>
        <v>0</v>
      </c>
      <c r="T92" s="113">
        <f t="shared" si="52"/>
        <v>0</v>
      </c>
      <c r="U92" s="63" t="e">
        <f t="shared" si="49"/>
        <v>#DIV/0!</v>
      </c>
      <c r="V92" s="63" t="e">
        <f t="shared" si="50"/>
        <v>#DIV/0!</v>
      </c>
      <c r="W92" s="122"/>
      <c r="X92" s="63" t="e">
        <f t="shared" si="42"/>
        <v>#DIV/0!</v>
      </c>
    </row>
    <row r="93" spans="1:33" x14ac:dyDescent="0.2">
      <c r="A93" s="120" t="s">
        <v>403</v>
      </c>
      <c r="B93" s="1" t="s">
        <v>122</v>
      </c>
      <c r="C93" s="1" t="s">
        <v>401</v>
      </c>
      <c r="D93" s="1" t="s">
        <v>1981</v>
      </c>
      <c r="G93" s="1" t="s">
        <v>742</v>
      </c>
      <c r="H93" s="1">
        <v>753813</v>
      </c>
      <c r="J93" s="113">
        <v>0.5</v>
      </c>
      <c r="K93" s="113">
        <v>46</v>
      </c>
      <c r="L93" s="113">
        <v>35</v>
      </c>
      <c r="M93" s="113">
        <v>48.16</v>
      </c>
      <c r="N93" s="113">
        <v>48.17</v>
      </c>
      <c r="P93" s="113">
        <v>8</v>
      </c>
      <c r="Q93" s="113">
        <v>8</v>
      </c>
      <c r="S93" s="113">
        <f t="shared" si="51"/>
        <v>1.0000000000005116E-2</v>
      </c>
      <c r="T93" s="113">
        <f t="shared" si="52"/>
        <v>0</v>
      </c>
      <c r="U93" s="63" t="e">
        <f t="shared" si="49"/>
        <v>#DIV/0!</v>
      </c>
      <c r="V93" s="63" t="e">
        <f t="shared" si="50"/>
        <v>#DIV/0!</v>
      </c>
      <c r="W93" s="122"/>
      <c r="X93" s="63" t="e">
        <f t="shared" si="42"/>
        <v>#DIV/0!</v>
      </c>
    </row>
    <row r="94" spans="1:33" x14ac:dyDescent="0.2">
      <c r="A94" s="120" t="s">
        <v>403</v>
      </c>
      <c r="B94" s="1" t="s">
        <v>122</v>
      </c>
      <c r="C94" s="1" t="s">
        <v>401</v>
      </c>
      <c r="D94" s="1" t="s">
        <v>1981</v>
      </c>
      <c r="F94" s="1" t="s">
        <v>2039</v>
      </c>
      <c r="G94" s="1" t="s">
        <v>742</v>
      </c>
      <c r="H94" s="1">
        <v>753814</v>
      </c>
      <c r="J94" s="113">
        <v>0</v>
      </c>
      <c r="K94" s="113">
        <v>46</v>
      </c>
      <c r="L94" s="113">
        <v>35</v>
      </c>
      <c r="M94" s="113">
        <v>48.36</v>
      </c>
      <c r="N94" s="113">
        <v>48.365000000000002</v>
      </c>
      <c r="P94" s="113">
        <v>8</v>
      </c>
      <c r="Q94" s="113">
        <v>8</v>
      </c>
      <c r="S94" s="113">
        <f t="shared" si="51"/>
        <v>5.000000000002558E-3</v>
      </c>
      <c r="T94" s="113">
        <f t="shared" si="52"/>
        <v>0</v>
      </c>
      <c r="U94" s="63" t="e">
        <f t="shared" si="49"/>
        <v>#DIV/0!</v>
      </c>
      <c r="V94" s="63" t="e">
        <f t="shared" si="50"/>
        <v>#DIV/0!</v>
      </c>
      <c r="W94" s="122"/>
      <c r="X94" s="63" t="e">
        <f t="shared" si="42"/>
        <v>#DIV/0!</v>
      </c>
    </row>
    <row r="95" spans="1:33" x14ac:dyDescent="0.2">
      <c r="A95" s="120" t="s">
        <v>403</v>
      </c>
      <c r="B95" s="1" t="s">
        <v>122</v>
      </c>
      <c r="C95" s="1" t="s">
        <v>401</v>
      </c>
      <c r="D95" s="1" t="s">
        <v>1981</v>
      </c>
      <c r="G95" s="1" t="s">
        <v>742</v>
      </c>
      <c r="H95" s="1">
        <v>753815</v>
      </c>
      <c r="J95" s="113">
        <v>0.5</v>
      </c>
      <c r="K95" s="113">
        <v>46</v>
      </c>
      <c r="L95" s="113">
        <v>35</v>
      </c>
      <c r="S95" s="113">
        <f t="shared" si="51"/>
        <v>0</v>
      </c>
      <c r="T95" s="113">
        <f t="shared" si="52"/>
        <v>0</v>
      </c>
      <c r="U95" s="63" t="e">
        <f t="shared" si="49"/>
        <v>#DIV/0!</v>
      </c>
      <c r="V95" s="63" t="e">
        <f t="shared" si="50"/>
        <v>#DIV/0!</v>
      </c>
      <c r="W95" s="122"/>
      <c r="X95" s="63" t="e">
        <f t="shared" si="42"/>
        <v>#DIV/0!</v>
      </c>
    </row>
    <row r="96" spans="1:33" x14ac:dyDescent="0.2">
      <c r="A96" s="120" t="s">
        <v>403</v>
      </c>
      <c r="B96" s="1" t="s">
        <v>122</v>
      </c>
      <c r="C96" s="1" t="s">
        <v>401</v>
      </c>
      <c r="D96" s="1" t="s">
        <v>1981</v>
      </c>
      <c r="G96" s="1" t="s">
        <v>742</v>
      </c>
      <c r="H96" s="1">
        <v>753816</v>
      </c>
      <c r="J96" s="113">
        <v>0.5</v>
      </c>
      <c r="K96" s="113">
        <v>46</v>
      </c>
      <c r="L96" s="113">
        <v>35</v>
      </c>
      <c r="S96" s="113">
        <f t="shared" si="51"/>
        <v>0</v>
      </c>
      <c r="T96" s="113">
        <f t="shared" si="52"/>
        <v>0</v>
      </c>
      <c r="U96" s="63" t="e">
        <f t="shared" si="49"/>
        <v>#DIV/0!</v>
      </c>
      <c r="V96" s="63" t="e">
        <f t="shared" si="50"/>
        <v>#DIV/0!</v>
      </c>
      <c r="W96" s="122"/>
      <c r="X96" s="63" t="e">
        <f t="shared" si="42"/>
        <v>#DIV/0!</v>
      </c>
    </row>
    <row r="97" spans="1:24" x14ac:dyDescent="0.2">
      <c r="A97" s="120" t="s">
        <v>403</v>
      </c>
      <c r="B97" s="1" t="s">
        <v>122</v>
      </c>
      <c r="C97" s="1" t="s">
        <v>401</v>
      </c>
      <c r="D97" s="1" t="s">
        <v>1981</v>
      </c>
      <c r="F97" s="1" t="s">
        <v>2039</v>
      </c>
      <c r="G97" s="1" t="s">
        <v>742</v>
      </c>
      <c r="H97" s="1">
        <v>753817</v>
      </c>
      <c r="J97" s="113">
        <v>0</v>
      </c>
      <c r="K97" s="113">
        <v>46</v>
      </c>
      <c r="L97" s="113">
        <v>35</v>
      </c>
      <c r="S97" s="113">
        <f t="shared" ref="S97:S102" si="53">N97-M97</f>
        <v>0</v>
      </c>
      <c r="T97" s="113">
        <f t="shared" ref="T97:T102" si="54">Q97-P97</f>
        <v>0</v>
      </c>
      <c r="U97" s="63" t="e">
        <f t="shared" si="49"/>
        <v>#DIV/0!</v>
      </c>
      <c r="V97" s="63" t="e">
        <f t="shared" si="50"/>
        <v>#DIV/0!</v>
      </c>
      <c r="W97" s="122"/>
      <c r="X97" s="63" t="e">
        <f t="shared" si="42"/>
        <v>#DIV/0!</v>
      </c>
    </row>
    <row r="98" spans="1:24" x14ac:dyDescent="0.2">
      <c r="A98" s="120" t="s">
        <v>403</v>
      </c>
      <c r="B98" s="1" t="s">
        <v>122</v>
      </c>
      <c r="C98" s="1" t="s">
        <v>401</v>
      </c>
      <c r="D98" s="1" t="s">
        <v>1981</v>
      </c>
      <c r="F98" s="1" t="s">
        <v>2039</v>
      </c>
      <c r="G98" s="1" t="s">
        <v>742</v>
      </c>
      <c r="H98" s="1">
        <v>753818</v>
      </c>
      <c r="J98" s="113">
        <v>0</v>
      </c>
      <c r="K98" s="113">
        <v>46</v>
      </c>
      <c r="L98" s="113">
        <v>35</v>
      </c>
      <c r="S98" s="113">
        <f t="shared" si="53"/>
        <v>0</v>
      </c>
      <c r="T98" s="113">
        <f t="shared" si="54"/>
        <v>0</v>
      </c>
      <c r="U98" s="63" t="e">
        <f t="shared" si="49"/>
        <v>#DIV/0!</v>
      </c>
      <c r="V98" s="63" t="e">
        <f t="shared" si="50"/>
        <v>#DIV/0!</v>
      </c>
      <c r="W98" s="122"/>
      <c r="X98" s="63" t="e">
        <f t="shared" si="42"/>
        <v>#DIV/0!</v>
      </c>
    </row>
    <row r="99" spans="1:24" x14ac:dyDescent="0.2">
      <c r="A99" s="120" t="s">
        <v>403</v>
      </c>
      <c r="B99" s="1" t="s">
        <v>122</v>
      </c>
      <c r="C99" s="1" t="s">
        <v>401</v>
      </c>
      <c r="D99" s="1" t="s">
        <v>1981</v>
      </c>
      <c r="F99" s="1" t="s">
        <v>2039</v>
      </c>
      <c r="G99" s="1" t="s">
        <v>742</v>
      </c>
      <c r="H99" s="1">
        <v>753819</v>
      </c>
      <c r="J99" s="113">
        <v>0</v>
      </c>
      <c r="K99" s="113">
        <v>46</v>
      </c>
      <c r="L99" s="113">
        <v>35</v>
      </c>
      <c r="S99" s="113">
        <f t="shared" si="53"/>
        <v>0</v>
      </c>
      <c r="T99" s="113">
        <f t="shared" si="54"/>
        <v>0</v>
      </c>
      <c r="U99" s="63" t="e">
        <f t="shared" si="49"/>
        <v>#DIV/0!</v>
      </c>
      <c r="V99" s="63" t="e">
        <f t="shared" si="50"/>
        <v>#DIV/0!</v>
      </c>
      <c r="W99" s="122"/>
      <c r="X99" s="63" t="e">
        <f t="shared" si="42"/>
        <v>#DIV/0!</v>
      </c>
    </row>
    <row r="100" spans="1:24" x14ac:dyDescent="0.2">
      <c r="A100" s="120" t="s">
        <v>403</v>
      </c>
      <c r="B100" s="1" t="s">
        <v>122</v>
      </c>
      <c r="C100" s="1" t="s">
        <v>401</v>
      </c>
      <c r="D100" s="1" t="s">
        <v>1981</v>
      </c>
      <c r="F100" s="113" t="s">
        <v>1482</v>
      </c>
      <c r="G100" s="1" t="s">
        <v>742</v>
      </c>
      <c r="H100" s="1">
        <v>753820</v>
      </c>
      <c r="J100" s="113">
        <v>0.5</v>
      </c>
      <c r="S100" s="113">
        <f t="shared" si="53"/>
        <v>0</v>
      </c>
      <c r="T100" s="113">
        <f t="shared" si="54"/>
        <v>0</v>
      </c>
      <c r="U100" s="63">
        <f t="shared" si="49"/>
        <v>0</v>
      </c>
      <c r="V100" s="63">
        <f t="shared" si="50"/>
        <v>0</v>
      </c>
      <c r="W100" s="122">
        <v>5.0000000000000001E-4</v>
      </c>
      <c r="X100" s="63">
        <f t="shared" si="42"/>
        <v>0</v>
      </c>
    </row>
    <row r="101" spans="1:24" x14ac:dyDescent="0.2">
      <c r="A101" s="120" t="s">
        <v>403</v>
      </c>
      <c r="B101" s="1" t="s">
        <v>122</v>
      </c>
      <c r="C101" s="1" t="s">
        <v>401</v>
      </c>
      <c r="D101" s="1" t="s">
        <v>1981</v>
      </c>
      <c r="F101" s="113" t="s">
        <v>2040</v>
      </c>
      <c r="G101" s="1" t="s">
        <v>742</v>
      </c>
      <c r="H101" s="1">
        <v>753821</v>
      </c>
      <c r="J101" s="113">
        <v>0.5</v>
      </c>
      <c r="S101" s="113">
        <f t="shared" si="53"/>
        <v>0</v>
      </c>
      <c r="T101" s="113">
        <f t="shared" si="54"/>
        <v>0</v>
      </c>
      <c r="U101" s="63" t="e">
        <f t="shared" si="49"/>
        <v>#DIV/0!</v>
      </c>
      <c r="V101" s="63" t="e">
        <f t="shared" si="50"/>
        <v>#DIV/0!</v>
      </c>
      <c r="W101" s="122"/>
      <c r="X101" s="63" t="e">
        <f t="shared" si="42"/>
        <v>#DIV/0!</v>
      </c>
    </row>
    <row r="102" spans="1:24" x14ac:dyDescent="0.2">
      <c r="A102" s="120" t="s">
        <v>403</v>
      </c>
      <c r="B102" s="1" t="s">
        <v>122</v>
      </c>
      <c r="C102" s="1" t="s">
        <v>401</v>
      </c>
      <c r="D102" s="1" t="s">
        <v>1981</v>
      </c>
      <c r="F102" s="113" t="s">
        <v>2040</v>
      </c>
      <c r="G102" s="1" t="s">
        <v>742</v>
      </c>
      <c r="H102" s="1">
        <v>753822</v>
      </c>
      <c r="J102" s="113">
        <v>0.5</v>
      </c>
      <c r="S102" s="113">
        <f t="shared" si="53"/>
        <v>0</v>
      </c>
      <c r="T102" s="113">
        <f t="shared" si="54"/>
        <v>0</v>
      </c>
      <c r="U102" s="63" t="e">
        <f t="shared" si="49"/>
        <v>#DIV/0!</v>
      </c>
      <c r="V102" s="63" t="e">
        <f t="shared" si="50"/>
        <v>#DIV/0!</v>
      </c>
      <c r="W102" s="122"/>
      <c r="X102" s="63" t="e">
        <f t="shared" si="42"/>
        <v>#DIV/0!</v>
      </c>
    </row>
    <row r="103" spans="1:24" x14ac:dyDescent="0.2">
      <c r="A103" s="120" t="s">
        <v>403</v>
      </c>
      <c r="B103" s="1" t="s">
        <v>122</v>
      </c>
      <c r="C103" s="1" t="s">
        <v>401</v>
      </c>
      <c r="D103" s="1" t="s">
        <v>1981</v>
      </c>
      <c r="F103" s="113" t="s">
        <v>2041</v>
      </c>
      <c r="G103" s="1" t="s">
        <v>742</v>
      </c>
      <c r="H103" s="1">
        <v>753823</v>
      </c>
      <c r="J103" s="113">
        <v>0.5</v>
      </c>
      <c r="M103" s="113">
        <v>48.16</v>
      </c>
      <c r="N103" s="113">
        <v>48.164999999999999</v>
      </c>
      <c r="P103" s="113">
        <v>8.1</v>
      </c>
      <c r="Q103" s="113">
        <v>8.1</v>
      </c>
      <c r="S103" s="113">
        <f>N103-M103</f>
        <v>5.000000000002558E-3</v>
      </c>
      <c r="T103" s="113">
        <f>Q103-P103</f>
        <v>0</v>
      </c>
      <c r="U103" s="63">
        <f t="shared" si="49"/>
        <v>10.000000000005116</v>
      </c>
      <c r="V103" s="63">
        <v>1</v>
      </c>
      <c r="W103" s="122">
        <v>5.0000000000000001E-4</v>
      </c>
      <c r="X103" s="63">
        <f>U103*V103</f>
        <v>10.000000000005116</v>
      </c>
    </row>
    <row r="104" spans="1:24" x14ac:dyDescent="0.2">
      <c r="A104" s="120" t="s">
        <v>403</v>
      </c>
      <c r="B104" s="1" t="s">
        <v>122</v>
      </c>
      <c r="C104" s="1" t="s">
        <v>401</v>
      </c>
      <c r="D104" s="1" t="s">
        <v>1981</v>
      </c>
      <c r="F104" s="113" t="s">
        <v>2041</v>
      </c>
      <c r="G104" s="1" t="s">
        <v>742</v>
      </c>
      <c r="H104" s="1">
        <v>753824</v>
      </c>
      <c r="J104" s="113">
        <v>0.5</v>
      </c>
      <c r="M104" s="113">
        <v>48.16</v>
      </c>
      <c r="N104" s="113">
        <v>48.164999999999999</v>
      </c>
      <c r="P104" s="113">
        <v>8.1999999999999993</v>
      </c>
      <c r="Q104" s="113">
        <v>8.1999999999999993</v>
      </c>
      <c r="S104" s="113">
        <f>N104-M104</f>
        <v>5.000000000002558E-3</v>
      </c>
      <c r="T104" s="113">
        <f>Q104-P104</f>
        <v>0</v>
      </c>
      <c r="U104" s="63">
        <f t="shared" si="49"/>
        <v>10.000000000005116</v>
      </c>
      <c r="V104" s="63">
        <v>1</v>
      </c>
      <c r="W104" s="122">
        <v>5.0000000000000001E-4</v>
      </c>
      <c r="X104" s="63">
        <f t="shared" si="42"/>
        <v>10.000000000005116</v>
      </c>
    </row>
    <row r="105" spans="1:24" x14ac:dyDescent="0.2">
      <c r="A105" s="120" t="s">
        <v>403</v>
      </c>
      <c r="B105" s="1" t="s">
        <v>122</v>
      </c>
      <c r="C105" s="1" t="s">
        <v>401</v>
      </c>
      <c r="D105" s="1" t="s">
        <v>1981</v>
      </c>
      <c r="F105" s="113" t="s">
        <v>2042</v>
      </c>
      <c r="G105" s="1" t="s">
        <v>742</v>
      </c>
      <c r="H105" s="1">
        <v>753825</v>
      </c>
      <c r="J105" s="113">
        <v>1</v>
      </c>
      <c r="M105" s="113">
        <v>48.16</v>
      </c>
      <c r="N105" s="113">
        <v>48.164999999999999</v>
      </c>
      <c r="P105" s="113">
        <v>8.3000000000000007</v>
      </c>
      <c r="Q105" s="113">
        <v>8.3000000000000007</v>
      </c>
      <c r="S105" s="113">
        <f>N105-M105</f>
        <v>5.000000000002558E-3</v>
      </c>
      <c r="T105" s="113">
        <f>Q105-P105</f>
        <v>0</v>
      </c>
      <c r="U105" s="63">
        <f t="shared" si="49"/>
        <v>10.000000000005116</v>
      </c>
      <c r="V105" s="63">
        <v>1</v>
      </c>
      <c r="W105" s="122">
        <v>5.0000000000000001E-4</v>
      </c>
      <c r="X105" s="63">
        <f t="shared" si="42"/>
        <v>10.000000000005116</v>
      </c>
    </row>
    <row r="106" spans="1:24" x14ac:dyDescent="0.2">
      <c r="A106" s="120" t="s">
        <v>403</v>
      </c>
      <c r="B106" s="1" t="s">
        <v>122</v>
      </c>
      <c r="C106" s="1" t="s">
        <v>401</v>
      </c>
      <c r="D106" s="1" t="s">
        <v>1981</v>
      </c>
      <c r="F106" s="113" t="s">
        <v>2042</v>
      </c>
      <c r="G106" s="1" t="s">
        <v>742</v>
      </c>
      <c r="H106" s="1">
        <v>753826</v>
      </c>
      <c r="J106" s="113">
        <v>1</v>
      </c>
      <c r="M106" s="113">
        <v>48.16</v>
      </c>
      <c r="N106" s="113">
        <v>48.161999999999999</v>
      </c>
      <c r="P106" s="113">
        <v>8.3000000000000007</v>
      </c>
      <c r="Q106" s="113">
        <v>8.3000000000000007</v>
      </c>
      <c r="S106" s="113">
        <f>N106-M106</f>
        <v>2.0000000000024443E-3</v>
      </c>
      <c r="T106" s="113">
        <f>Q106-P106</f>
        <v>0</v>
      </c>
      <c r="U106" s="63">
        <f t="shared" ref="U106" si="55">S106/(W106)</f>
        <v>4.0000000000048885</v>
      </c>
      <c r="V106" s="63">
        <v>1</v>
      </c>
      <c r="W106" s="122">
        <v>5.0000000000000001E-4</v>
      </c>
      <c r="X106" s="63">
        <f t="shared" si="42"/>
        <v>4.0000000000048885</v>
      </c>
    </row>
    <row r="107" spans="1:24" x14ac:dyDescent="0.2">
      <c r="A107" s="120" t="s">
        <v>403</v>
      </c>
      <c r="B107" s="1" t="s">
        <v>122</v>
      </c>
      <c r="C107" s="1" t="s">
        <v>401</v>
      </c>
      <c r="D107" s="1" t="s">
        <v>1981</v>
      </c>
      <c r="F107" s="113" t="s">
        <v>2042</v>
      </c>
      <c r="G107" s="1" t="s">
        <v>742</v>
      </c>
      <c r="H107" s="1">
        <v>753827</v>
      </c>
      <c r="J107" s="113">
        <v>1</v>
      </c>
      <c r="M107" s="113">
        <v>48.16</v>
      </c>
      <c r="N107" s="113">
        <v>48.161000000000001</v>
      </c>
      <c r="P107" s="113">
        <v>8.35</v>
      </c>
      <c r="Q107" s="113">
        <v>8.35</v>
      </c>
      <c r="S107" s="113">
        <f>N107-M107</f>
        <v>1.0000000000047748E-3</v>
      </c>
      <c r="T107" s="113">
        <f>Q107-P107</f>
        <v>0</v>
      </c>
      <c r="U107" s="63">
        <f t="shared" ref="U107" si="56">S107/(W107)</f>
        <v>5.0000000000238742</v>
      </c>
      <c r="V107" s="63">
        <v>1</v>
      </c>
      <c r="W107" s="122">
        <v>2.0000000000000001E-4</v>
      </c>
      <c r="X107" s="63">
        <f t="shared" ref="X107" si="57">U107*V107</f>
        <v>5.0000000000238742</v>
      </c>
    </row>
    <row r="108" spans="1:24" x14ac:dyDescent="0.2">
      <c r="J108" s="1"/>
      <c r="K108" s="1"/>
      <c r="L108" s="1"/>
    </row>
    <row r="109" spans="1:24" x14ac:dyDescent="0.2">
      <c r="J109" s="1"/>
      <c r="K109" s="1"/>
      <c r="L109" s="1"/>
    </row>
    <row r="110" spans="1:24" x14ac:dyDescent="0.2">
      <c r="J110" s="1"/>
      <c r="K110" s="1"/>
      <c r="L110" s="1"/>
      <c r="M110" s="63"/>
    </row>
    <row r="111" spans="1:24" x14ac:dyDescent="0.2">
      <c r="J111" s="1"/>
      <c r="K111" s="1"/>
      <c r="L111" s="1"/>
      <c r="M111" s="63"/>
    </row>
  </sheetData>
  <autoFilter ref="A1:D85" xr:uid="{D04B644A-7A08-4C3C-8D22-67F9B2247AB1}">
    <sortState xmlns:xlrd2="http://schemas.microsoft.com/office/spreadsheetml/2017/richdata2" ref="A2:D90">
      <sortCondition ref="D1:D85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A7A0E-E5A0-4DBA-9587-D31F4650AAF4}">
  <dimension ref="A1:R173"/>
  <sheetViews>
    <sheetView workbookViewId="0">
      <pane xSplit="4" ySplit="1" topLeftCell="E146" activePane="bottomRight" state="frozen"/>
      <selection pane="topRight"/>
      <selection pane="bottomLeft"/>
      <selection pane="bottomRight" activeCell="F177" sqref="F177"/>
    </sheetView>
  </sheetViews>
  <sheetFormatPr baseColWidth="10" defaultColWidth="8" defaultRowHeight="16" x14ac:dyDescent="0.2"/>
  <cols>
    <col min="1" max="1" width="18" style="1" bestFit="1" customWidth="1"/>
    <col min="2" max="2" width="22.6640625" style="79" customWidth="1"/>
    <col min="3" max="4" width="6.6640625" style="1" customWidth="1"/>
    <col min="5" max="5" width="7.6640625" style="1" customWidth="1"/>
    <col min="6" max="6" width="7.33203125" style="1" customWidth="1"/>
    <col min="7" max="7" width="21.6640625" style="79" customWidth="1"/>
    <col min="8" max="8" width="11.33203125" style="1" customWidth="1"/>
    <col min="9" max="9" width="12.1640625" style="63" bestFit="1" customWidth="1"/>
    <col min="10" max="10" width="8.6640625" style="1" bestFit="1" customWidth="1"/>
    <col min="11" max="12" width="5.6640625" style="1" bestFit="1" customWidth="1"/>
    <col min="13" max="13" width="8.1640625" style="1" bestFit="1" customWidth="1"/>
    <col min="14" max="14" width="8.6640625" style="1" bestFit="1" customWidth="1"/>
    <col min="15" max="16" width="3.83203125" style="58" bestFit="1" customWidth="1"/>
    <col min="17" max="17" width="34.1640625" style="1" bestFit="1" customWidth="1"/>
    <col min="18" max="16384" width="8" style="1"/>
  </cols>
  <sheetData>
    <row r="1" spans="1:17" ht="17" x14ac:dyDescent="0.2">
      <c r="A1" s="55" t="s">
        <v>1465</v>
      </c>
      <c r="B1" s="56" t="s">
        <v>1</v>
      </c>
      <c r="C1" s="55" t="s">
        <v>6</v>
      </c>
      <c r="D1" s="55" t="s">
        <v>6</v>
      </c>
      <c r="E1" s="55" t="s">
        <v>2043</v>
      </c>
      <c r="F1" s="55" t="s">
        <v>2044</v>
      </c>
      <c r="G1" s="56" t="s">
        <v>11</v>
      </c>
      <c r="H1" s="55" t="s">
        <v>742</v>
      </c>
      <c r="I1" s="57" t="s">
        <v>2045</v>
      </c>
      <c r="J1" s="55" t="s">
        <v>2046</v>
      </c>
      <c r="K1" s="55" t="s">
        <v>2047</v>
      </c>
      <c r="L1" s="55" t="s">
        <v>2048</v>
      </c>
      <c r="M1" s="55" t="s">
        <v>2049</v>
      </c>
      <c r="N1" s="55" t="s">
        <v>1468</v>
      </c>
      <c r="O1" s="58" t="s">
        <v>1085</v>
      </c>
      <c r="P1" s="58" t="s">
        <v>2050</v>
      </c>
    </row>
    <row r="2" spans="1:17" x14ac:dyDescent="0.2">
      <c r="A2" s="55"/>
      <c r="B2" s="56"/>
      <c r="C2" s="55"/>
      <c r="D2" s="55"/>
      <c r="E2" s="55"/>
      <c r="F2" s="55"/>
      <c r="G2" s="56"/>
      <c r="H2" s="55"/>
      <c r="I2" s="57"/>
      <c r="J2" s="55"/>
      <c r="K2" s="55" t="s">
        <v>1397</v>
      </c>
      <c r="L2" s="55" t="s">
        <v>1397</v>
      </c>
      <c r="M2" s="55" t="s">
        <v>2051</v>
      </c>
      <c r="N2" s="55"/>
    </row>
    <row r="3" spans="1:17" ht="17" x14ac:dyDescent="0.2">
      <c r="A3" s="59">
        <v>1</v>
      </c>
      <c r="B3" s="60" t="s">
        <v>1706</v>
      </c>
      <c r="C3" s="61" t="s">
        <v>23</v>
      </c>
      <c r="D3" s="61" t="s">
        <v>316</v>
      </c>
      <c r="E3" s="61" t="s">
        <v>2052</v>
      </c>
      <c r="F3" s="61" t="s">
        <v>1982</v>
      </c>
      <c r="G3" s="60"/>
      <c r="H3" s="1" t="s">
        <v>742</v>
      </c>
      <c r="I3" s="62">
        <v>692781</v>
      </c>
      <c r="J3" s="1">
        <v>0.5</v>
      </c>
      <c r="K3" s="1">
        <v>1</v>
      </c>
      <c r="L3" s="1">
        <v>1.8979999999999999</v>
      </c>
      <c r="M3" s="1">
        <v>20</v>
      </c>
      <c r="N3" s="1">
        <v>4845</v>
      </c>
      <c r="O3" s="58">
        <v>95</v>
      </c>
      <c r="P3" s="58">
        <v>51</v>
      </c>
      <c r="Q3" s="1" t="s">
        <v>2053</v>
      </c>
    </row>
    <row r="4" spans="1:17" ht="17" x14ac:dyDescent="0.2">
      <c r="A4" s="61">
        <v>2</v>
      </c>
      <c r="B4" s="60" t="s">
        <v>1706</v>
      </c>
      <c r="C4" s="61" t="s">
        <v>23</v>
      </c>
      <c r="D4" s="61" t="s">
        <v>316</v>
      </c>
      <c r="E4" s="61"/>
      <c r="F4" s="61"/>
      <c r="G4" s="60" t="s">
        <v>1728</v>
      </c>
    </row>
    <row r="5" spans="1:17" ht="17" x14ac:dyDescent="0.2">
      <c r="A5" s="61">
        <v>3</v>
      </c>
      <c r="B5" s="60" t="s">
        <v>1706</v>
      </c>
      <c r="C5" s="61" t="s">
        <v>23</v>
      </c>
      <c r="D5" s="61" t="s">
        <v>316</v>
      </c>
      <c r="E5" s="61"/>
      <c r="F5" s="61"/>
      <c r="G5" s="60" t="s">
        <v>1728</v>
      </c>
    </row>
    <row r="6" spans="1:17" ht="17" x14ac:dyDescent="0.2">
      <c r="A6" s="61">
        <v>4</v>
      </c>
      <c r="B6" s="60" t="s">
        <v>2054</v>
      </c>
      <c r="C6" s="61" t="s">
        <v>23</v>
      </c>
      <c r="D6" s="61" t="s">
        <v>316</v>
      </c>
      <c r="E6" s="61"/>
      <c r="F6" s="61"/>
      <c r="G6" s="60" t="s">
        <v>1728</v>
      </c>
    </row>
    <row r="7" spans="1:17" ht="17" x14ac:dyDescent="0.2">
      <c r="A7" s="61">
        <v>5</v>
      </c>
      <c r="B7" s="60" t="s">
        <v>2054</v>
      </c>
      <c r="C7" s="61" t="s">
        <v>23</v>
      </c>
      <c r="D7" s="61" t="s">
        <v>316</v>
      </c>
      <c r="E7" s="61"/>
      <c r="F7" s="61"/>
      <c r="G7" s="60" t="s">
        <v>1728</v>
      </c>
    </row>
    <row r="8" spans="1:17" ht="17" x14ac:dyDescent="0.2">
      <c r="A8" s="61">
        <v>6</v>
      </c>
      <c r="B8" s="60" t="s">
        <v>2054</v>
      </c>
      <c r="C8" s="61" t="s">
        <v>23</v>
      </c>
      <c r="D8" s="61" t="s">
        <v>316</v>
      </c>
      <c r="E8" s="61"/>
      <c r="F8" s="61"/>
      <c r="G8" s="60" t="s">
        <v>1728</v>
      </c>
    </row>
    <row r="9" spans="1:17" ht="17" x14ac:dyDescent="0.2">
      <c r="A9" s="61">
        <v>7</v>
      </c>
      <c r="B9" s="60" t="s">
        <v>2055</v>
      </c>
      <c r="C9" s="61" t="s">
        <v>23</v>
      </c>
      <c r="D9" s="61" t="s">
        <v>316</v>
      </c>
      <c r="E9" s="61"/>
      <c r="F9" s="61"/>
      <c r="G9" s="60" t="s">
        <v>1728</v>
      </c>
    </row>
    <row r="10" spans="1:17" ht="17" x14ac:dyDescent="0.2">
      <c r="A10" s="61">
        <v>8</v>
      </c>
      <c r="B10" s="60" t="s">
        <v>2055</v>
      </c>
      <c r="C10" s="61" t="s">
        <v>23</v>
      </c>
      <c r="D10" s="61" t="s">
        <v>316</v>
      </c>
      <c r="E10" s="61"/>
      <c r="F10" s="61"/>
      <c r="G10" s="60" t="s">
        <v>1728</v>
      </c>
    </row>
    <row r="11" spans="1:17" ht="17" x14ac:dyDescent="0.2">
      <c r="A11" s="61">
        <v>9</v>
      </c>
      <c r="B11" s="60" t="s">
        <v>2055</v>
      </c>
      <c r="C11" s="61" t="s">
        <v>23</v>
      </c>
      <c r="D11" s="61" t="s">
        <v>316</v>
      </c>
      <c r="E11" s="61"/>
      <c r="F11" s="61"/>
      <c r="G11" s="60" t="s">
        <v>1728</v>
      </c>
    </row>
    <row r="12" spans="1:17" ht="17" x14ac:dyDescent="0.2">
      <c r="A12" s="59">
        <v>10</v>
      </c>
      <c r="B12" s="60" t="s">
        <v>1705</v>
      </c>
      <c r="C12" s="61" t="s">
        <v>23</v>
      </c>
      <c r="D12" s="61" t="s">
        <v>163</v>
      </c>
      <c r="E12" s="64"/>
      <c r="F12" s="64"/>
      <c r="G12" s="60" t="s">
        <v>2056</v>
      </c>
      <c r="H12" s="1" t="s">
        <v>742</v>
      </c>
      <c r="I12" s="65"/>
      <c r="J12" s="66"/>
      <c r="K12" s="66"/>
      <c r="L12" s="66"/>
      <c r="M12" s="66"/>
      <c r="N12" s="66"/>
    </row>
    <row r="13" spans="1:17" ht="17" x14ac:dyDescent="0.2">
      <c r="A13" s="59">
        <v>11</v>
      </c>
      <c r="B13" s="60" t="s">
        <v>1705</v>
      </c>
      <c r="C13" s="61" t="s">
        <v>23</v>
      </c>
      <c r="D13" s="61" t="s">
        <v>163</v>
      </c>
      <c r="E13" s="61" t="s">
        <v>2052</v>
      </c>
      <c r="F13" s="61" t="s">
        <v>2057</v>
      </c>
      <c r="G13" s="60"/>
      <c r="H13" s="1" t="s">
        <v>742</v>
      </c>
      <c r="I13" s="62">
        <v>692782</v>
      </c>
      <c r="J13" s="1">
        <v>0.5</v>
      </c>
      <c r="K13" s="1">
        <v>1.6</v>
      </c>
      <c r="L13" s="1">
        <v>1.34</v>
      </c>
      <c r="M13" s="1">
        <v>20</v>
      </c>
      <c r="N13" s="1">
        <v>5508</v>
      </c>
      <c r="O13" s="58">
        <v>68</v>
      </c>
      <c r="P13" s="58">
        <v>81</v>
      </c>
      <c r="Q13" s="1" t="s">
        <v>2058</v>
      </c>
    </row>
    <row r="14" spans="1:17" ht="17" x14ac:dyDescent="0.2">
      <c r="A14" s="61">
        <v>12</v>
      </c>
      <c r="B14" s="60" t="s">
        <v>1705</v>
      </c>
      <c r="C14" s="61" t="s">
        <v>23</v>
      </c>
      <c r="D14" s="61" t="s">
        <v>163</v>
      </c>
      <c r="E14" s="61"/>
      <c r="F14" s="61"/>
      <c r="G14" s="60" t="s">
        <v>1728</v>
      </c>
    </row>
    <row r="15" spans="1:17" ht="17" x14ac:dyDescent="0.2">
      <c r="A15" s="59">
        <v>13</v>
      </c>
      <c r="B15" s="60" t="s">
        <v>1704</v>
      </c>
      <c r="C15" s="61" t="s">
        <v>23</v>
      </c>
      <c r="D15" s="61" t="s">
        <v>163</v>
      </c>
      <c r="E15" s="61" t="s">
        <v>2052</v>
      </c>
      <c r="F15" s="61"/>
      <c r="G15" s="60" t="s">
        <v>1728</v>
      </c>
      <c r="H15" s="1" t="s">
        <v>742</v>
      </c>
      <c r="I15" s="62">
        <v>692836</v>
      </c>
      <c r="J15" s="1">
        <v>0.5</v>
      </c>
      <c r="K15" s="1">
        <v>1.0860000000000001</v>
      </c>
      <c r="L15" s="1">
        <v>1.569</v>
      </c>
      <c r="M15" s="1">
        <v>20</v>
      </c>
      <c r="N15" s="1">
        <v>4345</v>
      </c>
      <c r="O15" s="58">
        <v>79</v>
      </c>
      <c r="P15" s="58">
        <v>55</v>
      </c>
    </row>
    <row r="16" spans="1:17" ht="17" x14ac:dyDescent="0.2">
      <c r="A16" s="61">
        <v>14</v>
      </c>
      <c r="B16" s="60" t="s">
        <v>1704</v>
      </c>
      <c r="C16" s="61" t="s">
        <v>23</v>
      </c>
      <c r="D16" s="61" t="s">
        <v>163</v>
      </c>
      <c r="E16" s="61"/>
      <c r="F16" s="61"/>
      <c r="G16" s="60" t="s">
        <v>1728</v>
      </c>
    </row>
    <row r="17" spans="1:17" ht="17" x14ac:dyDescent="0.2">
      <c r="A17" s="61">
        <v>15</v>
      </c>
      <c r="B17" s="60" t="s">
        <v>1704</v>
      </c>
      <c r="C17" s="61" t="s">
        <v>23</v>
      </c>
      <c r="D17" s="61" t="s">
        <v>163</v>
      </c>
      <c r="E17" s="61"/>
      <c r="F17" s="61"/>
      <c r="G17" s="60" t="s">
        <v>1728</v>
      </c>
    </row>
    <row r="18" spans="1:17" ht="17" x14ac:dyDescent="0.2">
      <c r="A18" s="61">
        <v>16</v>
      </c>
      <c r="B18" s="60" t="s">
        <v>1704</v>
      </c>
      <c r="C18" s="61" t="s">
        <v>23</v>
      </c>
      <c r="D18" s="61" t="s">
        <v>163</v>
      </c>
      <c r="E18" s="61"/>
      <c r="F18" s="61"/>
      <c r="G18" s="60" t="s">
        <v>2059</v>
      </c>
    </row>
    <row r="19" spans="1:17" ht="17" x14ac:dyDescent="0.2">
      <c r="A19" s="61">
        <v>17</v>
      </c>
      <c r="B19" s="60" t="s">
        <v>1704</v>
      </c>
      <c r="C19" s="61" t="s">
        <v>23</v>
      </c>
      <c r="D19" s="61" t="s">
        <v>163</v>
      </c>
      <c r="E19" s="61"/>
      <c r="F19" s="61"/>
      <c r="G19" s="60" t="s">
        <v>2059</v>
      </c>
    </row>
    <row r="20" spans="1:17" ht="17" x14ac:dyDescent="0.2">
      <c r="A20" s="61">
        <v>18</v>
      </c>
      <c r="B20" s="60" t="s">
        <v>2060</v>
      </c>
      <c r="C20" s="61" t="s">
        <v>23</v>
      </c>
      <c r="D20" s="61" t="s">
        <v>163</v>
      </c>
      <c r="E20" s="61"/>
      <c r="F20" s="61"/>
      <c r="G20" s="60" t="s">
        <v>1728</v>
      </c>
    </row>
    <row r="21" spans="1:17" ht="17" x14ac:dyDescent="0.2">
      <c r="A21" s="61">
        <v>19</v>
      </c>
      <c r="B21" s="60" t="s">
        <v>2060</v>
      </c>
      <c r="C21" s="61" t="s">
        <v>23</v>
      </c>
      <c r="D21" s="61" t="s">
        <v>163</v>
      </c>
      <c r="E21" s="61"/>
      <c r="F21" s="61"/>
      <c r="G21" s="60" t="s">
        <v>1728</v>
      </c>
    </row>
    <row r="22" spans="1:17" ht="17" x14ac:dyDescent="0.2">
      <c r="A22" s="61">
        <v>20</v>
      </c>
      <c r="B22" s="60" t="s">
        <v>2060</v>
      </c>
      <c r="C22" s="61" t="s">
        <v>23</v>
      </c>
      <c r="D22" s="61" t="s">
        <v>163</v>
      </c>
      <c r="E22" s="61"/>
      <c r="F22" s="61"/>
      <c r="G22" s="60" t="s">
        <v>1728</v>
      </c>
    </row>
    <row r="23" spans="1:17" ht="17" x14ac:dyDescent="0.2">
      <c r="A23" s="61">
        <v>21</v>
      </c>
      <c r="B23" s="60" t="s">
        <v>1702</v>
      </c>
      <c r="C23" s="61" t="s">
        <v>23</v>
      </c>
      <c r="D23" s="61" t="s">
        <v>211</v>
      </c>
      <c r="E23" s="61"/>
      <c r="F23" s="61"/>
      <c r="G23" s="60" t="s">
        <v>1728</v>
      </c>
    </row>
    <row r="24" spans="1:17" ht="17" x14ac:dyDescent="0.2">
      <c r="A24" s="61">
        <v>22</v>
      </c>
      <c r="B24" s="60" t="s">
        <v>1702</v>
      </c>
      <c r="C24" s="61" t="s">
        <v>23</v>
      </c>
      <c r="D24" s="61" t="s">
        <v>211</v>
      </c>
      <c r="E24" s="61"/>
      <c r="F24" s="61"/>
      <c r="G24" s="60" t="s">
        <v>1728</v>
      </c>
    </row>
    <row r="25" spans="1:17" ht="17" x14ac:dyDescent="0.2">
      <c r="A25" s="61">
        <v>23</v>
      </c>
      <c r="B25" s="60" t="s">
        <v>1702</v>
      </c>
      <c r="C25" s="61" t="s">
        <v>23</v>
      </c>
      <c r="D25" s="61" t="s">
        <v>211</v>
      </c>
      <c r="E25" s="61"/>
      <c r="F25" s="61"/>
      <c r="G25" s="60" t="s">
        <v>2061</v>
      </c>
    </row>
    <row r="26" spans="1:17" ht="17" x14ac:dyDescent="0.2">
      <c r="A26" s="61">
        <v>24</v>
      </c>
      <c r="B26" s="60" t="s">
        <v>2062</v>
      </c>
      <c r="C26" s="61" t="s">
        <v>23</v>
      </c>
      <c r="D26" s="61" t="s">
        <v>211</v>
      </c>
      <c r="E26" s="61"/>
      <c r="F26" s="61"/>
      <c r="G26" s="60" t="s">
        <v>1728</v>
      </c>
    </row>
    <row r="27" spans="1:17" ht="17" x14ac:dyDescent="0.2">
      <c r="A27" s="61">
        <v>25</v>
      </c>
      <c r="B27" s="60" t="s">
        <v>2062</v>
      </c>
      <c r="C27" s="61" t="s">
        <v>23</v>
      </c>
      <c r="D27" s="61" t="s">
        <v>211</v>
      </c>
      <c r="E27" s="61"/>
      <c r="F27" s="61"/>
      <c r="G27" s="60" t="s">
        <v>1728</v>
      </c>
    </row>
    <row r="28" spans="1:17" ht="17" x14ac:dyDescent="0.2">
      <c r="A28" s="61">
        <v>26</v>
      </c>
      <c r="B28" s="60" t="s">
        <v>2062</v>
      </c>
      <c r="C28" s="61" t="s">
        <v>23</v>
      </c>
      <c r="D28" s="61" t="s">
        <v>211</v>
      </c>
      <c r="E28" s="61"/>
      <c r="F28" s="61"/>
      <c r="G28" s="60" t="s">
        <v>1728</v>
      </c>
    </row>
    <row r="29" spans="1:17" ht="17" x14ac:dyDescent="0.2">
      <c r="A29" s="61">
        <v>27</v>
      </c>
      <c r="B29" s="60" t="s">
        <v>2063</v>
      </c>
      <c r="C29" s="61" t="s">
        <v>23</v>
      </c>
      <c r="D29" s="61" t="s">
        <v>211</v>
      </c>
      <c r="E29" s="61"/>
      <c r="F29" s="61"/>
      <c r="G29" s="60" t="s">
        <v>1728</v>
      </c>
    </row>
    <row r="30" spans="1:17" ht="17" x14ac:dyDescent="0.2">
      <c r="A30" s="61">
        <v>28</v>
      </c>
      <c r="B30" s="60" t="s">
        <v>2063</v>
      </c>
      <c r="C30" s="61" t="s">
        <v>23</v>
      </c>
      <c r="D30" s="61" t="s">
        <v>211</v>
      </c>
      <c r="E30" s="61"/>
      <c r="F30" s="61"/>
      <c r="G30" s="60" t="s">
        <v>1728</v>
      </c>
    </row>
    <row r="31" spans="1:17" ht="17" x14ac:dyDescent="0.2">
      <c r="A31" s="61">
        <v>29</v>
      </c>
      <c r="B31" s="60" t="s">
        <v>2063</v>
      </c>
      <c r="C31" s="61" t="s">
        <v>23</v>
      </c>
      <c r="D31" s="61" t="s">
        <v>211</v>
      </c>
      <c r="E31" s="61"/>
      <c r="F31" s="61"/>
      <c r="G31" s="60" t="s">
        <v>1728</v>
      </c>
    </row>
    <row r="32" spans="1:17" ht="17" x14ac:dyDescent="0.2">
      <c r="A32" s="59">
        <v>30</v>
      </c>
      <c r="B32" s="60" t="s">
        <v>1703</v>
      </c>
      <c r="C32" s="61" t="s">
        <v>23</v>
      </c>
      <c r="D32" s="61" t="s">
        <v>318</v>
      </c>
      <c r="E32" s="61" t="s">
        <v>2064</v>
      </c>
      <c r="F32" s="61" t="s">
        <v>1986</v>
      </c>
      <c r="G32" s="60" t="s">
        <v>1728</v>
      </c>
      <c r="H32" s="1" t="s">
        <v>742</v>
      </c>
      <c r="I32" s="62">
        <v>692783</v>
      </c>
      <c r="J32" s="1">
        <v>0.5</v>
      </c>
      <c r="K32" s="1">
        <v>1.3560000000000001</v>
      </c>
      <c r="L32" s="1">
        <v>3.57</v>
      </c>
      <c r="M32" s="1">
        <v>20</v>
      </c>
      <c r="N32" s="1">
        <v>12172</v>
      </c>
      <c r="O32" s="58">
        <v>179</v>
      </c>
      <c r="P32" s="58">
        <v>68</v>
      </c>
      <c r="Q32" s="1" t="s">
        <v>2065</v>
      </c>
    </row>
    <row r="33" spans="1:17" ht="17" x14ac:dyDescent="0.2">
      <c r="A33" s="61">
        <v>31</v>
      </c>
      <c r="B33" s="60" t="s">
        <v>1703</v>
      </c>
      <c r="C33" s="61" t="s">
        <v>23</v>
      </c>
      <c r="D33" s="61" t="s">
        <v>318</v>
      </c>
      <c r="E33" s="61"/>
      <c r="F33" s="61"/>
      <c r="G33" s="60" t="s">
        <v>1728</v>
      </c>
    </row>
    <row r="34" spans="1:17" ht="17" x14ac:dyDescent="0.2">
      <c r="A34" s="61">
        <v>32</v>
      </c>
      <c r="B34" s="60" t="s">
        <v>1703</v>
      </c>
      <c r="C34" s="61" t="s">
        <v>23</v>
      </c>
      <c r="D34" s="61" t="s">
        <v>318</v>
      </c>
      <c r="E34" s="61"/>
      <c r="F34" s="61"/>
      <c r="G34" s="60" t="s">
        <v>1728</v>
      </c>
    </row>
    <row r="35" spans="1:17" ht="17" x14ac:dyDescent="0.2">
      <c r="A35" s="61">
        <v>33</v>
      </c>
      <c r="B35" s="60" t="s">
        <v>2066</v>
      </c>
      <c r="C35" s="61" t="s">
        <v>23</v>
      </c>
      <c r="D35" s="61" t="s">
        <v>318</v>
      </c>
      <c r="E35" s="61"/>
      <c r="F35" s="61"/>
      <c r="G35" s="60" t="s">
        <v>1728</v>
      </c>
    </row>
    <row r="36" spans="1:17" ht="17" x14ac:dyDescent="0.2">
      <c r="A36" s="61">
        <v>34</v>
      </c>
      <c r="B36" s="60" t="s">
        <v>2066</v>
      </c>
      <c r="C36" s="61" t="s">
        <v>23</v>
      </c>
      <c r="D36" s="61" t="s">
        <v>318</v>
      </c>
      <c r="E36" s="61"/>
      <c r="F36" s="61"/>
      <c r="G36" s="60" t="s">
        <v>1728</v>
      </c>
    </row>
    <row r="37" spans="1:17" ht="17" x14ac:dyDescent="0.2">
      <c r="A37" s="61">
        <v>35</v>
      </c>
      <c r="B37" s="60" t="s">
        <v>2066</v>
      </c>
      <c r="C37" s="61" t="s">
        <v>23</v>
      </c>
      <c r="D37" s="61" t="s">
        <v>318</v>
      </c>
      <c r="E37" s="61"/>
      <c r="F37" s="61"/>
      <c r="G37" s="60" t="s">
        <v>1728</v>
      </c>
    </row>
    <row r="38" spans="1:17" ht="17" x14ac:dyDescent="0.2">
      <c r="A38" s="61">
        <v>36</v>
      </c>
      <c r="B38" s="60" t="s">
        <v>2067</v>
      </c>
      <c r="C38" s="61" t="s">
        <v>23</v>
      </c>
      <c r="D38" s="61" t="s">
        <v>318</v>
      </c>
      <c r="E38" s="61"/>
      <c r="F38" s="61"/>
      <c r="G38" s="60" t="s">
        <v>1728</v>
      </c>
    </row>
    <row r="39" spans="1:17" ht="17" x14ac:dyDescent="0.2">
      <c r="A39" s="61">
        <v>37</v>
      </c>
      <c r="B39" s="60" t="s">
        <v>2067</v>
      </c>
      <c r="C39" s="61" t="s">
        <v>23</v>
      </c>
      <c r="D39" s="61" t="s">
        <v>318</v>
      </c>
      <c r="E39" s="61"/>
      <c r="F39" s="61"/>
      <c r="G39" s="60" t="s">
        <v>1728</v>
      </c>
    </row>
    <row r="40" spans="1:17" ht="17" x14ac:dyDescent="0.2">
      <c r="A40" s="61">
        <v>38</v>
      </c>
      <c r="B40" s="60" t="s">
        <v>2067</v>
      </c>
      <c r="C40" s="61" t="s">
        <v>23</v>
      </c>
      <c r="D40" s="61" t="s">
        <v>318</v>
      </c>
      <c r="E40" s="61"/>
      <c r="F40" s="61"/>
      <c r="G40" s="60" t="s">
        <v>1728</v>
      </c>
    </row>
    <row r="41" spans="1:17" ht="17" x14ac:dyDescent="0.2">
      <c r="A41" s="59">
        <v>39</v>
      </c>
      <c r="B41" s="60" t="s">
        <v>1702</v>
      </c>
      <c r="C41" s="61" t="s">
        <v>23</v>
      </c>
      <c r="D41" s="61" t="s">
        <v>211</v>
      </c>
      <c r="E41" s="61" t="s">
        <v>2052</v>
      </c>
      <c r="F41" s="61"/>
      <c r="G41" s="60" t="s">
        <v>2068</v>
      </c>
      <c r="H41" s="1" t="s">
        <v>742</v>
      </c>
      <c r="I41" s="62">
        <v>692835</v>
      </c>
      <c r="J41" s="1">
        <v>0.5</v>
      </c>
      <c r="K41" s="1">
        <v>1.0860000000000001</v>
      </c>
      <c r="L41" s="1">
        <v>1.569</v>
      </c>
      <c r="M41" s="1">
        <v>20</v>
      </c>
      <c r="N41" s="1">
        <v>4345</v>
      </c>
      <c r="O41" s="58">
        <v>79</v>
      </c>
      <c r="P41" s="58">
        <v>55</v>
      </c>
      <c r="Q41" s="1" t="s">
        <v>2069</v>
      </c>
    </row>
    <row r="42" spans="1:17" ht="17" x14ac:dyDescent="0.2">
      <c r="A42" s="61">
        <v>40</v>
      </c>
      <c r="B42" s="60" t="s">
        <v>1702</v>
      </c>
      <c r="C42" s="61" t="s">
        <v>23</v>
      </c>
      <c r="D42" s="61" t="s">
        <v>211</v>
      </c>
      <c r="E42" s="61"/>
      <c r="F42" s="61"/>
      <c r="G42" s="60" t="s">
        <v>1728</v>
      </c>
    </row>
    <row r="43" spans="1:17" ht="17" x14ac:dyDescent="0.2">
      <c r="A43" s="61">
        <v>41</v>
      </c>
      <c r="B43" s="60" t="s">
        <v>1702</v>
      </c>
      <c r="C43" s="61" t="s">
        <v>23</v>
      </c>
      <c r="D43" s="61" t="s">
        <v>211</v>
      </c>
      <c r="E43" s="61"/>
      <c r="F43" s="61"/>
      <c r="G43" s="60" t="s">
        <v>1728</v>
      </c>
    </row>
    <row r="44" spans="1:17" ht="17" x14ac:dyDescent="0.2">
      <c r="A44" s="61">
        <v>42</v>
      </c>
      <c r="B44" s="60" t="s">
        <v>2062</v>
      </c>
      <c r="C44" s="61" t="s">
        <v>23</v>
      </c>
      <c r="D44" s="61" t="s">
        <v>211</v>
      </c>
      <c r="E44" s="61"/>
      <c r="F44" s="61"/>
      <c r="G44" s="60" t="s">
        <v>1728</v>
      </c>
    </row>
    <row r="45" spans="1:17" ht="17" x14ac:dyDescent="0.2">
      <c r="A45" s="61">
        <v>43</v>
      </c>
      <c r="B45" s="60" t="s">
        <v>2062</v>
      </c>
      <c r="C45" s="61" t="s">
        <v>23</v>
      </c>
      <c r="D45" s="61" t="s">
        <v>211</v>
      </c>
      <c r="E45" s="61"/>
      <c r="F45" s="61"/>
      <c r="G45" s="60" t="s">
        <v>1728</v>
      </c>
    </row>
    <row r="46" spans="1:17" ht="17" x14ac:dyDescent="0.2">
      <c r="A46" s="61">
        <v>44</v>
      </c>
      <c r="B46" s="60" t="s">
        <v>2062</v>
      </c>
      <c r="C46" s="61" t="s">
        <v>23</v>
      </c>
      <c r="D46" s="61" t="s">
        <v>211</v>
      </c>
      <c r="E46" s="61"/>
      <c r="F46" s="61"/>
      <c r="G46" s="60" t="s">
        <v>1728</v>
      </c>
    </row>
    <row r="47" spans="1:17" ht="17" x14ac:dyDescent="0.2">
      <c r="A47" s="59">
        <v>45</v>
      </c>
      <c r="B47" s="60" t="s">
        <v>2063</v>
      </c>
      <c r="C47" s="61" t="s">
        <v>23</v>
      </c>
      <c r="D47" s="61" t="s">
        <v>211</v>
      </c>
      <c r="E47" s="61"/>
      <c r="F47" s="61"/>
      <c r="G47" s="60" t="s">
        <v>2059</v>
      </c>
      <c r="H47" s="1" t="s">
        <v>742</v>
      </c>
    </row>
    <row r="48" spans="1:17" ht="17" x14ac:dyDescent="0.2">
      <c r="A48" s="61">
        <v>46</v>
      </c>
      <c r="B48" s="60" t="s">
        <v>2063</v>
      </c>
      <c r="C48" s="61" t="s">
        <v>23</v>
      </c>
      <c r="D48" s="61" t="s">
        <v>211</v>
      </c>
      <c r="E48" s="61"/>
      <c r="F48" s="61"/>
      <c r="G48" s="60" t="s">
        <v>1728</v>
      </c>
    </row>
    <row r="49" spans="1:17" ht="17" x14ac:dyDescent="0.2">
      <c r="A49" s="61">
        <v>47</v>
      </c>
      <c r="B49" s="60" t="s">
        <v>2063</v>
      </c>
      <c r="C49" s="61" t="s">
        <v>23</v>
      </c>
      <c r="D49" s="61" t="s">
        <v>211</v>
      </c>
      <c r="E49" s="61"/>
      <c r="F49" s="61"/>
      <c r="G49" s="60" t="s">
        <v>1728</v>
      </c>
    </row>
    <row r="50" spans="1:17" ht="34" x14ac:dyDescent="0.2">
      <c r="A50" s="61" t="s">
        <v>2070</v>
      </c>
      <c r="B50" s="60" t="s">
        <v>1728</v>
      </c>
      <c r="C50" s="61" t="s">
        <v>23</v>
      </c>
      <c r="D50" s="61"/>
      <c r="E50" s="61"/>
      <c r="F50" s="61"/>
      <c r="G50" s="60" t="s">
        <v>2071</v>
      </c>
      <c r="H50" s="66"/>
      <c r="I50" s="65"/>
      <c r="J50" s="66"/>
      <c r="K50" s="66"/>
      <c r="L50" s="66"/>
      <c r="M50" s="66"/>
      <c r="N50" s="66"/>
    </row>
    <row r="51" spans="1:17" ht="17" x14ac:dyDescent="0.2">
      <c r="A51" s="61">
        <v>60</v>
      </c>
      <c r="B51" s="60" t="s">
        <v>1688</v>
      </c>
      <c r="C51" s="61" t="s">
        <v>23</v>
      </c>
      <c r="D51" s="61" t="s">
        <v>389</v>
      </c>
      <c r="E51" s="61"/>
      <c r="F51" s="61"/>
      <c r="G51" s="60" t="s">
        <v>2072</v>
      </c>
      <c r="H51" s="1" t="s">
        <v>742</v>
      </c>
      <c r="Q51" s="1" t="s">
        <v>2056</v>
      </c>
    </row>
    <row r="52" spans="1:17" ht="15.75" customHeight="1" x14ac:dyDescent="0.2">
      <c r="A52" s="59">
        <v>61</v>
      </c>
      <c r="B52" s="60" t="s">
        <v>1688</v>
      </c>
      <c r="C52" s="61" t="s">
        <v>23</v>
      </c>
      <c r="D52" s="61" t="s">
        <v>389</v>
      </c>
      <c r="E52" s="61" t="s">
        <v>2064</v>
      </c>
      <c r="F52" s="61" t="s">
        <v>2073</v>
      </c>
      <c r="G52" s="60" t="s">
        <v>1728</v>
      </c>
      <c r="H52" s="1" t="s">
        <v>742</v>
      </c>
      <c r="I52" s="62">
        <v>692799</v>
      </c>
      <c r="J52" s="1">
        <v>0.5</v>
      </c>
      <c r="K52" s="1">
        <v>1.75</v>
      </c>
      <c r="L52" s="1">
        <v>2</v>
      </c>
      <c r="M52" s="1">
        <v>20</v>
      </c>
      <c r="N52" s="1">
        <v>8888</v>
      </c>
      <c r="O52" s="58">
        <v>101</v>
      </c>
      <c r="P52" s="58">
        <v>88</v>
      </c>
      <c r="Q52" s="1" t="s">
        <v>2074</v>
      </c>
    </row>
    <row r="53" spans="1:17" ht="34" x14ac:dyDescent="0.2">
      <c r="A53" s="61">
        <v>62</v>
      </c>
      <c r="B53" s="60" t="s">
        <v>1688</v>
      </c>
      <c r="C53" s="61" t="s">
        <v>23</v>
      </c>
      <c r="D53" s="61" t="s">
        <v>389</v>
      </c>
      <c r="E53" s="61"/>
      <c r="F53" s="61"/>
      <c r="G53" s="60" t="s">
        <v>2075</v>
      </c>
    </row>
    <row r="54" spans="1:17" ht="17" x14ac:dyDescent="0.2">
      <c r="A54" s="61">
        <v>63</v>
      </c>
      <c r="B54" s="60" t="s">
        <v>1690</v>
      </c>
      <c r="C54" s="61" t="s">
        <v>23</v>
      </c>
      <c r="D54" s="61" t="s">
        <v>1491</v>
      </c>
      <c r="E54" s="61"/>
      <c r="F54" s="61"/>
      <c r="G54" s="60" t="s">
        <v>1728</v>
      </c>
    </row>
    <row r="55" spans="1:17" ht="17" x14ac:dyDescent="0.2">
      <c r="A55" s="59">
        <v>64</v>
      </c>
      <c r="B55" s="60" t="s">
        <v>1690</v>
      </c>
      <c r="C55" s="61" t="s">
        <v>23</v>
      </c>
      <c r="D55" s="61" t="s">
        <v>1491</v>
      </c>
      <c r="E55" s="61"/>
      <c r="F55" s="61" t="s">
        <v>2076</v>
      </c>
      <c r="G55" s="60" t="s">
        <v>1728</v>
      </c>
      <c r="H55" s="1" t="s">
        <v>742</v>
      </c>
      <c r="I55" s="62">
        <v>692820</v>
      </c>
      <c r="J55" s="1">
        <v>0.5</v>
      </c>
      <c r="K55" s="1">
        <v>0.69499999999999995</v>
      </c>
      <c r="L55" s="1">
        <v>1.9470000000000001</v>
      </c>
      <c r="M55" s="1">
        <v>20</v>
      </c>
      <c r="N55" s="1">
        <v>3430</v>
      </c>
      <c r="O55" s="58">
        <v>98</v>
      </c>
      <c r="P55" s="58">
        <v>35</v>
      </c>
      <c r="Q55" s="1" t="s">
        <v>2077</v>
      </c>
    </row>
    <row r="56" spans="1:17" ht="17" x14ac:dyDescent="0.2">
      <c r="A56" s="61">
        <v>65</v>
      </c>
      <c r="B56" s="60" t="s">
        <v>1690</v>
      </c>
      <c r="C56" s="61" t="s">
        <v>23</v>
      </c>
      <c r="D56" s="61" t="s">
        <v>1491</v>
      </c>
      <c r="E56" s="61"/>
      <c r="F56" s="61"/>
      <c r="G56" s="60" t="s">
        <v>1728</v>
      </c>
    </row>
    <row r="57" spans="1:17" ht="17" x14ac:dyDescent="0.2">
      <c r="A57" s="59">
        <v>66</v>
      </c>
      <c r="B57" s="60" t="s">
        <v>1691</v>
      </c>
      <c r="C57" s="61" t="s">
        <v>23</v>
      </c>
      <c r="D57" s="61" t="s">
        <v>389</v>
      </c>
      <c r="E57" s="61" t="s">
        <v>2064</v>
      </c>
      <c r="F57" s="61" t="s">
        <v>2073</v>
      </c>
      <c r="G57" s="60" t="s">
        <v>1728</v>
      </c>
      <c r="H57" s="1" t="s">
        <v>742</v>
      </c>
      <c r="I57" s="62">
        <v>692826</v>
      </c>
      <c r="J57" s="1">
        <v>0.5</v>
      </c>
      <c r="K57" s="1">
        <v>1.3779999999999999</v>
      </c>
      <c r="L57" s="1">
        <v>1.653</v>
      </c>
      <c r="M57" s="1">
        <v>20</v>
      </c>
      <c r="N57" s="1">
        <v>5727</v>
      </c>
      <c r="O57" s="58">
        <v>83</v>
      </c>
      <c r="P57" s="58">
        <v>69</v>
      </c>
      <c r="Q57" s="1" t="s">
        <v>2078</v>
      </c>
    </row>
    <row r="58" spans="1:17" ht="17" x14ac:dyDescent="0.2">
      <c r="A58" s="61">
        <v>67</v>
      </c>
      <c r="B58" s="60" t="s">
        <v>1691</v>
      </c>
      <c r="C58" s="61" t="s">
        <v>23</v>
      </c>
      <c r="D58" s="61" t="s">
        <v>389</v>
      </c>
      <c r="E58" s="61"/>
      <c r="F58" s="61"/>
      <c r="G58" s="60" t="s">
        <v>1728</v>
      </c>
    </row>
    <row r="59" spans="1:17" ht="34" x14ac:dyDescent="0.2">
      <c r="A59" s="61">
        <v>68</v>
      </c>
      <c r="B59" s="60" t="s">
        <v>1691</v>
      </c>
      <c r="C59" s="61" t="s">
        <v>23</v>
      </c>
      <c r="D59" s="61" t="s">
        <v>389</v>
      </c>
      <c r="E59" s="61"/>
      <c r="F59" s="61"/>
      <c r="G59" s="60" t="s">
        <v>2075</v>
      </c>
    </row>
    <row r="60" spans="1:17" ht="17" x14ac:dyDescent="0.2">
      <c r="A60" s="59">
        <v>69</v>
      </c>
      <c r="B60" s="60" t="s">
        <v>1692</v>
      </c>
      <c r="C60" s="61" t="s">
        <v>23</v>
      </c>
      <c r="D60" s="61" t="s">
        <v>1491</v>
      </c>
      <c r="E60" s="61"/>
      <c r="F60" s="61" t="s">
        <v>1986</v>
      </c>
      <c r="G60" s="60" t="s">
        <v>1728</v>
      </c>
      <c r="H60" s="1" t="s">
        <v>742</v>
      </c>
      <c r="I60" s="62">
        <v>692821</v>
      </c>
      <c r="J60" s="1">
        <v>0.5</v>
      </c>
      <c r="K60" s="1">
        <v>2.0819999999999999</v>
      </c>
      <c r="L60" s="1">
        <v>7.6230000000000002</v>
      </c>
      <c r="M60" s="1">
        <v>20</v>
      </c>
      <c r="N60" s="1">
        <v>7665</v>
      </c>
      <c r="O60" s="58">
        <v>73</v>
      </c>
      <c r="P60" s="58">
        <v>105</v>
      </c>
      <c r="Q60" s="1" t="s">
        <v>2079</v>
      </c>
    </row>
    <row r="61" spans="1:17" ht="17" x14ac:dyDescent="0.2">
      <c r="A61" s="61">
        <v>70</v>
      </c>
      <c r="B61" s="60" t="s">
        <v>1692</v>
      </c>
      <c r="C61" s="61" t="s">
        <v>23</v>
      </c>
      <c r="D61" s="61" t="s">
        <v>1491</v>
      </c>
      <c r="E61" s="61"/>
      <c r="F61" s="61"/>
      <c r="G61" s="60" t="s">
        <v>1728</v>
      </c>
    </row>
    <row r="62" spans="1:17" ht="17" x14ac:dyDescent="0.2">
      <c r="A62" s="61">
        <v>71</v>
      </c>
      <c r="B62" s="60" t="s">
        <v>1692</v>
      </c>
      <c r="C62" s="61" t="s">
        <v>23</v>
      </c>
      <c r="D62" s="61" t="s">
        <v>1491</v>
      </c>
      <c r="E62" s="61"/>
      <c r="F62" s="61"/>
      <c r="G62" s="60" t="s">
        <v>1728</v>
      </c>
    </row>
    <row r="63" spans="1:17" ht="17" x14ac:dyDescent="0.2">
      <c r="A63" s="59">
        <v>72</v>
      </c>
      <c r="B63" s="60" t="s">
        <v>1692</v>
      </c>
      <c r="C63" s="61" t="s">
        <v>23</v>
      </c>
      <c r="D63" s="61" t="s">
        <v>1491</v>
      </c>
      <c r="E63" s="61"/>
      <c r="F63" s="61"/>
      <c r="G63" s="60" t="s">
        <v>2080</v>
      </c>
      <c r="H63" s="1" t="s">
        <v>742</v>
      </c>
      <c r="I63" s="65"/>
      <c r="J63" s="66"/>
      <c r="K63" s="66"/>
      <c r="L63" s="66"/>
      <c r="M63" s="66"/>
      <c r="N63" s="66"/>
    </row>
    <row r="64" spans="1:17" ht="17" x14ac:dyDescent="0.2">
      <c r="A64" s="59">
        <v>73</v>
      </c>
      <c r="B64" s="60" t="s">
        <v>1692</v>
      </c>
      <c r="C64" s="61" t="s">
        <v>23</v>
      </c>
      <c r="D64" s="61" t="s">
        <v>1491</v>
      </c>
      <c r="E64" s="61" t="s">
        <v>2064</v>
      </c>
      <c r="F64" s="61" t="s">
        <v>1986</v>
      </c>
      <c r="G64" s="60" t="s">
        <v>2081</v>
      </c>
      <c r="H64" s="1" t="s">
        <v>742</v>
      </c>
      <c r="I64" s="67" t="s">
        <v>2082</v>
      </c>
      <c r="J64" s="68">
        <v>1</v>
      </c>
      <c r="K64" s="68">
        <v>1</v>
      </c>
      <c r="L64" s="1">
        <v>0.5</v>
      </c>
      <c r="M64" s="1">
        <v>20</v>
      </c>
      <c r="O64" s="58">
        <v>26</v>
      </c>
      <c r="P64" s="58">
        <v>51</v>
      </c>
      <c r="Q64" s="1" t="s">
        <v>2083</v>
      </c>
    </row>
    <row r="65" spans="1:17" ht="34" x14ac:dyDescent="0.2">
      <c r="A65" s="59">
        <v>74</v>
      </c>
      <c r="B65" s="60" t="s">
        <v>1693</v>
      </c>
      <c r="C65" s="61" t="s">
        <v>23</v>
      </c>
      <c r="D65" s="61" t="s">
        <v>389</v>
      </c>
      <c r="E65" s="61" t="s">
        <v>2064</v>
      </c>
      <c r="F65" s="61" t="s">
        <v>1986</v>
      </c>
      <c r="G65" s="60" t="s">
        <v>2084</v>
      </c>
      <c r="H65" s="1" t="s">
        <v>742</v>
      </c>
      <c r="I65" s="62">
        <v>692795</v>
      </c>
      <c r="J65" s="1">
        <v>0.5</v>
      </c>
      <c r="K65" s="1">
        <v>1.5</v>
      </c>
      <c r="L65" s="1">
        <v>2.9</v>
      </c>
      <c r="M65" s="1">
        <v>20</v>
      </c>
      <c r="O65" s="58">
        <v>146</v>
      </c>
      <c r="P65" s="58">
        <v>76</v>
      </c>
      <c r="Q65" s="1" t="s">
        <v>2085</v>
      </c>
    </row>
    <row r="66" spans="1:17" ht="17" x14ac:dyDescent="0.2">
      <c r="A66" s="61">
        <v>75</v>
      </c>
      <c r="B66" s="60" t="s">
        <v>1693</v>
      </c>
      <c r="C66" s="61" t="s">
        <v>23</v>
      </c>
      <c r="D66" s="61" t="s">
        <v>389</v>
      </c>
      <c r="E66" s="61"/>
      <c r="F66" s="61"/>
      <c r="G66" s="60" t="s">
        <v>1728</v>
      </c>
    </row>
    <row r="67" spans="1:17" ht="17" x14ac:dyDescent="0.2">
      <c r="A67" s="61">
        <v>76</v>
      </c>
      <c r="B67" s="60" t="s">
        <v>1693</v>
      </c>
      <c r="C67" s="61" t="s">
        <v>23</v>
      </c>
      <c r="D67" s="61" t="s">
        <v>389</v>
      </c>
      <c r="E67" s="61"/>
      <c r="F67" s="61"/>
      <c r="G67" s="60" t="s">
        <v>1728</v>
      </c>
    </row>
    <row r="68" spans="1:17" ht="17" x14ac:dyDescent="0.2">
      <c r="A68" s="61">
        <v>77</v>
      </c>
      <c r="B68" s="60" t="s">
        <v>1724</v>
      </c>
      <c r="C68" s="61" t="s">
        <v>23</v>
      </c>
      <c r="D68" s="61" t="s">
        <v>1491</v>
      </c>
      <c r="E68" s="61"/>
      <c r="F68" s="61"/>
      <c r="G68" s="60" t="s">
        <v>1728</v>
      </c>
    </row>
    <row r="69" spans="1:17" ht="17" x14ac:dyDescent="0.2">
      <c r="A69" s="61">
        <v>78</v>
      </c>
      <c r="B69" s="60" t="s">
        <v>1724</v>
      </c>
      <c r="C69" s="61" t="s">
        <v>23</v>
      </c>
      <c r="D69" s="61" t="s">
        <v>1491</v>
      </c>
      <c r="E69" s="61"/>
      <c r="F69" s="61"/>
      <c r="G69" s="60" t="s">
        <v>1728</v>
      </c>
    </row>
    <row r="70" spans="1:17" ht="17" x14ac:dyDescent="0.2">
      <c r="A70" s="61">
        <v>79</v>
      </c>
      <c r="B70" s="60" t="s">
        <v>1724</v>
      </c>
      <c r="C70" s="61" t="s">
        <v>23</v>
      </c>
      <c r="D70" s="61" t="s">
        <v>1491</v>
      </c>
      <c r="E70" s="61"/>
      <c r="F70" s="61"/>
      <c r="G70" s="60" t="s">
        <v>1728</v>
      </c>
    </row>
    <row r="71" spans="1:17" ht="51" x14ac:dyDescent="0.2">
      <c r="A71" s="59">
        <v>80</v>
      </c>
      <c r="B71" s="60" t="s">
        <v>1694</v>
      </c>
      <c r="C71" s="61" t="s">
        <v>23</v>
      </c>
      <c r="D71" s="61" t="s">
        <v>111</v>
      </c>
      <c r="E71" s="61" t="s">
        <v>2064</v>
      </c>
      <c r="F71" s="61" t="s">
        <v>1986</v>
      </c>
      <c r="G71" s="60" t="s">
        <v>2086</v>
      </c>
      <c r="H71" s="1" t="s">
        <v>742</v>
      </c>
      <c r="I71" s="62">
        <v>692796</v>
      </c>
      <c r="J71" s="1">
        <v>0.5</v>
      </c>
      <c r="K71" s="1">
        <v>1.1000000000000001</v>
      </c>
      <c r="L71" s="1">
        <v>2</v>
      </c>
      <c r="M71" s="1">
        <v>20</v>
      </c>
      <c r="O71" s="58">
        <v>101</v>
      </c>
      <c r="P71" s="58">
        <v>71</v>
      </c>
      <c r="Q71" s="1" t="s">
        <v>2087</v>
      </c>
    </row>
    <row r="72" spans="1:17" ht="17" x14ac:dyDescent="0.2">
      <c r="A72" s="61">
        <v>81</v>
      </c>
      <c r="B72" s="60" t="s">
        <v>1694</v>
      </c>
      <c r="C72" s="61" t="s">
        <v>23</v>
      </c>
      <c r="D72" s="61" t="s">
        <v>111</v>
      </c>
      <c r="E72" s="61"/>
      <c r="F72" s="61"/>
      <c r="G72" s="60" t="s">
        <v>1728</v>
      </c>
    </row>
    <row r="73" spans="1:17" ht="17" x14ac:dyDescent="0.2">
      <c r="A73" s="61">
        <v>82</v>
      </c>
      <c r="B73" s="60" t="s">
        <v>1694</v>
      </c>
      <c r="C73" s="61" t="s">
        <v>23</v>
      </c>
      <c r="D73" s="61" t="s">
        <v>111</v>
      </c>
      <c r="E73" s="61"/>
      <c r="F73" s="61"/>
      <c r="G73" s="60" t="s">
        <v>1728</v>
      </c>
    </row>
    <row r="74" spans="1:17" ht="17" x14ac:dyDescent="0.2">
      <c r="A74" s="59">
        <v>83</v>
      </c>
      <c r="B74" s="60" t="s">
        <v>1695</v>
      </c>
      <c r="C74" s="61" t="s">
        <v>23</v>
      </c>
      <c r="D74" s="61" t="s">
        <v>111</v>
      </c>
      <c r="E74" s="61"/>
      <c r="F74" s="61" t="s">
        <v>1986</v>
      </c>
      <c r="G74" s="60" t="s">
        <v>1728</v>
      </c>
      <c r="H74" s="1" t="s">
        <v>742</v>
      </c>
      <c r="I74" s="62">
        <v>692800</v>
      </c>
      <c r="J74" s="1">
        <v>0.5</v>
      </c>
      <c r="N74" s="1">
        <f>O74*P74</f>
        <v>15276</v>
      </c>
      <c r="O74" s="58">
        <v>201</v>
      </c>
      <c r="P74" s="58">
        <v>76</v>
      </c>
      <c r="Q74" s="1" t="s">
        <v>2065</v>
      </c>
    </row>
    <row r="75" spans="1:17" ht="17" x14ac:dyDescent="0.2">
      <c r="A75" s="61">
        <v>84</v>
      </c>
      <c r="B75" s="60" t="s">
        <v>1695</v>
      </c>
      <c r="C75" s="61" t="s">
        <v>23</v>
      </c>
      <c r="D75" s="61" t="s">
        <v>111</v>
      </c>
      <c r="E75" s="61"/>
      <c r="F75" s="61"/>
      <c r="G75" s="60" t="s">
        <v>1728</v>
      </c>
    </row>
    <row r="76" spans="1:17" ht="17" x14ac:dyDescent="0.2">
      <c r="A76" s="61">
        <v>85</v>
      </c>
      <c r="B76" s="60" t="s">
        <v>1695</v>
      </c>
      <c r="C76" s="61" t="s">
        <v>23</v>
      </c>
      <c r="D76" s="61" t="s">
        <v>111</v>
      </c>
      <c r="E76" s="61"/>
      <c r="F76" s="61"/>
      <c r="G76" s="60" t="s">
        <v>1728</v>
      </c>
    </row>
    <row r="77" spans="1:17" ht="17" x14ac:dyDescent="0.2">
      <c r="A77" s="61">
        <v>86</v>
      </c>
      <c r="B77" s="60" t="s">
        <v>2088</v>
      </c>
      <c r="C77" s="61" t="s">
        <v>23</v>
      </c>
      <c r="D77" s="61" t="s">
        <v>111</v>
      </c>
      <c r="E77" s="61"/>
      <c r="F77" s="61"/>
      <c r="G77" s="60" t="s">
        <v>2089</v>
      </c>
    </row>
    <row r="78" spans="1:17" ht="17" x14ac:dyDescent="0.2">
      <c r="A78" s="61">
        <v>87</v>
      </c>
      <c r="B78" s="60" t="s">
        <v>2088</v>
      </c>
      <c r="C78" s="61" t="s">
        <v>23</v>
      </c>
      <c r="D78" s="61" t="s">
        <v>111</v>
      </c>
      <c r="E78" s="61"/>
      <c r="F78" s="61"/>
      <c r="G78" s="60" t="s">
        <v>1728</v>
      </c>
    </row>
    <row r="79" spans="1:17" ht="17" x14ac:dyDescent="0.2">
      <c r="A79" s="61">
        <v>88</v>
      </c>
      <c r="B79" s="60" t="s">
        <v>2088</v>
      </c>
      <c r="C79" s="61" t="s">
        <v>23</v>
      </c>
      <c r="D79" s="61" t="s">
        <v>111</v>
      </c>
      <c r="E79" s="61"/>
      <c r="F79" s="61"/>
      <c r="G79" s="60" t="s">
        <v>1728</v>
      </c>
    </row>
    <row r="80" spans="1:17" ht="17" x14ac:dyDescent="0.2">
      <c r="A80" s="59">
        <v>89</v>
      </c>
      <c r="B80" s="60" t="s">
        <v>1696</v>
      </c>
      <c r="C80" s="61" t="s">
        <v>23</v>
      </c>
      <c r="D80" s="61" t="s">
        <v>111</v>
      </c>
      <c r="E80" s="61"/>
      <c r="F80" s="61"/>
      <c r="G80" s="60" t="s">
        <v>2089</v>
      </c>
      <c r="Q80" s="1" t="s">
        <v>2090</v>
      </c>
    </row>
    <row r="81" spans="1:17" ht="17" x14ac:dyDescent="0.2">
      <c r="A81" s="59">
        <v>90</v>
      </c>
      <c r="B81" s="60" t="s">
        <v>1696</v>
      </c>
      <c r="C81" s="61" t="s">
        <v>23</v>
      </c>
      <c r="D81" s="61" t="s">
        <v>111</v>
      </c>
      <c r="E81" s="61"/>
      <c r="F81" s="61" t="s">
        <v>1986</v>
      </c>
      <c r="G81" s="60" t="s">
        <v>1728</v>
      </c>
      <c r="H81" s="1" t="s">
        <v>742</v>
      </c>
      <c r="I81" s="62">
        <v>692827</v>
      </c>
      <c r="J81" s="1">
        <v>0.5</v>
      </c>
      <c r="K81" s="1">
        <v>1.3779999999999999</v>
      </c>
      <c r="L81" s="1">
        <v>1.5169999999999999</v>
      </c>
      <c r="M81" s="1">
        <v>20</v>
      </c>
      <c r="N81" s="1">
        <v>5244</v>
      </c>
      <c r="O81" s="58">
        <v>76</v>
      </c>
      <c r="P81" s="58">
        <v>69</v>
      </c>
    </row>
    <row r="82" spans="1:17" ht="17" x14ac:dyDescent="0.2">
      <c r="A82" s="61">
        <v>91</v>
      </c>
      <c r="B82" s="60" t="s">
        <v>1696</v>
      </c>
      <c r="C82" s="61" t="s">
        <v>23</v>
      </c>
      <c r="D82" s="61" t="s">
        <v>111</v>
      </c>
      <c r="E82" s="61"/>
      <c r="F82" s="61"/>
      <c r="G82" s="60" t="s">
        <v>1728</v>
      </c>
    </row>
    <row r="83" spans="1:17" ht="15.75" customHeight="1" x14ac:dyDescent="0.2">
      <c r="A83" s="61">
        <v>92</v>
      </c>
      <c r="B83" s="60" t="s">
        <v>2091</v>
      </c>
      <c r="C83" s="61" t="s">
        <v>23</v>
      </c>
      <c r="D83" s="61" t="s">
        <v>251</v>
      </c>
      <c r="E83" s="61"/>
      <c r="F83" s="61"/>
      <c r="G83" s="60" t="s">
        <v>1728</v>
      </c>
      <c r="Q83" s="1" t="s">
        <v>2092</v>
      </c>
    </row>
    <row r="84" spans="1:17" ht="17" x14ac:dyDescent="0.2">
      <c r="A84" s="61">
        <v>93</v>
      </c>
      <c r="B84" s="60" t="s">
        <v>2091</v>
      </c>
      <c r="C84" s="61" t="s">
        <v>23</v>
      </c>
      <c r="D84" s="61" t="s">
        <v>251</v>
      </c>
      <c r="E84" s="61"/>
      <c r="F84" s="61"/>
      <c r="G84" s="60" t="s">
        <v>1728</v>
      </c>
    </row>
    <row r="85" spans="1:17" ht="17" x14ac:dyDescent="0.2">
      <c r="A85" s="61">
        <v>94</v>
      </c>
      <c r="B85" s="60" t="s">
        <v>2091</v>
      </c>
      <c r="C85" s="61" t="s">
        <v>23</v>
      </c>
      <c r="D85" s="61" t="s">
        <v>251</v>
      </c>
      <c r="E85" s="61"/>
      <c r="F85" s="61"/>
      <c r="G85" s="60" t="s">
        <v>1728</v>
      </c>
    </row>
    <row r="86" spans="1:17" ht="17" x14ac:dyDescent="0.2">
      <c r="A86" s="61">
        <v>95</v>
      </c>
      <c r="B86" s="60" t="s">
        <v>2091</v>
      </c>
      <c r="C86" s="61" t="s">
        <v>23</v>
      </c>
      <c r="D86" s="61" t="s">
        <v>251</v>
      </c>
      <c r="E86" s="61"/>
      <c r="F86" s="61"/>
      <c r="G86" s="60" t="s">
        <v>1728</v>
      </c>
    </row>
    <row r="87" spans="1:17" ht="17" x14ac:dyDescent="0.2">
      <c r="A87" s="59">
        <v>96</v>
      </c>
      <c r="B87" s="60" t="s">
        <v>1697</v>
      </c>
      <c r="C87" s="61" t="s">
        <v>23</v>
      </c>
      <c r="D87" s="61" t="s">
        <v>251</v>
      </c>
      <c r="E87" s="61"/>
      <c r="F87" s="61"/>
      <c r="G87" s="60" t="s">
        <v>1728</v>
      </c>
      <c r="H87" s="1" t="s">
        <v>742</v>
      </c>
      <c r="I87" s="62">
        <v>692834</v>
      </c>
      <c r="J87" s="1">
        <v>0.5</v>
      </c>
      <c r="K87" s="1">
        <v>1.1000000000000001</v>
      </c>
      <c r="L87" s="1">
        <v>2</v>
      </c>
      <c r="M87" s="1">
        <v>20</v>
      </c>
      <c r="O87" s="58">
        <v>101</v>
      </c>
      <c r="P87" s="58">
        <v>55</v>
      </c>
    </row>
    <row r="88" spans="1:17" ht="17" x14ac:dyDescent="0.2">
      <c r="A88" s="59">
        <v>97</v>
      </c>
      <c r="B88" s="60" t="s">
        <v>1697</v>
      </c>
      <c r="C88" s="61" t="s">
        <v>23</v>
      </c>
      <c r="D88" s="61" t="s">
        <v>251</v>
      </c>
      <c r="E88" s="61" t="s">
        <v>2064</v>
      </c>
      <c r="F88" s="61" t="s">
        <v>1982</v>
      </c>
      <c r="G88" s="60" t="s">
        <v>1728</v>
      </c>
      <c r="H88" s="1" t="s">
        <v>742</v>
      </c>
      <c r="I88" s="62">
        <v>692823</v>
      </c>
      <c r="J88" s="1">
        <v>0.5</v>
      </c>
      <c r="K88" s="1">
        <v>1.704</v>
      </c>
      <c r="L88" s="1">
        <v>1.401</v>
      </c>
      <c r="M88" s="1">
        <v>20</v>
      </c>
      <c r="N88" s="1">
        <v>6106</v>
      </c>
      <c r="O88" s="58">
        <v>71</v>
      </c>
      <c r="P88" s="58">
        <v>86</v>
      </c>
    </row>
    <row r="89" spans="1:17" ht="17" x14ac:dyDescent="0.2">
      <c r="A89" s="61">
        <v>98</v>
      </c>
      <c r="B89" s="60" t="s">
        <v>1697</v>
      </c>
      <c r="C89" s="61" t="s">
        <v>23</v>
      </c>
      <c r="D89" s="61" t="s">
        <v>251</v>
      </c>
      <c r="E89" s="61"/>
      <c r="F89" s="61"/>
      <c r="G89" s="60" t="s">
        <v>1728</v>
      </c>
    </row>
    <row r="90" spans="1:17" ht="17" x14ac:dyDescent="0.2">
      <c r="A90" s="61">
        <v>99</v>
      </c>
      <c r="B90" s="60" t="s">
        <v>1698</v>
      </c>
      <c r="C90" s="61" t="s">
        <v>23</v>
      </c>
      <c r="D90" s="61" t="s">
        <v>251</v>
      </c>
      <c r="E90" s="61"/>
      <c r="F90" s="61"/>
      <c r="G90" s="60" t="s">
        <v>1728</v>
      </c>
      <c r="Q90" s="1" t="s">
        <v>2065</v>
      </c>
    </row>
    <row r="91" spans="1:17" ht="17" x14ac:dyDescent="0.2">
      <c r="A91" s="59">
        <v>100</v>
      </c>
      <c r="B91" s="60" t="s">
        <v>1698</v>
      </c>
      <c r="C91" s="61" t="s">
        <v>23</v>
      </c>
      <c r="D91" s="61" t="s">
        <v>251</v>
      </c>
      <c r="E91" s="61"/>
      <c r="F91" s="61" t="s">
        <v>1982</v>
      </c>
      <c r="G91" s="60" t="s">
        <v>1728</v>
      </c>
      <c r="H91" s="1" t="s">
        <v>742</v>
      </c>
      <c r="I91" s="62">
        <v>692798</v>
      </c>
      <c r="J91" s="1">
        <v>0.5</v>
      </c>
      <c r="K91" s="1">
        <v>1.2</v>
      </c>
      <c r="L91" s="1">
        <v>2</v>
      </c>
      <c r="M91" s="1">
        <v>20</v>
      </c>
      <c r="N91" s="1">
        <v>6161</v>
      </c>
      <c r="O91" s="58">
        <v>101</v>
      </c>
      <c r="P91" s="58">
        <v>61</v>
      </c>
    </row>
    <row r="92" spans="1:17" ht="17" x14ac:dyDescent="0.2">
      <c r="A92" s="61">
        <v>101</v>
      </c>
      <c r="B92" s="60" t="s">
        <v>1698</v>
      </c>
      <c r="C92" s="61" t="s">
        <v>23</v>
      </c>
      <c r="D92" s="61" t="s">
        <v>251</v>
      </c>
      <c r="E92" s="61"/>
      <c r="F92" s="61"/>
      <c r="G92" s="60" t="s">
        <v>1728</v>
      </c>
    </row>
    <row r="93" spans="1:17" ht="34" x14ac:dyDescent="0.2">
      <c r="A93" s="61">
        <v>102</v>
      </c>
      <c r="B93" s="60" t="s">
        <v>1698</v>
      </c>
      <c r="C93" s="61" t="s">
        <v>23</v>
      </c>
      <c r="D93" s="61" t="s">
        <v>251</v>
      </c>
      <c r="E93" s="61"/>
      <c r="F93" s="61"/>
      <c r="G93" s="60" t="s">
        <v>2075</v>
      </c>
    </row>
    <row r="94" spans="1:17" ht="17" x14ac:dyDescent="0.2">
      <c r="A94" s="61">
        <v>103</v>
      </c>
      <c r="B94" s="60" t="s">
        <v>1699</v>
      </c>
      <c r="C94" s="61" t="s">
        <v>23</v>
      </c>
      <c r="D94" s="61" t="s">
        <v>446</v>
      </c>
      <c r="E94" s="61"/>
      <c r="F94" s="61"/>
      <c r="G94" s="60" t="s">
        <v>1728</v>
      </c>
    </row>
    <row r="95" spans="1:17" ht="17" x14ac:dyDescent="0.2">
      <c r="A95" s="59">
        <v>104</v>
      </c>
      <c r="B95" s="60" t="s">
        <v>1699</v>
      </c>
      <c r="C95" s="61" t="s">
        <v>23</v>
      </c>
      <c r="D95" s="61" t="s">
        <v>446</v>
      </c>
      <c r="E95" s="61"/>
      <c r="F95" s="61"/>
      <c r="G95" s="60" t="s">
        <v>1728</v>
      </c>
      <c r="H95" s="1" t="s">
        <v>742</v>
      </c>
      <c r="I95" s="62">
        <v>692797</v>
      </c>
      <c r="J95" s="1">
        <v>0.5</v>
      </c>
      <c r="O95" s="58">
        <v>101</v>
      </c>
      <c r="P95" s="58">
        <v>56</v>
      </c>
    </row>
    <row r="96" spans="1:17" ht="17" x14ac:dyDescent="0.2">
      <c r="A96" s="61">
        <v>105</v>
      </c>
      <c r="B96" s="60" t="s">
        <v>1699</v>
      </c>
      <c r="C96" s="61" t="s">
        <v>23</v>
      </c>
      <c r="D96" s="61" t="s">
        <v>446</v>
      </c>
      <c r="E96" s="61"/>
      <c r="F96" s="61"/>
      <c r="G96" s="60" t="s">
        <v>1728</v>
      </c>
    </row>
    <row r="97" spans="1:17" ht="17" x14ac:dyDescent="0.2">
      <c r="A97" s="59">
        <v>106</v>
      </c>
      <c r="B97" s="60" t="s">
        <v>1699</v>
      </c>
      <c r="C97" s="61" t="s">
        <v>23</v>
      </c>
      <c r="D97" s="61" t="s">
        <v>446</v>
      </c>
      <c r="E97" s="61" t="s">
        <v>2064</v>
      </c>
      <c r="F97" s="61"/>
      <c r="G97" s="60" t="s">
        <v>1728</v>
      </c>
      <c r="H97" s="1" t="s">
        <v>742</v>
      </c>
      <c r="I97" s="62">
        <v>692824</v>
      </c>
      <c r="J97" s="1">
        <v>0.5</v>
      </c>
      <c r="K97" s="1">
        <v>1.252</v>
      </c>
      <c r="L97" s="1">
        <v>2.0950000000000002</v>
      </c>
      <c r="M97" s="1">
        <v>20</v>
      </c>
      <c r="N97" s="1">
        <v>6615</v>
      </c>
      <c r="O97" s="58">
        <v>105</v>
      </c>
      <c r="P97" s="58">
        <v>63</v>
      </c>
    </row>
    <row r="98" spans="1:17" ht="34" x14ac:dyDescent="0.2">
      <c r="A98" s="59">
        <v>107</v>
      </c>
      <c r="B98" s="60" t="s">
        <v>1700</v>
      </c>
      <c r="C98" s="61" t="s">
        <v>23</v>
      </c>
      <c r="D98" s="61" t="s">
        <v>446</v>
      </c>
      <c r="E98" s="61" t="s">
        <v>2064</v>
      </c>
      <c r="F98" s="61" t="s">
        <v>2073</v>
      </c>
      <c r="G98" s="60" t="s">
        <v>2093</v>
      </c>
      <c r="H98" s="1" t="s">
        <v>742</v>
      </c>
      <c r="I98" s="62">
        <v>692822</v>
      </c>
      <c r="J98" s="1">
        <v>0.5</v>
      </c>
      <c r="K98" s="1">
        <v>1.347</v>
      </c>
      <c r="L98" s="1">
        <v>1.9470000000000001</v>
      </c>
      <c r="M98" s="1">
        <v>20</v>
      </c>
      <c r="N98" s="1">
        <v>6664</v>
      </c>
      <c r="O98" s="58">
        <v>98</v>
      </c>
      <c r="P98" s="58">
        <v>68</v>
      </c>
      <c r="Q98" s="1" t="s">
        <v>2094</v>
      </c>
    </row>
    <row r="99" spans="1:17" ht="34" x14ac:dyDescent="0.2">
      <c r="A99" s="61">
        <v>108</v>
      </c>
      <c r="B99" s="60" t="s">
        <v>1700</v>
      </c>
      <c r="C99" s="61" t="s">
        <v>23</v>
      </c>
      <c r="D99" s="61" t="s">
        <v>446</v>
      </c>
      <c r="E99" s="61"/>
      <c r="F99" s="61"/>
      <c r="G99" s="60" t="s">
        <v>2075</v>
      </c>
      <c r="Q99" s="1" t="s">
        <v>2095</v>
      </c>
    </row>
    <row r="100" spans="1:17" ht="34" x14ac:dyDescent="0.2">
      <c r="A100" s="61">
        <v>109</v>
      </c>
      <c r="B100" s="60" t="s">
        <v>1700</v>
      </c>
      <c r="C100" s="61" t="s">
        <v>23</v>
      </c>
      <c r="D100" s="61" t="s">
        <v>446</v>
      </c>
      <c r="E100" s="61"/>
      <c r="F100" s="61"/>
      <c r="G100" s="60" t="s">
        <v>2075</v>
      </c>
    </row>
    <row r="101" spans="1:17" ht="17" x14ac:dyDescent="0.2">
      <c r="A101" s="61">
        <v>110</v>
      </c>
      <c r="B101" s="60" t="s">
        <v>2096</v>
      </c>
      <c r="C101" s="61" t="s">
        <v>23</v>
      </c>
      <c r="D101" s="61" t="s">
        <v>456</v>
      </c>
      <c r="E101" s="61"/>
      <c r="F101" s="61"/>
      <c r="G101" s="60" t="s">
        <v>1728</v>
      </c>
    </row>
    <row r="102" spans="1:17" ht="17" x14ac:dyDescent="0.2">
      <c r="A102" s="61">
        <v>111</v>
      </c>
      <c r="B102" s="60" t="s">
        <v>2096</v>
      </c>
      <c r="C102" s="61" t="s">
        <v>23</v>
      </c>
      <c r="D102" s="61" t="s">
        <v>456</v>
      </c>
      <c r="E102" s="61"/>
      <c r="F102" s="61"/>
      <c r="G102" s="60" t="s">
        <v>1728</v>
      </c>
    </row>
    <row r="103" spans="1:17" ht="17" x14ac:dyDescent="0.2">
      <c r="A103" s="61">
        <v>112</v>
      </c>
      <c r="B103" s="60" t="s">
        <v>2096</v>
      </c>
      <c r="C103" s="61" t="s">
        <v>23</v>
      </c>
      <c r="D103" s="61" t="s">
        <v>456</v>
      </c>
      <c r="E103" s="61"/>
      <c r="F103" s="61"/>
      <c r="G103" s="60" t="s">
        <v>1728</v>
      </c>
    </row>
    <row r="104" spans="1:17" ht="17" x14ac:dyDescent="0.2">
      <c r="A104" s="59">
        <v>113</v>
      </c>
      <c r="B104" s="60" t="s">
        <v>1701</v>
      </c>
      <c r="C104" s="61" t="s">
        <v>23</v>
      </c>
      <c r="D104" s="61" t="s">
        <v>456</v>
      </c>
      <c r="E104" s="61" t="s">
        <v>2064</v>
      </c>
      <c r="F104" s="61" t="s">
        <v>1986</v>
      </c>
      <c r="G104" s="60" t="s">
        <v>1728</v>
      </c>
      <c r="H104" s="1" t="s">
        <v>742</v>
      </c>
      <c r="I104" s="62">
        <v>692825</v>
      </c>
      <c r="J104" s="1">
        <v>0.5</v>
      </c>
      <c r="K104" s="1">
        <v>1.861</v>
      </c>
      <c r="L104" s="1">
        <v>0.91700000000000004</v>
      </c>
      <c r="M104" s="1">
        <v>20</v>
      </c>
      <c r="N104" s="1">
        <v>4324</v>
      </c>
      <c r="O104" s="58">
        <v>46</v>
      </c>
      <c r="P104" s="58">
        <v>94</v>
      </c>
      <c r="Q104" s="1" t="s">
        <v>2092</v>
      </c>
    </row>
    <row r="105" spans="1:17" ht="17" x14ac:dyDescent="0.2">
      <c r="A105" s="61">
        <v>114</v>
      </c>
      <c r="B105" s="60" t="s">
        <v>1701</v>
      </c>
      <c r="C105" s="61" t="s">
        <v>23</v>
      </c>
      <c r="D105" s="61" t="s">
        <v>456</v>
      </c>
      <c r="E105" s="61"/>
      <c r="F105" s="61"/>
      <c r="G105" s="60" t="s">
        <v>1728</v>
      </c>
    </row>
    <row r="106" spans="1:17" ht="17" x14ac:dyDescent="0.2">
      <c r="A106" s="61">
        <v>115</v>
      </c>
      <c r="B106" s="60" t="s">
        <v>1701</v>
      </c>
      <c r="C106" s="61" t="s">
        <v>23</v>
      </c>
      <c r="D106" s="61" t="s">
        <v>456</v>
      </c>
      <c r="E106" s="61"/>
      <c r="F106" s="61"/>
      <c r="G106" s="60" t="s">
        <v>1728</v>
      </c>
    </row>
    <row r="107" spans="1:17" ht="17" x14ac:dyDescent="0.2">
      <c r="A107" s="61">
        <v>116</v>
      </c>
      <c r="B107" s="60" t="s">
        <v>2097</v>
      </c>
      <c r="C107" s="61" t="s">
        <v>23</v>
      </c>
      <c r="D107" s="61" t="s">
        <v>456</v>
      </c>
      <c r="E107" s="61"/>
      <c r="F107" s="61"/>
      <c r="G107" s="60" t="s">
        <v>1728</v>
      </c>
    </row>
    <row r="108" spans="1:17" ht="17" x14ac:dyDescent="0.2">
      <c r="A108" s="61">
        <v>117</v>
      </c>
      <c r="B108" s="60" t="s">
        <v>2097</v>
      </c>
      <c r="C108" s="61" t="s">
        <v>23</v>
      </c>
      <c r="D108" s="61" t="s">
        <v>456</v>
      </c>
      <c r="E108" s="61"/>
      <c r="F108" s="61"/>
      <c r="G108" s="60" t="s">
        <v>1728</v>
      </c>
    </row>
    <row r="109" spans="1:17" ht="17" x14ac:dyDescent="0.2">
      <c r="A109" s="61">
        <v>118</v>
      </c>
      <c r="B109" s="60" t="s">
        <v>2097</v>
      </c>
      <c r="C109" s="61" t="s">
        <v>23</v>
      </c>
      <c r="D109" s="61" t="s">
        <v>456</v>
      </c>
      <c r="E109" s="61"/>
      <c r="F109" s="61"/>
      <c r="G109" s="60" t="s">
        <v>1728</v>
      </c>
    </row>
    <row r="110" spans="1:17" ht="17" x14ac:dyDescent="0.2">
      <c r="A110" s="59">
        <v>119</v>
      </c>
      <c r="B110" s="60" t="s">
        <v>1707</v>
      </c>
      <c r="C110" s="61" t="s">
        <v>23</v>
      </c>
      <c r="D110" s="61" t="s">
        <v>197</v>
      </c>
      <c r="E110" s="61" t="s">
        <v>2064</v>
      </c>
      <c r="F110" s="61" t="s">
        <v>1986</v>
      </c>
      <c r="G110" s="60" t="s">
        <v>2098</v>
      </c>
      <c r="H110" s="1" t="s">
        <v>742</v>
      </c>
      <c r="I110" s="62">
        <v>692794</v>
      </c>
      <c r="J110" s="1">
        <v>0.5</v>
      </c>
      <c r="K110" s="1">
        <v>1</v>
      </c>
      <c r="L110" s="1">
        <v>2</v>
      </c>
      <c r="M110" s="1">
        <v>20</v>
      </c>
      <c r="N110" s="1">
        <v>5151</v>
      </c>
      <c r="O110" s="58">
        <v>101</v>
      </c>
      <c r="P110" s="58">
        <v>51</v>
      </c>
      <c r="Q110" s="1" t="s">
        <v>2099</v>
      </c>
    </row>
    <row r="111" spans="1:17" ht="17" x14ac:dyDescent="0.2">
      <c r="A111" s="61">
        <v>120</v>
      </c>
      <c r="B111" s="60" t="s">
        <v>1708</v>
      </c>
      <c r="C111" s="61" t="s">
        <v>23</v>
      </c>
      <c r="D111" s="61" t="s">
        <v>188</v>
      </c>
      <c r="E111" s="61"/>
      <c r="F111" s="61"/>
      <c r="G111" s="60" t="s">
        <v>1728</v>
      </c>
    </row>
    <row r="112" spans="1:17" ht="17" x14ac:dyDescent="0.2">
      <c r="A112" s="59">
        <v>121</v>
      </c>
      <c r="B112" s="60" t="s">
        <v>1708</v>
      </c>
      <c r="C112" s="61" t="s">
        <v>23</v>
      </c>
      <c r="D112" s="61" t="s">
        <v>188</v>
      </c>
      <c r="E112" s="61" t="s">
        <v>2052</v>
      </c>
      <c r="F112" s="61" t="s">
        <v>1986</v>
      </c>
      <c r="G112" s="60" t="s">
        <v>2100</v>
      </c>
      <c r="H112" s="1" t="s">
        <v>742</v>
      </c>
      <c r="I112" s="62">
        <v>692788</v>
      </c>
      <c r="J112" s="1">
        <v>0.5</v>
      </c>
      <c r="K112" s="1">
        <v>0.8</v>
      </c>
      <c r="L112" s="1">
        <v>2</v>
      </c>
      <c r="M112" s="1">
        <v>20</v>
      </c>
      <c r="N112" s="1">
        <v>4141</v>
      </c>
      <c r="O112" s="58">
        <v>101</v>
      </c>
      <c r="P112" s="58">
        <v>41</v>
      </c>
    </row>
    <row r="113" spans="1:17" ht="17" x14ac:dyDescent="0.2">
      <c r="A113" s="59">
        <v>122</v>
      </c>
      <c r="B113" s="60" t="s">
        <v>1708</v>
      </c>
      <c r="C113" s="61" t="s">
        <v>23</v>
      </c>
      <c r="D113" s="61" t="s">
        <v>188</v>
      </c>
      <c r="E113" s="61"/>
      <c r="F113" s="61"/>
      <c r="G113" s="60" t="s">
        <v>1728</v>
      </c>
      <c r="H113" s="1" t="s">
        <v>742</v>
      </c>
      <c r="I113" s="62">
        <v>692818</v>
      </c>
      <c r="J113" s="1">
        <v>0.5</v>
      </c>
      <c r="K113" s="1">
        <v>1.5</v>
      </c>
      <c r="L113" s="1">
        <v>1.7</v>
      </c>
      <c r="M113" s="1">
        <v>20</v>
      </c>
      <c r="N113" s="1">
        <v>6536</v>
      </c>
      <c r="O113" s="58">
        <v>86</v>
      </c>
      <c r="P113" s="58">
        <v>76</v>
      </c>
      <c r="Q113" s="1" t="s">
        <v>2065</v>
      </c>
    </row>
    <row r="114" spans="1:17" ht="17" x14ac:dyDescent="0.2">
      <c r="A114" s="61">
        <v>123</v>
      </c>
      <c r="B114" s="60" t="s">
        <v>1709</v>
      </c>
      <c r="C114" s="61" t="s">
        <v>23</v>
      </c>
      <c r="D114" s="61" t="s">
        <v>173</v>
      </c>
      <c r="E114" s="61"/>
      <c r="F114" s="61"/>
      <c r="G114" s="60" t="s">
        <v>1728</v>
      </c>
    </row>
    <row r="115" spans="1:17" ht="17" x14ac:dyDescent="0.2">
      <c r="A115" s="59">
        <v>124</v>
      </c>
      <c r="B115" s="60" t="s">
        <v>1709</v>
      </c>
      <c r="C115" s="61" t="s">
        <v>23</v>
      </c>
      <c r="D115" s="61" t="s">
        <v>173</v>
      </c>
      <c r="E115" s="61"/>
      <c r="F115" s="61"/>
      <c r="G115" s="60" t="s">
        <v>1728</v>
      </c>
      <c r="H115" s="1" t="s">
        <v>742</v>
      </c>
      <c r="I115" s="62">
        <v>692791</v>
      </c>
      <c r="J115" s="1">
        <v>0.5</v>
      </c>
      <c r="K115" s="1">
        <v>0.7</v>
      </c>
      <c r="L115" s="1">
        <v>1.5</v>
      </c>
      <c r="M115" s="1">
        <v>20</v>
      </c>
      <c r="N115" s="1">
        <v>2736</v>
      </c>
      <c r="O115" s="58">
        <v>76</v>
      </c>
      <c r="P115" s="58">
        <v>36</v>
      </c>
      <c r="Q115" s="1" t="s">
        <v>2101</v>
      </c>
    </row>
    <row r="116" spans="1:17" ht="17" x14ac:dyDescent="0.2">
      <c r="A116" s="61">
        <v>125</v>
      </c>
      <c r="B116" s="60" t="s">
        <v>1709</v>
      </c>
      <c r="C116" s="61" t="s">
        <v>23</v>
      </c>
      <c r="D116" s="61" t="s">
        <v>173</v>
      </c>
      <c r="E116" s="61"/>
      <c r="F116" s="61"/>
      <c r="G116" s="60" t="s">
        <v>1728</v>
      </c>
    </row>
    <row r="117" spans="1:17" ht="34" x14ac:dyDescent="0.2">
      <c r="A117" s="61">
        <v>126</v>
      </c>
      <c r="B117" s="60" t="s">
        <v>1710</v>
      </c>
      <c r="C117" s="61" t="s">
        <v>23</v>
      </c>
      <c r="D117" s="61" t="s">
        <v>480</v>
      </c>
      <c r="E117" s="61"/>
      <c r="F117" s="61"/>
      <c r="G117" s="60" t="s">
        <v>1728</v>
      </c>
    </row>
    <row r="118" spans="1:17" s="76" customFormat="1" ht="34" x14ac:dyDescent="0.2">
      <c r="A118" s="69">
        <v>127</v>
      </c>
      <c r="B118" s="70" t="s">
        <v>1710</v>
      </c>
      <c r="C118" s="71" t="s">
        <v>23</v>
      </c>
      <c r="D118" s="61" t="s">
        <v>480</v>
      </c>
      <c r="E118" s="71"/>
      <c r="F118" s="71" t="s">
        <v>1986</v>
      </c>
      <c r="G118" s="72" t="s">
        <v>1728</v>
      </c>
      <c r="H118" s="73" t="s">
        <v>742</v>
      </c>
      <c r="I118" s="74">
        <v>692790</v>
      </c>
      <c r="J118" s="73">
        <v>0.5</v>
      </c>
      <c r="K118" s="73">
        <v>1</v>
      </c>
      <c r="L118" s="73">
        <v>1.5</v>
      </c>
      <c r="M118" s="73">
        <v>20</v>
      </c>
      <c r="N118" s="73">
        <v>3876</v>
      </c>
      <c r="O118" s="75">
        <v>76</v>
      </c>
      <c r="P118" s="75">
        <v>51</v>
      </c>
      <c r="Q118" s="76" t="s">
        <v>2078</v>
      </c>
    </row>
    <row r="119" spans="1:17" ht="34" x14ac:dyDescent="0.2">
      <c r="A119" s="61">
        <v>128</v>
      </c>
      <c r="B119" s="60" t="s">
        <v>1710</v>
      </c>
      <c r="C119" s="61" t="s">
        <v>23</v>
      </c>
      <c r="D119" s="61" t="s">
        <v>480</v>
      </c>
      <c r="E119" s="61"/>
      <c r="F119" s="61"/>
      <c r="G119" s="60" t="s">
        <v>1728</v>
      </c>
    </row>
    <row r="120" spans="1:17" ht="34" x14ac:dyDescent="0.2">
      <c r="A120" s="61">
        <v>129</v>
      </c>
      <c r="B120" s="60" t="s">
        <v>1711</v>
      </c>
      <c r="C120" s="61" t="s">
        <v>23</v>
      </c>
      <c r="D120" s="61" t="s">
        <v>480</v>
      </c>
      <c r="E120" s="61"/>
      <c r="F120" s="61"/>
      <c r="G120" s="60" t="s">
        <v>1728</v>
      </c>
    </row>
    <row r="121" spans="1:17" ht="34" x14ac:dyDescent="0.2">
      <c r="A121" s="59">
        <v>130</v>
      </c>
      <c r="B121" s="60" t="s">
        <v>1711</v>
      </c>
      <c r="C121" s="61" t="s">
        <v>23</v>
      </c>
      <c r="D121" s="61" t="s">
        <v>480</v>
      </c>
      <c r="E121" s="61"/>
      <c r="F121" s="61" t="s">
        <v>1986</v>
      </c>
      <c r="G121" s="60" t="s">
        <v>1728</v>
      </c>
      <c r="H121" s="1" t="s">
        <v>742</v>
      </c>
      <c r="I121" s="62">
        <v>692801</v>
      </c>
      <c r="J121" s="1">
        <v>0.5</v>
      </c>
      <c r="K121" s="1">
        <v>1.2</v>
      </c>
      <c r="L121" s="1">
        <v>1.8</v>
      </c>
      <c r="M121" s="1">
        <v>20</v>
      </c>
      <c r="N121" s="1">
        <v>5551</v>
      </c>
      <c r="O121" s="58">
        <v>91</v>
      </c>
      <c r="P121" s="58">
        <v>61</v>
      </c>
      <c r="Q121" s="1" t="s">
        <v>2102</v>
      </c>
    </row>
    <row r="122" spans="1:17" ht="34" x14ac:dyDescent="0.2">
      <c r="A122" s="61">
        <v>131</v>
      </c>
      <c r="B122" s="60" t="s">
        <v>1711</v>
      </c>
      <c r="C122" s="61" t="s">
        <v>23</v>
      </c>
      <c r="D122" s="61" t="s">
        <v>480</v>
      </c>
      <c r="E122" s="61"/>
      <c r="F122" s="61"/>
      <c r="G122" s="60" t="s">
        <v>1728</v>
      </c>
    </row>
    <row r="123" spans="1:17" ht="17" x14ac:dyDescent="0.2">
      <c r="A123" s="61">
        <v>132</v>
      </c>
      <c r="B123" s="60" t="s">
        <v>1712</v>
      </c>
      <c r="C123" s="61" t="s">
        <v>23</v>
      </c>
      <c r="D123" s="61" t="s">
        <v>489</v>
      </c>
      <c r="E123" s="61"/>
      <c r="F123" s="61"/>
      <c r="G123" s="60" t="s">
        <v>1728</v>
      </c>
    </row>
    <row r="124" spans="1:17" ht="17" x14ac:dyDescent="0.2">
      <c r="A124" s="59">
        <v>133</v>
      </c>
      <c r="B124" s="60" t="s">
        <v>1712</v>
      </c>
      <c r="C124" s="61" t="s">
        <v>23</v>
      </c>
      <c r="D124" s="61" t="s">
        <v>489</v>
      </c>
      <c r="E124" s="61" t="s">
        <v>2052</v>
      </c>
      <c r="F124" s="61" t="s">
        <v>1986</v>
      </c>
      <c r="G124" s="60" t="s">
        <v>1728</v>
      </c>
      <c r="H124" s="1" t="s">
        <v>742</v>
      </c>
      <c r="I124" s="62">
        <v>692789</v>
      </c>
      <c r="J124" s="1">
        <v>0.5</v>
      </c>
      <c r="K124" s="1">
        <v>1.8</v>
      </c>
      <c r="L124" s="1">
        <v>1.5</v>
      </c>
      <c r="M124" s="1">
        <v>20</v>
      </c>
      <c r="N124" s="1">
        <v>6916</v>
      </c>
      <c r="O124" s="58">
        <v>76</v>
      </c>
      <c r="P124" s="58">
        <v>91</v>
      </c>
      <c r="Q124" s="1" t="s">
        <v>2103</v>
      </c>
    </row>
    <row r="125" spans="1:17" ht="17" x14ac:dyDescent="0.2">
      <c r="A125" s="61">
        <v>134</v>
      </c>
      <c r="B125" s="60" t="s">
        <v>1712</v>
      </c>
      <c r="C125" s="61" t="s">
        <v>23</v>
      </c>
      <c r="D125" s="61" t="s">
        <v>489</v>
      </c>
      <c r="E125" s="61"/>
      <c r="F125" s="61"/>
      <c r="G125" s="60" t="s">
        <v>1728</v>
      </c>
    </row>
    <row r="126" spans="1:17" ht="17" x14ac:dyDescent="0.2">
      <c r="A126" s="59">
        <v>135</v>
      </c>
      <c r="B126" s="60" t="s">
        <v>1713</v>
      </c>
      <c r="C126" s="61" t="s">
        <v>23</v>
      </c>
      <c r="D126" s="61" t="s">
        <v>489</v>
      </c>
      <c r="E126" s="61"/>
      <c r="F126" s="61" t="s">
        <v>1986</v>
      </c>
      <c r="G126" s="60" t="s">
        <v>1728</v>
      </c>
      <c r="H126" s="1" t="s">
        <v>742</v>
      </c>
      <c r="I126" s="62">
        <v>692805</v>
      </c>
      <c r="O126" s="58">
        <v>101</v>
      </c>
      <c r="P126" s="58">
        <v>51</v>
      </c>
      <c r="Q126" s="1" t="s">
        <v>2065</v>
      </c>
    </row>
    <row r="127" spans="1:17" ht="34" x14ac:dyDescent="0.2">
      <c r="A127" s="61">
        <v>136</v>
      </c>
      <c r="B127" s="60" t="s">
        <v>1728</v>
      </c>
      <c r="C127" s="61" t="s">
        <v>23</v>
      </c>
      <c r="D127" s="61"/>
      <c r="E127" s="61"/>
      <c r="F127" s="61"/>
      <c r="G127" s="60" t="s">
        <v>2071</v>
      </c>
      <c r="H127" s="66"/>
      <c r="I127" s="65"/>
      <c r="J127" s="66"/>
      <c r="K127" s="66"/>
      <c r="L127" s="66"/>
      <c r="M127" s="66"/>
      <c r="N127" s="66"/>
    </row>
    <row r="128" spans="1:17" ht="34" x14ac:dyDescent="0.2">
      <c r="A128" s="61">
        <v>137</v>
      </c>
      <c r="B128" s="60" t="s">
        <v>1728</v>
      </c>
      <c r="C128" s="61" t="s">
        <v>23</v>
      </c>
      <c r="D128" s="61"/>
      <c r="E128" s="61"/>
      <c r="F128" s="61"/>
      <c r="G128" s="60" t="s">
        <v>2071</v>
      </c>
      <c r="H128" s="66"/>
      <c r="I128" s="65"/>
      <c r="J128" s="66"/>
      <c r="K128" s="66"/>
      <c r="L128" s="66"/>
      <c r="M128" s="66"/>
      <c r="N128" s="66"/>
    </row>
    <row r="129" spans="1:18" ht="17" x14ac:dyDescent="0.2">
      <c r="A129" s="61">
        <v>138</v>
      </c>
      <c r="B129" s="60" t="s">
        <v>2104</v>
      </c>
      <c r="C129" s="61" t="s">
        <v>23</v>
      </c>
      <c r="D129" s="61" t="s">
        <v>173</v>
      </c>
      <c r="E129" s="61"/>
      <c r="F129" s="61"/>
      <c r="G129" s="60" t="s">
        <v>1728</v>
      </c>
    </row>
    <row r="130" spans="1:18" ht="17" x14ac:dyDescent="0.2">
      <c r="A130" s="61">
        <v>139</v>
      </c>
      <c r="B130" s="60" t="s">
        <v>2104</v>
      </c>
      <c r="C130" s="61" t="s">
        <v>23</v>
      </c>
      <c r="D130" s="61" t="s">
        <v>173</v>
      </c>
      <c r="E130" s="61"/>
      <c r="F130" s="61"/>
      <c r="G130" s="60" t="s">
        <v>1728</v>
      </c>
    </row>
    <row r="131" spans="1:18" ht="17" x14ac:dyDescent="0.2">
      <c r="A131" s="61">
        <v>140</v>
      </c>
      <c r="B131" s="60" t="s">
        <v>2104</v>
      </c>
      <c r="C131" s="61" t="s">
        <v>23</v>
      </c>
      <c r="D131" s="61" t="s">
        <v>173</v>
      </c>
      <c r="E131" s="61"/>
      <c r="F131" s="61"/>
      <c r="G131" s="60" t="s">
        <v>1728</v>
      </c>
    </row>
    <row r="132" spans="1:18" ht="34" x14ac:dyDescent="0.2">
      <c r="A132" s="59">
        <v>141</v>
      </c>
      <c r="B132" s="60" t="s">
        <v>1714</v>
      </c>
      <c r="C132" s="61" t="s">
        <v>23</v>
      </c>
      <c r="D132" s="61" t="s">
        <v>188</v>
      </c>
      <c r="E132" s="61" t="s">
        <v>2052</v>
      </c>
      <c r="F132" s="61" t="s">
        <v>1982</v>
      </c>
      <c r="G132" s="60" t="s">
        <v>2105</v>
      </c>
      <c r="H132" s="1" t="s">
        <v>742</v>
      </c>
      <c r="I132" s="62">
        <v>692778</v>
      </c>
      <c r="J132" s="1">
        <v>0.5</v>
      </c>
      <c r="K132" s="1">
        <v>0.8</v>
      </c>
      <c r="L132" s="1">
        <v>2.5</v>
      </c>
      <c r="M132" s="1">
        <v>20</v>
      </c>
      <c r="N132" s="1">
        <v>5166</v>
      </c>
      <c r="O132" s="58">
        <v>41</v>
      </c>
      <c r="P132" s="58">
        <v>126</v>
      </c>
      <c r="Q132" s="1" t="s">
        <v>2065</v>
      </c>
    </row>
    <row r="133" spans="1:18" ht="51" x14ac:dyDescent="0.2">
      <c r="A133" s="61"/>
      <c r="B133" s="60"/>
      <c r="C133" s="61"/>
      <c r="D133" s="61"/>
      <c r="E133" s="61"/>
      <c r="F133" s="61"/>
      <c r="G133" s="60" t="s">
        <v>2106</v>
      </c>
      <c r="I133" s="62">
        <v>692779</v>
      </c>
      <c r="J133" s="1">
        <v>0.5</v>
      </c>
      <c r="K133" s="1">
        <v>0.8</v>
      </c>
      <c r="L133" s="1">
        <v>1.25</v>
      </c>
      <c r="M133" s="1">
        <v>20</v>
      </c>
      <c r="N133" s="1">
        <v>2583</v>
      </c>
      <c r="O133" s="58">
        <v>63</v>
      </c>
      <c r="P133" s="58">
        <v>41</v>
      </c>
    </row>
    <row r="134" spans="1:18" ht="17" x14ac:dyDescent="0.2">
      <c r="A134" s="61">
        <v>142</v>
      </c>
      <c r="B134" s="60" t="s">
        <v>1714</v>
      </c>
      <c r="C134" s="61" t="s">
        <v>23</v>
      </c>
      <c r="D134" s="61" t="s">
        <v>188</v>
      </c>
      <c r="E134" s="61"/>
      <c r="F134" s="61"/>
      <c r="G134" s="60" t="s">
        <v>1728</v>
      </c>
    </row>
    <row r="135" spans="1:18" ht="17" x14ac:dyDescent="0.2">
      <c r="A135" s="61">
        <v>143</v>
      </c>
      <c r="B135" s="60" t="s">
        <v>1714</v>
      </c>
      <c r="C135" s="61" t="s">
        <v>23</v>
      </c>
      <c r="D135" s="61" t="s">
        <v>188</v>
      </c>
      <c r="E135" s="61"/>
      <c r="F135" s="61"/>
      <c r="G135" s="60" t="s">
        <v>1728</v>
      </c>
    </row>
    <row r="136" spans="1:18" ht="17" x14ac:dyDescent="0.2">
      <c r="A136" s="59">
        <v>144</v>
      </c>
      <c r="B136" s="60" t="s">
        <v>1717</v>
      </c>
      <c r="C136" s="61" t="s">
        <v>23</v>
      </c>
      <c r="D136" s="61" t="s">
        <v>188</v>
      </c>
      <c r="E136" s="61" t="s">
        <v>2052</v>
      </c>
      <c r="F136" s="61" t="s">
        <v>1986</v>
      </c>
      <c r="G136" s="60" t="s">
        <v>2100</v>
      </c>
      <c r="H136" s="1" t="s">
        <v>742</v>
      </c>
      <c r="I136" s="62">
        <v>692792</v>
      </c>
      <c r="J136" s="1">
        <v>0.5</v>
      </c>
      <c r="K136" s="1">
        <v>1</v>
      </c>
      <c r="L136" s="1">
        <v>2</v>
      </c>
      <c r="M136" s="1">
        <v>20</v>
      </c>
      <c r="N136" s="1">
        <v>5151</v>
      </c>
      <c r="O136" s="58">
        <v>101</v>
      </c>
      <c r="P136" s="58">
        <v>51</v>
      </c>
      <c r="Q136" s="1" t="s">
        <v>2107</v>
      </c>
      <c r="R136" s="1" t="s">
        <v>2108</v>
      </c>
    </row>
    <row r="137" spans="1:18" ht="34" x14ac:dyDescent="0.2">
      <c r="A137" s="61"/>
      <c r="B137" s="60"/>
      <c r="C137" s="61"/>
      <c r="D137" s="61"/>
      <c r="E137" s="61"/>
      <c r="F137" s="61"/>
      <c r="G137" s="60" t="s">
        <v>2109</v>
      </c>
      <c r="I137" s="62">
        <v>692793</v>
      </c>
      <c r="J137" s="1">
        <v>1</v>
      </c>
      <c r="K137" s="1">
        <v>1</v>
      </c>
      <c r="L137" s="1">
        <v>2</v>
      </c>
      <c r="M137" s="1" t="s">
        <v>2110</v>
      </c>
      <c r="N137" s="1">
        <v>357</v>
      </c>
      <c r="O137" s="58">
        <v>7</v>
      </c>
      <c r="P137" s="58">
        <v>51</v>
      </c>
    </row>
    <row r="138" spans="1:18" s="77" customFormat="1" ht="17" x14ac:dyDescent="0.2">
      <c r="A138" s="59">
        <v>145</v>
      </c>
      <c r="B138" s="60" t="s">
        <v>1717</v>
      </c>
      <c r="C138" s="61" t="s">
        <v>23</v>
      </c>
      <c r="D138" s="61" t="s">
        <v>188</v>
      </c>
      <c r="E138" s="61"/>
      <c r="F138" s="61"/>
      <c r="G138" s="60" t="s">
        <v>2111</v>
      </c>
      <c r="H138" s="1" t="s">
        <v>742</v>
      </c>
      <c r="I138" s="62">
        <v>692806</v>
      </c>
      <c r="J138" s="1">
        <v>0.5</v>
      </c>
      <c r="K138" s="1">
        <v>1</v>
      </c>
      <c r="L138" s="1">
        <v>2</v>
      </c>
      <c r="M138" s="1">
        <v>20</v>
      </c>
      <c r="N138" s="1">
        <v>5151</v>
      </c>
      <c r="O138" s="58">
        <v>101</v>
      </c>
      <c r="P138" s="58">
        <v>51</v>
      </c>
      <c r="Q138" s="77" t="s">
        <v>2112</v>
      </c>
    </row>
    <row r="139" spans="1:18" ht="17" x14ac:dyDescent="0.2">
      <c r="A139" s="61">
        <v>146</v>
      </c>
      <c r="B139" s="60" t="s">
        <v>1717</v>
      </c>
      <c r="C139" s="61" t="s">
        <v>23</v>
      </c>
      <c r="D139" s="61" t="s">
        <v>188</v>
      </c>
      <c r="E139" s="61"/>
      <c r="F139" s="61"/>
      <c r="G139" s="60" t="s">
        <v>1728</v>
      </c>
    </row>
    <row r="140" spans="1:18" s="77" customFormat="1" ht="17" x14ac:dyDescent="0.2">
      <c r="A140" s="59">
        <v>147</v>
      </c>
      <c r="B140" s="60" t="s">
        <v>1718</v>
      </c>
      <c r="C140" s="61" t="s">
        <v>23</v>
      </c>
      <c r="D140" s="61" t="s">
        <v>480</v>
      </c>
      <c r="E140" s="61"/>
      <c r="F140" s="61"/>
      <c r="G140" s="60" t="s">
        <v>1728</v>
      </c>
      <c r="H140" s="1" t="s">
        <v>742</v>
      </c>
      <c r="I140" s="62">
        <v>692784</v>
      </c>
      <c r="J140" s="1">
        <v>0.5</v>
      </c>
      <c r="K140" s="1">
        <v>1</v>
      </c>
      <c r="L140" s="1">
        <v>2</v>
      </c>
      <c r="M140" s="1">
        <v>20</v>
      </c>
      <c r="N140" s="1">
        <v>5151</v>
      </c>
      <c r="O140" s="58">
        <v>101</v>
      </c>
      <c r="P140" s="58">
        <v>51</v>
      </c>
      <c r="Q140" s="77" t="s">
        <v>2113</v>
      </c>
    </row>
    <row r="141" spans="1:18" ht="17" x14ac:dyDescent="0.2">
      <c r="A141" s="61">
        <v>148</v>
      </c>
      <c r="B141" s="60" t="s">
        <v>2114</v>
      </c>
      <c r="C141" s="61" t="s">
        <v>23</v>
      </c>
      <c r="D141" s="61" t="s">
        <v>480</v>
      </c>
      <c r="E141" s="61"/>
      <c r="F141" s="61"/>
      <c r="G141" s="60" t="s">
        <v>1728</v>
      </c>
    </row>
    <row r="142" spans="1:18" ht="17" x14ac:dyDescent="0.2">
      <c r="A142" s="61">
        <v>149</v>
      </c>
      <c r="B142" s="60" t="s">
        <v>2115</v>
      </c>
      <c r="C142" s="61" t="s">
        <v>23</v>
      </c>
      <c r="D142" s="61" t="s">
        <v>480</v>
      </c>
      <c r="E142" s="61"/>
      <c r="F142" s="61"/>
      <c r="G142" s="60" t="s">
        <v>1728</v>
      </c>
    </row>
    <row r="143" spans="1:18" ht="34" x14ac:dyDescent="0.2">
      <c r="A143" s="61">
        <v>150</v>
      </c>
      <c r="B143" s="60" t="s">
        <v>2116</v>
      </c>
      <c r="C143" s="61" t="s">
        <v>23</v>
      </c>
      <c r="D143" s="61" t="s">
        <v>173</v>
      </c>
      <c r="E143" s="61"/>
      <c r="F143" s="61"/>
      <c r="G143" s="60" t="s">
        <v>1728</v>
      </c>
    </row>
    <row r="144" spans="1:18" ht="34" x14ac:dyDescent="0.2">
      <c r="A144" s="61">
        <v>151</v>
      </c>
      <c r="B144" s="60" t="s">
        <v>2116</v>
      </c>
      <c r="C144" s="61" t="s">
        <v>23</v>
      </c>
      <c r="D144" s="61" t="s">
        <v>173</v>
      </c>
      <c r="E144" s="61"/>
      <c r="F144" s="61"/>
      <c r="G144" s="60" t="s">
        <v>1728</v>
      </c>
    </row>
    <row r="145" spans="1:17" ht="34" x14ac:dyDescent="0.2">
      <c r="A145" s="61">
        <v>152</v>
      </c>
      <c r="B145" s="60" t="s">
        <v>2116</v>
      </c>
      <c r="C145" s="61" t="s">
        <v>23</v>
      </c>
      <c r="D145" s="61" t="s">
        <v>173</v>
      </c>
      <c r="E145" s="61"/>
      <c r="F145" s="61"/>
      <c r="G145" s="60" t="s">
        <v>1728</v>
      </c>
    </row>
    <row r="146" spans="1:17" ht="17" x14ac:dyDescent="0.2">
      <c r="A146" s="61">
        <v>153</v>
      </c>
      <c r="B146" s="60" t="s">
        <v>1719</v>
      </c>
      <c r="C146" s="61" t="s">
        <v>23</v>
      </c>
      <c r="D146" s="61" t="s">
        <v>489</v>
      </c>
      <c r="E146" s="61"/>
      <c r="F146" s="61"/>
      <c r="G146" s="60" t="s">
        <v>1728</v>
      </c>
    </row>
    <row r="147" spans="1:17" ht="17" x14ac:dyDescent="0.2">
      <c r="A147" s="59">
        <v>154</v>
      </c>
      <c r="B147" s="60" t="s">
        <v>1719</v>
      </c>
      <c r="C147" s="61" t="s">
        <v>23</v>
      </c>
      <c r="D147" s="61" t="s">
        <v>489</v>
      </c>
      <c r="E147" s="61" t="s">
        <v>2052</v>
      </c>
      <c r="F147" s="61" t="s">
        <v>1986</v>
      </c>
      <c r="G147" s="60" t="s">
        <v>1728</v>
      </c>
      <c r="H147" s="1" t="s">
        <v>742</v>
      </c>
      <c r="I147" s="62">
        <v>692785</v>
      </c>
      <c r="J147" s="1">
        <v>0.5</v>
      </c>
      <c r="K147" s="1">
        <v>1</v>
      </c>
      <c r="L147" s="1">
        <v>2</v>
      </c>
      <c r="M147" s="1">
        <v>20</v>
      </c>
      <c r="N147" s="1">
        <v>5151</v>
      </c>
      <c r="O147" s="58">
        <v>101</v>
      </c>
      <c r="P147" s="58">
        <v>51</v>
      </c>
      <c r="Q147" s="1" t="s">
        <v>2065</v>
      </c>
    </row>
    <row r="148" spans="1:17" ht="17" x14ac:dyDescent="0.2">
      <c r="A148" s="61">
        <v>155</v>
      </c>
      <c r="B148" s="60" t="s">
        <v>1719</v>
      </c>
      <c r="C148" s="61" t="s">
        <v>23</v>
      </c>
      <c r="D148" s="61" t="s">
        <v>489</v>
      </c>
      <c r="E148" s="61"/>
      <c r="F148" s="61"/>
      <c r="G148" s="60" t="s">
        <v>1728</v>
      </c>
    </row>
    <row r="149" spans="1:17" ht="17" x14ac:dyDescent="0.2">
      <c r="A149" s="61">
        <v>156</v>
      </c>
      <c r="B149" s="60" t="s">
        <v>2117</v>
      </c>
      <c r="C149" s="61" t="s">
        <v>23</v>
      </c>
      <c r="D149" s="61" t="s">
        <v>173</v>
      </c>
      <c r="E149" s="61"/>
      <c r="F149" s="61"/>
      <c r="G149" s="60" t="s">
        <v>1728</v>
      </c>
    </row>
    <row r="150" spans="1:17" ht="17" x14ac:dyDescent="0.2">
      <c r="A150" s="61">
        <v>157</v>
      </c>
      <c r="B150" s="60" t="s">
        <v>1720</v>
      </c>
      <c r="C150" s="61" t="s">
        <v>23</v>
      </c>
      <c r="D150" s="61" t="s">
        <v>173</v>
      </c>
      <c r="E150" s="61"/>
      <c r="F150" s="61"/>
      <c r="G150" s="60" t="s">
        <v>2118</v>
      </c>
      <c r="H150" s="1" t="s">
        <v>742</v>
      </c>
    </row>
    <row r="151" spans="1:17" ht="17" x14ac:dyDescent="0.2">
      <c r="A151" s="59">
        <v>158</v>
      </c>
      <c r="B151" s="60" t="s">
        <v>1720</v>
      </c>
      <c r="C151" s="61" t="s">
        <v>23</v>
      </c>
      <c r="D151" s="61" t="s">
        <v>173</v>
      </c>
      <c r="E151" s="61" t="s">
        <v>2052</v>
      </c>
      <c r="F151" s="61" t="s">
        <v>2119</v>
      </c>
      <c r="G151" s="60"/>
      <c r="H151" s="1" t="s">
        <v>742</v>
      </c>
      <c r="I151" s="62">
        <v>692776</v>
      </c>
      <c r="J151" s="1">
        <v>1</v>
      </c>
      <c r="K151" s="1">
        <v>0.7</v>
      </c>
      <c r="L151" s="1">
        <v>1.4</v>
      </c>
      <c r="M151" s="1">
        <v>20</v>
      </c>
      <c r="O151" s="58">
        <v>71</v>
      </c>
      <c r="P151" s="58">
        <v>36</v>
      </c>
      <c r="Q151" s="1" t="s">
        <v>2065</v>
      </c>
    </row>
    <row r="152" spans="1:17" ht="34" x14ac:dyDescent="0.2">
      <c r="A152" s="61"/>
      <c r="B152" s="60"/>
      <c r="C152" s="61"/>
      <c r="D152" s="61"/>
      <c r="E152" s="61"/>
      <c r="F152" s="61"/>
      <c r="G152" s="60" t="s">
        <v>2120</v>
      </c>
      <c r="I152" s="62">
        <v>692777</v>
      </c>
      <c r="J152" s="1">
        <v>1</v>
      </c>
      <c r="K152" s="1">
        <v>0.7</v>
      </c>
      <c r="L152" s="1">
        <v>1.4</v>
      </c>
      <c r="M152" s="1">
        <v>20</v>
      </c>
      <c r="O152" s="58">
        <v>71</v>
      </c>
      <c r="P152" s="58">
        <v>36</v>
      </c>
    </row>
    <row r="153" spans="1:17" ht="17" x14ac:dyDescent="0.2">
      <c r="A153" s="61">
        <v>159</v>
      </c>
      <c r="B153" s="60" t="s">
        <v>1720</v>
      </c>
      <c r="C153" s="61" t="s">
        <v>23</v>
      </c>
      <c r="D153" s="61" t="s">
        <v>173</v>
      </c>
      <c r="E153" s="61"/>
      <c r="F153" s="61"/>
      <c r="G153" s="60" t="s">
        <v>1728</v>
      </c>
    </row>
    <row r="154" spans="1:17" ht="17" x14ac:dyDescent="0.2">
      <c r="A154" s="61">
        <v>160</v>
      </c>
      <c r="B154" s="60" t="s">
        <v>1721</v>
      </c>
      <c r="C154" s="61" t="s">
        <v>23</v>
      </c>
      <c r="D154" s="61" t="s">
        <v>173</v>
      </c>
      <c r="E154" s="61"/>
      <c r="F154" s="61"/>
      <c r="G154" s="60" t="s">
        <v>2118</v>
      </c>
    </row>
    <row r="155" spans="1:17" ht="17" x14ac:dyDescent="0.2">
      <c r="A155" s="59">
        <v>161</v>
      </c>
      <c r="B155" s="60" t="s">
        <v>1721</v>
      </c>
      <c r="C155" s="61" t="s">
        <v>23</v>
      </c>
      <c r="D155" s="61" t="s">
        <v>173</v>
      </c>
      <c r="E155" s="61"/>
      <c r="F155" s="61" t="s">
        <v>1982</v>
      </c>
      <c r="G155" s="60" t="s">
        <v>1728</v>
      </c>
      <c r="H155" s="1" t="s">
        <v>742</v>
      </c>
      <c r="I155" s="62">
        <v>692787</v>
      </c>
      <c r="J155" s="1">
        <v>0.5</v>
      </c>
      <c r="K155" s="1">
        <v>1</v>
      </c>
      <c r="L155" s="1">
        <v>2</v>
      </c>
      <c r="M155" s="1">
        <v>20</v>
      </c>
      <c r="N155" s="1">
        <v>5151</v>
      </c>
      <c r="O155" s="58">
        <v>101</v>
      </c>
      <c r="P155" s="58">
        <v>51</v>
      </c>
    </row>
    <row r="156" spans="1:17" ht="17" x14ac:dyDescent="0.2">
      <c r="A156" s="61">
        <v>162</v>
      </c>
      <c r="B156" s="60" t="s">
        <v>1721</v>
      </c>
      <c r="C156" s="61" t="s">
        <v>23</v>
      </c>
      <c r="D156" s="61" t="s">
        <v>173</v>
      </c>
      <c r="E156" s="61"/>
      <c r="F156" s="61"/>
      <c r="G156" s="60" t="s">
        <v>1728</v>
      </c>
    </row>
    <row r="157" spans="1:17" ht="17" x14ac:dyDescent="0.2">
      <c r="A157" s="61" t="s">
        <v>1728</v>
      </c>
      <c r="B157" s="60" t="s">
        <v>1728</v>
      </c>
      <c r="C157" s="61" t="s">
        <v>1728</v>
      </c>
      <c r="D157" s="61"/>
      <c r="E157" s="61"/>
      <c r="F157" s="61"/>
      <c r="G157" s="60" t="s">
        <v>1728</v>
      </c>
    </row>
    <row r="158" spans="1:17" ht="17" x14ac:dyDescent="0.2">
      <c r="A158" s="59">
        <v>170</v>
      </c>
      <c r="B158" s="60" t="s">
        <v>1722</v>
      </c>
      <c r="C158" s="61" t="s">
        <v>23</v>
      </c>
      <c r="D158" s="61" t="s">
        <v>197</v>
      </c>
      <c r="E158" s="64"/>
      <c r="F158" s="64"/>
      <c r="G158" s="60" t="s">
        <v>2056</v>
      </c>
      <c r="H158" s="1" t="s">
        <v>742</v>
      </c>
      <c r="I158" s="65"/>
      <c r="J158" s="66"/>
      <c r="K158" s="66"/>
      <c r="L158" s="66"/>
      <c r="M158" s="66"/>
      <c r="N158" s="66"/>
    </row>
    <row r="159" spans="1:17" ht="17" x14ac:dyDescent="0.2">
      <c r="A159" s="59">
        <v>171</v>
      </c>
      <c r="B159" s="60" t="s">
        <v>1722</v>
      </c>
      <c r="C159" s="61" t="s">
        <v>23</v>
      </c>
      <c r="D159" s="61" t="s">
        <v>197</v>
      </c>
      <c r="E159" s="61" t="s">
        <v>2052</v>
      </c>
      <c r="F159" s="61" t="s">
        <v>1982</v>
      </c>
      <c r="G159" s="60" t="s">
        <v>1728</v>
      </c>
      <c r="H159" s="1" t="s">
        <v>742</v>
      </c>
      <c r="I159" s="62">
        <v>692786</v>
      </c>
      <c r="J159" s="1">
        <v>0.5</v>
      </c>
      <c r="K159" s="1">
        <v>1</v>
      </c>
      <c r="L159" s="1">
        <v>2</v>
      </c>
      <c r="M159" s="1">
        <v>20</v>
      </c>
      <c r="N159" s="1">
        <v>5151</v>
      </c>
      <c r="O159" s="58">
        <v>101</v>
      </c>
      <c r="P159" s="58">
        <v>51</v>
      </c>
    </row>
    <row r="160" spans="1:17" ht="17" x14ac:dyDescent="0.2">
      <c r="A160" s="61">
        <v>172</v>
      </c>
      <c r="B160" s="60" t="s">
        <v>1722</v>
      </c>
      <c r="C160" s="61" t="s">
        <v>23</v>
      </c>
      <c r="D160" s="61" t="s">
        <v>197</v>
      </c>
      <c r="E160" s="61"/>
      <c r="F160" s="61"/>
      <c r="G160" s="60" t="s">
        <v>1209</v>
      </c>
    </row>
    <row r="161" spans="1:17" ht="17" x14ac:dyDescent="0.2">
      <c r="A161" s="61">
        <v>173</v>
      </c>
      <c r="B161" s="60" t="s">
        <v>1723</v>
      </c>
      <c r="C161" s="61" t="s">
        <v>23</v>
      </c>
      <c r="D161" s="61" t="s">
        <v>197</v>
      </c>
      <c r="E161" s="61"/>
      <c r="F161" s="61"/>
      <c r="G161" s="60" t="s">
        <v>1728</v>
      </c>
    </row>
    <row r="162" spans="1:17" ht="17" x14ac:dyDescent="0.2">
      <c r="A162" s="59">
        <v>174</v>
      </c>
      <c r="B162" s="60" t="s">
        <v>1723</v>
      </c>
      <c r="C162" s="61" t="s">
        <v>23</v>
      </c>
      <c r="D162" s="61" t="s">
        <v>197</v>
      </c>
      <c r="E162" s="61" t="s">
        <v>2052</v>
      </c>
      <c r="F162" s="61" t="s">
        <v>1986</v>
      </c>
      <c r="G162" s="60"/>
      <c r="H162" s="1" t="s">
        <v>742</v>
      </c>
      <c r="I162" s="62">
        <v>692780</v>
      </c>
      <c r="J162" s="1">
        <v>0.5</v>
      </c>
      <c r="K162" s="1">
        <v>1</v>
      </c>
      <c r="L162" s="1">
        <v>2.5</v>
      </c>
      <c r="M162" s="1">
        <v>20</v>
      </c>
      <c r="N162" s="1">
        <v>6426</v>
      </c>
      <c r="O162" s="58">
        <v>126</v>
      </c>
      <c r="P162" s="58">
        <v>51</v>
      </c>
      <c r="Q162" s="1" t="s">
        <v>2121</v>
      </c>
    </row>
    <row r="163" spans="1:17" ht="17" x14ac:dyDescent="0.2">
      <c r="A163" s="61">
        <v>175</v>
      </c>
      <c r="B163" s="60" t="s">
        <v>1723</v>
      </c>
      <c r="C163" s="61" t="s">
        <v>23</v>
      </c>
      <c r="D163" s="61" t="s">
        <v>197</v>
      </c>
      <c r="E163" s="61"/>
      <c r="F163" s="61"/>
      <c r="G163" s="60" t="s">
        <v>1728</v>
      </c>
    </row>
    <row r="164" spans="1:17" ht="17" x14ac:dyDescent="0.2">
      <c r="A164" s="78" t="s">
        <v>2122</v>
      </c>
      <c r="B164" s="79" t="s">
        <v>2123</v>
      </c>
      <c r="D164" s="1" t="s">
        <v>2124</v>
      </c>
      <c r="E164" s="1" t="s">
        <v>2125</v>
      </c>
      <c r="F164" s="1" t="s">
        <v>2125</v>
      </c>
      <c r="H164" s="1" t="s">
        <v>742</v>
      </c>
      <c r="I164" s="62">
        <v>692802</v>
      </c>
      <c r="J164" s="1">
        <v>0.5</v>
      </c>
      <c r="K164" s="1">
        <v>0.5</v>
      </c>
      <c r="L164" s="1">
        <v>0.5</v>
      </c>
      <c r="M164" s="1">
        <v>20</v>
      </c>
      <c r="N164" s="1">
        <v>676</v>
      </c>
      <c r="O164" s="58">
        <v>26</v>
      </c>
      <c r="P164" s="58">
        <v>26</v>
      </c>
    </row>
    <row r="165" spans="1:17" ht="34" x14ac:dyDescent="0.2">
      <c r="A165" s="80" t="s">
        <v>2126</v>
      </c>
      <c r="B165" s="79" t="s">
        <v>2127</v>
      </c>
      <c r="D165" s="1" t="s">
        <v>2128</v>
      </c>
      <c r="E165" s="1" t="s">
        <v>2125</v>
      </c>
      <c r="F165" s="1" t="s">
        <v>2125</v>
      </c>
      <c r="H165" s="1" t="s">
        <v>742</v>
      </c>
      <c r="I165" s="62">
        <v>692803</v>
      </c>
      <c r="J165" s="1">
        <v>0.5</v>
      </c>
      <c r="K165" s="1">
        <v>0.5</v>
      </c>
      <c r="L165" s="1">
        <v>0.5</v>
      </c>
      <c r="M165" s="1">
        <v>20</v>
      </c>
      <c r="N165" s="1">
        <v>676</v>
      </c>
      <c r="O165" s="58">
        <v>26</v>
      </c>
      <c r="P165" s="58">
        <v>26</v>
      </c>
    </row>
    <row r="166" spans="1:17" ht="34" x14ac:dyDescent="0.2">
      <c r="A166" s="80" t="s">
        <v>2129</v>
      </c>
      <c r="B166" s="79" t="s">
        <v>2130</v>
      </c>
      <c r="D166" s="1" t="s">
        <v>2131</v>
      </c>
      <c r="E166" s="1" t="s">
        <v>2125</v>
      </c>
      <c r="F166" s="1" t="s">
        <v>2125</v>
      </c>
      <c r="H166" s="1" t="s">
        <v>742</v>
      </c>
      <c r="I166" s="62">
        <v>692804</v>
      </c>
      <c r="J166" s="1">
        <v>0.5</v>
      </c>
      <c r="K166" s="1">
        <v>1</v>
      </c>
      <c r="L166" s="1">
        <v>1</v>
      </c>
      <c r="M166" s="1">
        <v>20</v>
      </c>
      <c r="O166" s="58">
        <v>101</v>
      </c>
      <c r="P166" s="58">
        <v>51</v>
      </c>
    </row>
    <row r="167" spans="1:17" x14ac:dyDescent="0.2">
      <c r="A167" s="1" t="s">
        <v>2132</v>
      </c>
      <c r="B167" s="1" t="s">
        <v>1537</v>
      </c>
      <c r="C167" s="1" t="s">
        <v>2133</v>
      </c>
      <c r="D167" s="1" t="s">
        <v>1538</v>
      </c>
      <c r="E167" s="1" t="s">
        <v>2125</v>
      </c>
      <c r="F167" s="1" t="s">
        <v>2125</v>
      </c>
      <c r="H167" s="1" t="s">
        <v>742</v>
      </c>
      <c r="I167" s="62">
        <v>692828</v>
      </c>
      <c r="O167" s="58">
        <v>132</v>
      </c>
      <c r="P167" s="58">
        <v>109</v>
      </c>
    </row>
    <row r="168" spans="1:17" x14ac:dyDescent="0.2">
      <c r="A168" s="1" t="s">
        <v>2134</v>
      </c>
      <c r="B168" s="1" t="s">
        <v>1539</v>
      </c>
      <c r="C168" s="1" t="s">
        <v>2133</v>
      </c>
      <c r="D168" s="1" t="s">
        <v>1538</v>
      </c>
      <c r="E168" s="1" t="s">
        <v>2125</v>
      </c>
      <c r="F168" s="1" t="s">
        <v>2125</v>
      </c>
      <c r="H168" s="1" t="s">
        <v>742</v>
      </c>
      <c r="I168" s="62">
        <v>692829</v>
      </c>
      <c r="O168" s="58">
        <v>132</v>
      </c>
      <c r="P168" s="58">
        <v>109</v>
      </c>
    </row>
    <row r="169" spans="1:17" x14ac:dyDescent="0.2">
      <c r="A169" s="1" t="s">
        <v>2135</v>
      </c>
      <c r="B169" s="1" t="s">
        <v>1540</v>
      </c>
      <c r="C169" s="1" t="s">
        <v>2133</v>
      </c>
      <c r="D169" s="1" t="s">
        <v>1541</v>
      </c>
      <c r="E169" s="1" t="s">
        <v>2125</v>
      </c>
      <c r="F169" s="1" t="s">
        <v>2125</v>
      </c>
      <c r="H169" s="1" t="s">
        <v>742</v>
      </c>
      <c r="I169" s="62">
        <v>692830</v>
      </c>
      <c r="O169" s="58">
        <v>132</v>
      </c>
      <c r="P169" s="58">
        <v>109</v>
      </c>
    </row>
    <row r="170" spans="1:17" x14ac:dyDescent="0.2">
      <c r="A170" s="1" t="s">
        <v>2136</v>
      </c>
      <c r="B170" s="1" t="s">
        <v>1542</v>
      </c>
      <c r="C170" s="1" t="s">
        <v>2133</v>
      </c>
      <c r="D170" s="1" t="s">
        <v>1541</v>
      </c>
      <c r="E170" s="1" t="s">
        <v>2125</v>
      </c>
      <c r="F170" s="1" t="s">
        <v>2125</v>
      </c>
      <c r="H170" s="1" t="s">
        <v>742</v>
      </c>
      <c r="I170" s="62">
        <v>692831</v>
      </c>
      <c r="O170" s="58">
        <v>132</v>
      </c>
      <c r="P170" s="58">
        <v>109</v>
      </c>
    </row>
    <row r="171" spans="1:17" x14ac:dyDescent="0.2">
      <c r="A171" s="1" t="s">
        <v>2137</v>
      </c>
      <c r="B171" s="1" t="s">
        <v>1543</v>
      </c>
      <c r="C171" s="1" t="s">
        <v>2133</v>
      </c>
      <c r="D171" s="1" t="s">
        <v>1544</v>
      </c>
      <c r="E171" s="1" t="s">
        <v>2125</v>
      </c>
      <c r="F171" s="1" t="s">
        <v>2125</v>
      </c>
      <c r="H171" s="1" t="s">
        <v>742</v>
      </c>
      <c r="I171" s="63">
        <v>692832</v>
      </c>
      <c r="O171" s="58">
        <v>58</v>
      </c>
      <c r="P171" s="58">
        <v>58</v>
      </c>
    </row>
    <row r="172" spans="1:17" x14ac:dyDescent="0.2">
      <c r="A172" s="1" t="s">
        <v>2138</v>
      </c>
      <c r="B172" s="1" t="s">
        <v>1545</v>
      </c>
      <c r="C172" s="1" t="s">
        <v>2133</v>
      </c>
      <c r="D172" s="1" t="s">
        <v>1544</v>
      </c>
      <c r="E172" s="1" t="s">
        <v>2125</v>
      </c>
      <c r="F172" s="1" t="s">
        <v>2125</v>
      </c>
      <c r="H172" s="1" t="s">
        <v>742</v>
      </c>
      <c r="I172" s="63">
        <v>692833</v>
      </c>
      <c r="O172" s="58">
        <v>58</v>
      </c>
      <c r="P172" s="58">
        <v>58</v>
      </c>
    </row>
    <row r="173" spans="1:17" x14ac:dyDescent="0.2">
      <c r="B173" s="1"/>
    </row>
  </sheetData>
  <autoFilter ref="B1:I195" xr:uid="{5A8A7A0E-E5A0-4DBA-9587-D31F4650AAF4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98B4D-39C1-4B95-94FB-74E57C99B7C6}">
  <dimension ref="A1:AC52"/>
  <sheetViews>
    <sheetView workbookViewId="0">
      <pane xSplit="4" ySplit="1" topLeftCell="E2" activePane="bottomRight" state="frozen"/>
      <selection pane="topRight"/>
      <selection pane="bottomLeft"/>
      <selection pane="bottomRight" activeCell="A19" sqref="A19"/>
    </sheetView>
  </sheetViews>
  <sheetFormatPr baseColWidth="10" defaultColWidth="8.83203125" defaultRowHeight="16" x14ac:dyDescent="0.2"/>
  <cols>
    <col min="1" max="1" width="10.1640625" customWidth="1"/>
    <col min="2" max="2" width="21.1640625" customWidth="1"/>
    <col min="3" max="3" width="6.1640625" customWidth="1"/>
    <col min="4" max="4" width="10.1640625" customWidth="1"/>
    <col min="6" max="6" width="8.6640625" customWidth="1"/>
    <col min="7" max="7" width="8.83203125" customWidth="1"/>
    <col min="11" max="13" width="10" customWidth="1"/>
    <col min="14" max="14" width="10" hidden="1" customWidth="1"/>
    <col min="15" max="16" width="10" customWidth="1"/>
    <col min="17" max="17" width="10" hidden="1" customWidth="1"/>
    <col min="20" max="20" width="10.33203125" customWidth="1"/>
    <col min="21" max="21" width="11.1640625" customWidth="1"/>
    <col min="24" max="24" width="10.6640625" style="94" bestFit="1" customWidth="1"/>
    <col min="25" max="25" width="10.5" style="106" customWidth="1"/>
    <col min="26" max="26" width="9.6640625" style="94" bestFit="1" customWidth="1"/>
    <col min="27" max="27" width="11" style="1" bestFit="1" customWidth="1"/>
    <col min="28" max="28" width="11" style="94" bestFit="1" customWidth="1"/>
  </cols>
  <sheetData>
    <row r="1" spans="1:28" s="79" customFormat="1" ht="68" x14ac:dyDescent="0.2">
      <c r="A1" s="41" t="s">
        <v>1465</v>
      </c>
      <c r="B1" s="41" t="s">
        <v>1</v>
      </c>
      <c r="C1" s="41"/>
      <c r="D1" s="41" t="s">
        <v>1546</v>
      </c>
      <c r="E1" s="41" t="s">
        <v>6</v>
      </c>
      <c r="F1" s="42" t="s">
        <v>1954</v>
      </c>
      <c r="G1" s="42" t="s">
        <v>11</v>
      </c>
      <c r="H1" s="42" t="s">
        <v>742</v>
      </c>
      <c r="I1" s="43" t="s">
        <v>1977</v>
      </c>
      <c r="J1" s="43" t="s">
        <v>1978</v>
      </c>
      <c r="K1" s="44" t="s">
        <v>1956</v>
      </c>
      <c r="L1" s="42" t="s">
        <v>1959</v>
      </c>
      <c r="M1" s="42" t="s">
        <v>1960</v>
      </c>
      <c r="N1" s="42" t="s">
        <v>1961</v>
      </c>
      <c r="O1" s="42" t="s">
        <v>1962</v>
      </c>
      <c r="P1" s="42" t="s">
        <v>1963</v>
      </c>
      <c r="Q1" s="42" t="s">
        <v>1964</v>
      </c>
      <c r="R1" s="41" t="s">
        <v>1965</v>
      </c>
      <c r="S1" s="41" t="s">
        <v>1979</v>
      </c>
      <c r="T1" s="41" t="s">
        <v>1466</v>
      </c>
      <c r="U1" s="41" t="s">
        <v>1467</v>
      </c>
      <c r="V1" s="41" t="s">
        <v>1967</v>
      </c>
      <c r="W1" s="41" t="s">
        <v>1468</v>
      </c>
      <c r="X1" s="45" t="s">
        <v>1968</v>
      </c>
      <c r="Y1" s="103" t="s">
        <v>1969</v>
      </c>
      <c r="Z1" s="45" t="s">
        <v>1970</v>
      </c>
      <c r="AA1" s="46" t="s">
        <v>1971</v>
      </c>
      <c r="AB1" s="47" t="s">
        <v>1980</v>
      </c>
    </row>
    <row r="2" spans="1:28" s="1" customFormat="1" ht="17" x14ac:dyDescent="0.2">
      <c r="A2" s="61">
        <v>62</v>
      </c>
      <c r="B2" s="60" t="s">
        <v>1688</v>
      </c>
      <c r="C2" s="60"/>
      <c r="D2" s="61" t="s">
        <v>389</v>
      </c>
      <c r="E2" s="61" t="s">
        <v>23</v>
      </c>
      <c r="F2" s="61"/>
      <c r="G2" s="60"/>
      <c r="K2" s="1">
        <v>0.5</v>
      </c>
      <c r="R2" s="1">
        <f t="shared" ref="R2:R11" si="0">M2-L2</f>
        <v>0</v>
      </c>
      <c r="S2" s="1">
        <f>P2-O2</f>
        <v>0</v>
      </c>
      <c r="T2" s="1">
        <f>R2/(V2/1000)</f>
        <v>0</v>
      </c>
      <c r="U2" s="1">
        <f>S2/(V2/1000)</f>
        <v>0</v>
      </c>
      <c r="V2" s="1">
        <v>20</v>
      </c>
      <c r="W2" s="1">
        <f>T2*U2</f>
        <v>0</v>
      </c>
      <c r="X2" s="81"/>
      <c r="Y2" s="82">
        <f>Z2-X2</f>
        <v>0</v>
      </c>
      <c r="Z2" s="81"/>
      <c r="AA2" s="82"/>
      <c r="AB2" s="81">
        <f>X2+AA2</f>
        <v>0</v>
      </c>
    </row>
    <row r="3" spans="1:28" s="1" customFormat="1" ht="17" x14ac:dyDescent="0.2">
      <c r="A3" s="61">
        <v>63</v>
      </c>
      <c r="B3" s="60" t="s">
        <v>1690</v>
      </c>
      <c r="C3" s="60"/>
      <c r="D3" s="61" t="s">
        <v>1491</v>
      </c>
      <c r="E3" s="61" t="s">
        <v>23</v>
      </c>
      <c r="F3" s="61"/>
      <c r="G3" s="60" t="s">
        <v>1728</v>
      </c>
      <c r="J3" s="63"/>
      <c r="K3" s="1">
        <v>0.5</v>
      </c>
      <c r="R3" s="1">
        <f t="shared" si="0"/>
        <v>0</v>
      </c>
      <c r="S3" s="1">
        <f t="shared" ref="S3:S29" si="1">P3-O3</f>
        <v>0</v>
      </c>
      <c r="T3" s="1">
        <f t="shared" ref="T3:T52" si="2">R3/(V3/1000)</f>
        <v>0</v>
      </c>
      <c r="U3" s="1">
        <f t="shared" ref="U3:U52" si="3">S3/(V3/1000)</f>
        <v>0</v>
      </c>
      <c r="V3" s="1">
        <v>20</v>
      </c>
      <c r="W3" s="1">
        <f t="shared" ref="W3:W52" si="4">T3*U3</f>
        <v>0</v>
      </c>
      <c r="X3" s="81"/>
      <c r="Y3" s="82">
        <f t="shared" ref="Y3:Y52" si="5">Z3-X3</f>
        <v>0</v>
      </c>
      <c r="Z3" s="81"/>
      <c r="AA3" s="82"/>
      <c r="AB3" s="81">
        <f t="shared" ref="AB3:AB52" si="6">X3+AA3</f>
        <v>0</v>
      </c>
    </row>
    <row r="4" spans="1:28" s="1" customFormat="1" ht="17" x14ac:dyDescent="0.2">
      <c r="A4" s="61">
        <v>65</v>
      </c>
      <c r="B4" s="60" t="s">
        <v>1690</v>
      </c>
      <c r="C4" s="60"/>
      <c r="D4" s="61" t="s">
        <v>1491</v>
      </c>
      <c r="E4" s="61" t="s">
        <v>23</v>
      </c>
      <c r="F4" s="61"/>
      <c r="G4" s="60" t="s">
        <v>1728</v>
      </c>
      <c r="J4" s="63"/>
      <c r="K4" s="1">
        <v>0.5</v>
      </c>
      <c r="R4" s="1">
        <f t="shared" si="0"/>
        <v>0</v>
      </c>
      <c r="S4" s="1">
        <f t="shared" si="1"/>
        <v>0</v>
      </c>
      <c r="T4" s="1">
        <f t="shared" si="2"/>
        <v>0</v>
      </c>
      <c r="U4" s="1">
        <f t="shared" si="3"/>
        <v>0</v>
      </c>
      <c r="V4" s="1">
        <v>20</v>
      </c>
      <c r="W4" s="1">
        <f t="shared" si="4"/>
        <v>0</v>
      </c>
      <c r="X4" s="81"/>
      <c r="Y4" s="82">
        <f t="shared" si="5"/>
        <v>0</v>
      </c>
      <c r="Z4" s="81"/>
      <c r="AA4" s="82"/>
      <c r="AB4" s="81">
        <f t="shared" si="6"/>
        <v>0</v>
      </c>
    </row>
    <row r="5" spans="1:28" s="1" customFormat="1" ht="17" x14ac:dyDescent="0.2">
      <c r="A5" s="61">
        <v>67</v>
      </c>
      <c r="B5" s="60" t="s">
        <v>1691</v>
      </c>
      <c r="C5" s="60"/>
      <c r="D5" s="61" t="s">
        <v>389</v>
      </c>
      <c r="E5" s="61" t="s">
        <v>23</v>
      </c>
      <c r="F5" s="61"/>
      <c r="G5" s="60" t="s">
        <v>1728</v>
      </c>
      <c r="J5" s="63"/>
      <c r="K5" s="1">
        <v>0.5</v>
      </c>
      <c r="R5" s="1">
        <f t="shared" si="0"/>
        <v>0</v>
      </c>
      <c r="S5" s="1">
        <f t="shared" si="1"/>
        <v>0</v>
      </c>
      <c r="T5" s="1">
        <f t="shared" si="2"/>
        <v>0</v>
      </c>
      <c r="U5" s="1">
        <f t="shared" si="3"/>
        <v>0</v>
      </c>
      <c r="V5" s="1">
        <v>20</v>
      </c>
      <c r="W5" s="1">
        <f t="shared" si="4"/>
        <v>0</v>
      </c>
      <c r="X5" s="81"/>
      <c r="Y5" s="82">
        <f t="shared" si="5"/>
        <v>0</v>
      </c>
      <c r="Z5" s="81"/>
      <c r="AA5" s="82"/>
      <c r="AB5" s="81">
        <f t="shared" si="6"/>
        <v>0</v>
      </c>
    </row>
    <row r="6" spans="1:28" s="1" customFormat="1" ht="85" x14ac:dyDescent="0.2">
      <c r="A6" s="61">
        <v>68</v>
      </c>
      <c r="B6" s="60" t="s">
        <v>1691</v>
      </c>
      <c r="C6" s="60"/>
      <c r="D6" s="61" t="s">
        <v>389</v>
      </c>
      <c r="E6" s="61" t="s">
        <v>23</v>
      </c>
      <c r="F6" s="61"/>
      <c r="G6" s="60" t="s">
        <v>2075</v>
      </c>
      <c r="J6" s="63"/>
      <c r="K6" s="1">
        <v>0.5</v>
      </c>
      <c r="R6" s="1">
        <f t="shared" si="0"/>
        <v>0</v>
      </c>
      <c r="S6" s="1">
        <f t="shared" si="1"/>
        <v>0</v>
      </c>
      <c r="T6" s="1">
        <f t="shared" si="2"/>
        <v>0</v>
      </c>
      <c r="U6" s="1">
        <f t="shared" si="3"/>
        <v>0</v>
      </c>
      <c r="V6" s="1">
        <v>20</v>
      </c>
      <c r="W6" s="1">
        <f t="shared" si="4"/>
        <v>0</v>
      </c>
      <c r="X6" s="81"/>
      <c r="Y6" s="82">
        <f t="shared" si="5"/>
        <v>0</v>
      </c>
      <c r="Z6" s="81"/>
      <c r="AA6" s="82"/>
      <c r="AB6" s="81">
        <f t="shared" si="6"/>
        <v>0</v>
      </c>
    </row>
    <row r="7" spans="1:28" s="1" customFormat="1" ht="17" x14ac:dyDescent="0.2">
      <c r="A7" s="61">
        <v>70</v>
      </c>
      <c r="B7" s="60" t="s">
        <v>1692</v>
      </c>
      <c r="C7" s="60"/>
      <c r="D7" s="61" t="s">
        <v>1491</v>
      </c>
      <c r="E7" s="61" t="s">
        <v>23</v>
      </c>
      <c r="F7" s="61"/>
      <c r="G7" s="60" t="s">
        <v>1728</v>
      </c>
      <c r="J7" s="63"/>
      <c r="K7" s="1">
        <v>0.5</v>
      </c>
      <c r="R7" s="1">
        <f t="shared" si="0"/>
        <v>0</v>
      </c>
      <c r="S7" s="1">
        <f t="shared" si="1"/>
        <v>0</v>
      </c>
      <c r="T7" s="1">
        <f t="shared" si="2"/>
        <v>0</v>
      </c>
      <c r="U7" s="1">
        <f t="shared" si="3"/>
        <v>0</v>
      </c>
      <c r="V7" s="1">
        <v>20</v>
      </c>
      <c r="W7" s="1">
        <f t="shared" si="4"/>
        <v>0</v>
      </c>
      <c r="X7" s="81"/>
      <c r="Y7" s="82">
        <f t="shared" si="5"/>
        <v>0</v>
      </c>
      <c r="Z7" s="81"/>
      <c r="AA7" s="82"/>
      <c r="AB7" s="81">
        <f t="shared" si="6"/>
        <v>0</v>
      </c>
    </row>
    <row r="8" spans="1:28" s="1" customFormat="1" ht="17" x14ac:dyDescent="0.2">
      <c r="A8" s="61">
        <v>71</v>
      </c>
      <c r="B8" s="60" t="s">
        <v>1692</v>
      </c>
      <c r="C8" s="60"/>
      <c r="D8" s="61" t="s">
        <v>1491</v>
      </c>
      <c r="E8" s="61" t="s">
        <v>23</v>
      </c>
      <c r="F8" s="61"/>
      <c r="G8" s="60" t="s">
        <v>1728</v>
      </c>
      <c r="J8" s="63"/>
      <c r="K8" s="1">
        <v>0.5</v>
      </c>
      <c r="R8" s="1">
        <f t="shared" si="0"/>
        <v>0</v>
      </c>
      <c r="S8" s="1">
        <f t="shared" si="1"/>
        <v>0</v>
      </c>
      <c r="T8" s="1">
        <f t="shared" si="2"/>
        <v>0</v>
      </c>
      <c r="U8" s="1">
        <f t="shared" si="3"/>
        <v>0</v>
      </c>
      <c r="V8" s="1">
        <v>20</v>
      </c>
      <c r="W8" s="1">
        <f t="shared" si="4"/>
        <v>0</v>
      </c>
      <c r="X8" s="81"/>
      <c r="Y8" s="82">
        <f t="shared" si="5"/>
        <v>0</v>
      </c>
      <c r="Z8" s="81"/>
      <c r="AA8" s="82"/>
      <c r="AB8" s="81">
        <f t="shared" si="6"/>
        <v>0</v>
      </c>
    </row>
    <row r="9" spans="1:28" s="1" customFormat="1" ht="17" x14ac:dyDescent="0.2">
      <c r="A9" s="61">
        <v>75</v>
      </c>
      <c r="B9" s="60" t="s">
        <v>1693</v>
      </c>
      <c r="C9" s="60"/>
      <c r="D9" s="61" t="s">
        <v>389</v>
      </c>
      <c r="E9" s="61" t="s">
        <v>23</v>
      </c>
      <c r="F9" s="61"/>
      <c r="G9" s="60" t="s">
        <v>1728</v>
      </c>
      <c r="J9" s="63"/>
      <c r="K9" s="1">
        <v>0.5</v>
      </c>
      <c r="R9" s="1">
        <f t="shared" si="0"/>
        <v>0</v>
      </c>
      <c r="S9" s="1">
        <f t="shared" si="1"/>
        <v>0</v>
      </c>
      <c r="T9" s="1">
        <f t="shared" si="2"/>
        <v>0</v>
      </c>
      <c r="U9" s="1">
        <f t="shared" si="3"/>
        <v>0</v>
      </c>
      <c r="V9" s="1">
        <v>20</v>
      </c>
      <c r="W9" s="1">
        <f t="shared" si="4"/>
        <v>0</v>
      </c>
      <c r="X9" s="81"/>
      <c r="Y9" s="82">
        <f t="shared" si="5"/>
        <v>0</v>
      </c>
      <c r="Z9" s="81"/>
      <c r="AA9" s="82"/>
      <c r="AB9" s="81">
        <f t="shared" si="6"/>
        <v>0</v>
      </c>
    </row>
    <row r="10" spans="1:28" s="1" customFormat="1" ht="17" x14ac:dyDescent="0.2">
      <c r="A10" s="61">
        <v>76</v>
      </c>
      <c r="B10" s="60" t="s">
        <v>1693</v>
      </c>
      <c r="C10" s="60"/>
      <c r="D10" s="61" t="s">
        <v>389</v>
      </c>
      <c r="E10" s="61" t="s">
        <v>23</v>
      </c>
      <c r="F10" s="61"/>
      <c r="G10" s="60" t="s">
        <v>1728</v>
      </c>
      <c r="J10" s="63"/>
      <c r="K10" s="1">
        <v>0.5</v>
      </c>
      <c r="R10" s="1">
        <f t="shared" si="0"/>
        <v>0</v>
      </c>
      <c r="S10" s="1">
        <f t="shared" si="1"/>
        <v>0</v>
      </c>
      <c r="T10" s="1">
        <f t="shared" si="2"/>
        <v>0</v>
      </c>
      <c r="U10" s="1">
        <f t="shared" si="3"/>
        <v>0</v>
      </c>
      <c r="V10" s="1">
        <v>20</v>
      </c>
      <c r="W10" s="1">
        <f t="shared" si="4"/>
        <v>0</v>
      </c>
      <c r="X10" s="81"/>
      <c r="Y10" s="82">
        <f t="shared" si="5"/>
        <v>0</v>
      </c>
      <c r="Z10" s="81"/>
      <c r="AA10" s="82"/>
      <c r="AB10" s="81">
        <f t="shared" si="6"/>
        <v>0</v>
      </c>
    </row>
    <row r="11" spans="1:28" s="1" customFormat="1" ht="17" x14ac:dyDescent="0.2">
      <c r="A11" s="59">
        <v>77</v>
      </c>
      <c r="B11" s="83" t="s">
        <v>1724</v>
      </c>
      <c r="C11" s="83"/>
      <c r="D11" s="59" t="s">
        <v>1491</v>
      </c>
      <c r="E11" s="59" t="s">
        <v>23</v>
      </c>
      <c r="F11" s="59" t="s">
        <v>2139</v>
      </c>
      <c r="G11" s="83" t="s">
        <v>1728</v>
      </c>
      <c r="H11" s="80" t="s">
        <v>742</v>
      </c>
      <c r="I11" s="62">
        <v>725323</v>
      </c>
      <c r="J11" s="80">
        <v>725336</v>
      </c>
      <c r="K11" s="80">
        <v>0.5</v>
      </c>
      <c r="L11" s="80">
        <v>19.7</v>
      </c>
      <c r="M11" s="80">
        <v>21.3</v>
      </c>
      <c r="N11" s="80"/>
      <c r="O11" s="80">
        <v>-40.299999999999997</v>
      </c>
      <c r="P11" s="80">
        <f>O11+1.6</f>
        <v>-38.699999999999996</v>
      </c>
      <c r="Q11" s="80"/>
      <c r="R11" s="80">
        <f t="shared" si="0"/>
        <v>1.6000000000000014</v>
      </c>
      <c r="S11" s="80">
        <f t="shared" si="1"/>
        <v>1.6000000000000014</v>
      </c>
      <c r="T11" s="80">
        <f>R11/(V11/1000)</f>
        <v>80.000000000000071</v>
      </c>
      <c r="U11" s="80">
        <f>S11/(V11/1000)</f>
        <v>80.000000000000071</v>
      </c>
      <c r="V11" s="80">
        <v>20</v>
      </c>
      <c r="W11" s="80">
        <f>T11*U11</f>
        <v>6400.0000000000109</v>
      </c>
      <c r="X11" s="101"/>
      <c r="Y11" s="102">
        <f t="shared" si="5"/>
        <v>0</v>
      </c>
      <c r="Z11" s="101"/>
      <c r="AA11" s="102"/>
      <c r="AB11" s="101">
        <f t="shared" si="6"/>
        <v>0</v>
      </c>
    </row>
    <row r="12" spans="1:28" s="1" customFormat="1" x14ac:dyDescent="0.2">
      <c r="A12" s="59"/>
      <c r="B12" s="59"/>
      <c r="C12" s="59"/>
      <c r="D12" s="59" t="s">
        <v>1491</v>
      </c>
      <c r="E12" s="59"/>
      <c r="F12" s="59"/>
      <c r="G12" s="59" t="s">
        <v>2140</v>
      </c>
      <c r="H12" s="80" t="s">
        <v>742</v>
      </c>
      <c r="I12" s="80">
        <v>725337</v>
      </c>
      <c r="J12" s="62">
        <v>725395</v>
      </c>
      <c r="K12" s="80">
        <v>0.5</v>
      </c>
      <c r="L12" s="80">
        <v>19.7</v>
      </c>
      <c r="M12" s="80">
        <v>21.3</v>
      </c>
      <c r="N12" s="80"/>
      <c r="O12" s="80"/>
      <c r="P12" s="80"/>
      <c r="Q12" s="80"/>
      <c r="R12" s="80">
        <v>1.6</v>
      </c>
      <c r="S12" s="80">
        <f t="shared" si="1"/>
        <v>0</v>
      </c>
      <c r="T12" s="80">
        <v>80</v>
      </c>
      <c r="U12" s="80">
        <v>53</v>
      </c>
      <c r="V12" s="80">
        <v>20</v>
      </c>
      <c r="W12" s="80">
        <f>T12*U12</f>
        <v>4240</v>
      </c>
      <c r="X12" s="101"/>
      <c r="Y12" s="102">
        <f t="shared" si="5"/>
        <v>0</v>
      </c>
      <c r="Z12" s="101"/>
      <c r="AA12" s="102"/>
      <c r="AB12" s="101">
        <f t="shared" si="6"/>
        <v>0</v>
      </c>
    </row>
    <row r="13" spans="1:28" s="1" customFormat="1" ht="17" x14ac:dyDescent="0.2">
      <c r="A13" s="61">
        <v>78</v>
      </c>
      <c r="B13" s="60" t="s">
        <v>1724</v>
      </c>
      <c r="C13" s="60"/>
      <c r="D13" s="61" t="s">
        <v>1491</v>
      </c>
      <c r="E13" s="61" t="s">
        <v>23</v>
      </c>
      <c r="F13" s="61"/>
      <c r="G13" s="60" t="s">
        <v>1728</v>
      </c>
      <c r="I13" s="63"/>
      <c r="J13" s="63"/>
      <c r="K13" s="1">
        <v>0.5</v>
      </c>
      <c r="R13" s="1">
        <f t="shared" ref="R13:R33" si="7">M13-L13</f>
        <v>0</v>
      </c>
      <c r="S13" s="1">
        <f t="shared" si="1"/>
        <v>0</v>
      </c>
      <c r="T13" s="1">
        <f t="shared" si="2"/>
        <v>0</v>
      </c>
      <c r="U13" s="1">
        <f t="shared" si="3"/>
        <v>0</v>
      </c>
      <c r="V13" s="1">
        <v>20</v>
      </c>
      <c r="W13" s="1">
        <f t="shared" si="4"/>
        <v>0</v>
      </c>
      <c r="X13" s="81"/>
      <c r="Y13" s="82">
        <f t="shared" si="5"/>
        <v>0</v>
      </c>
      <c r="Z13" s="81"/>
      <c r="AA13" s="82"/>
      <c r="AB13" s="81">
        <f t="shared" si="6"/>
        <v>0</v>
      </c>
    </row>
    <row r="14" spans="1:28" s="1" customFormat="1" ht="17" x14ac:dyDescent="0.2">
      <c r="A14" s="61">
        <v>79</v>
      </c>
      <c r="B14" s="60" t="s">
        <v>1724</v>
      </c>
      <c r="C14" s="60"/>
      <c r="D14" s="61" t="s">
        <v>1491</v>
      </c>
      <c r="E14" s="61" t="s">
        <v>23</v>
      </c>
      <c r="F14" s="61"/>
      <c r="G14" s="60" t="s">
        <v>1728</v>
      </c>
      <c r="I14" s="63"/>
      <c r="J14" s="63"/>
      <c r="K14" s="1">
        <v>0.5</v>
      </c>
      <c r="R14" s="1">
        <f t="shared" si="7"/>
        <v>0</v>
      </c>
      <c r="S14" s="1">
        <f t="shared" si="1"/>
        <v>0</v>
      </c>
      <c r="T14" s="1">
        <f t="shared" si="2"/>
        <v>0</v>
      </c>
      <c r="U14" s="1">
        <f t="shared" si="3"/>
        <v>0</v>
      </c>
      <c r="V14" s="1">
        <v>20</v>
      </c>
      <c r="W14" s="1">
        <f t="shared" si="4"/>
        <v>0</v>
      </c>
      <c r="X14" s="81"/>
      <c r="Y14" s="82">
        <f t="shared" si="5"/>
        <v>0</v>
      </c>
      <c r="Z14" s="81"/>
      <c r="AA14" s="82"/>
      <c r="AB14" s="81">
        <f t="shared" si="6"/>
        <v>0</v>
      </c>
    </row>
    <row r="15" spans="1:28" s="1" customFormat="1" ht="17" x14ac:dyDescent="0.2">
      <c r="A15" s="61">
        <v>81</v>
      </c>
      <c r="B15" s="60" t="s">
        <v>1694</v>
      </c>
      <c r="C15" s="60"/>
      <c r="D15" s="61" t="s">
        <v>111</v>
      </c>
      <c r="E15" s="61" t="s">
        <v>23</v>
      </c>
      <c r="F15" s="61"/>
      <c r="G15" s="60" t="s">
        <v>1728</v>
      </c>
      <c r="J15" s="63"/>
      <c r="K15" s="1">
        <v>0.5</v>
      </c>
      <c r="R15" s="1">
        <f t="shared" si="7"/>
        <v>0</v>
      </c>
      <c r="S15" s="1">
        <f t="shared" si="1"/>
        <v>0</v>
      </c>
      <c r="T15" s="1">
        <f t="shared" si="2"/>
        <v>0</v>
      </c>
      <c r="U15" s="1">
        <f t="shared" si="3"/>
        <v>0</v>
      </c>
      <c r="V15" s="1">
        <v>20</v>
      </c>
      <c r="W15" s="1">
        <f t="shared" si="4"/>
        <v>0</v>
      </c>
      <c r="X15" s="81"/>
      <c r="Y15" s="82">
        <f t="shared" si="5"/>
        <v>0</v>
      </c>
      <c r="Z15" s="81"/>
      <c r="AA15" s="82"/>
      <c r="AB15" s="81">
        <f t="shared" si="6"/>
        <v>0</v>
      </c>
    </row>
    <row r="16" spans="1:28" s="1" customFormat="1" ht="17" x14ac:dyDescent="0.2">
      <c r="A16" s="61">
        <v>82</v>
      </c>
      <c r="B16" s="60" t="s">
        <v>1694</v>
      </c>
      <c r="C16" s="60"/>
      <c r="D16" s="61" t="s">
        <v>111</v>
      </c>
      <c r="E16" s="61" t="s">
        <v>23</v>
      </c>
      <c r="F16" s="61"/>
      <c r="G16" s="60" t="s">
        <v>1728</v>
      </c>
      <c r="J16" s="63"/>
      <c r="K16" s="1">
        <v>0.5</v>
      </c>
      <c r="R16" s="1">
        <f t="shared" si="7"/>
        <v>0</v>
      </c>
      <c r="S16" s="1">
        <f t="shared" si="1"/>
        <v>0</v>
      </c>
      <c r="T16" s="1">
        <f t="shared" si="2"/>
        <v>0</v>
      </c>
      <c r="U16" s="1">
        <f t="shared" si="3"/>
        <v>0</v>
      </c>
      <c r="V16" s="1">
        <v>20</v>
      </c>
      <c r="W16" s="1">
        <f t="shared" si="4"/>
        <v>0</v>
      </c>
      <c r="X16" s="81"/>
      <c r="Y16" s="82">
        <f t="shared" si="5"/>
        <v>0</v>
      </c>
      <c r="Z16" s="81"/>
      <c r="AA16" s="82"/>
      <c r="AB16" s="81">
        <f t="shared" si="6"/>
        <v>0</v>
      </c>
    </row>
    <row r="17" spans="1:29" s="1" customFormat="1" ht="17" x14ac:dyDescent="0.2">
      <c r="A17" s="61">
        <v>84</v>
      </c>
      <c r="B17" s="60" t="s">
        <v>1695</v>
      </c>
      <c r="C17" s="60"/>
      <c r="D17" s="61" t="s">
        <v>111</v>
      </c>
      <c r="E17" s="61" t="s">
        <v>23</v>
      </c>
      <c r="F17" s="61"/>
      <c r="G17" s="60" t="s">
        <v>1728</v>
      </c>
      <c r="J17" s="63"/>
      <c r="K17" s="1">
        <v>0.5</v>
      </c>
      <c r="R17" s="1">
        <f t="shared" si="7"/>
        <v>0</v>
      </c>
      <c r="S17" s="1">
        <f t="shared" si="1"/>
        <v>0</v>
      </c>
      <c r="T17" s="1">
        <f t="shared" si="2"/>
        <v>0</v>
      </c>
      <c r="U17" s="1">
        <f t="shared" si="3"/>
        <v>0</v>
      </c>
      <c r="V17" s="1">
        <v>20</v>
      </c>
      <c r="W17" s="1">
        <f t="shared" si="4"/>
        <v>0</v>
      </c>
      <c r="X17" s="81"/>
      <c r="Y17" s="82">
        <f t="shared" si="5"/>
        <v>0</v>
      </c>
      <c r="Z17" s="81"/>
      <c r="AA17" s="82"/>
      <c r="AB17" s="81">
        <f t="shared" si="6"/>
        <v>0</v>
      </c>
    </row>
    <row r="18" spans="1:29" s="1" customFormat="1" ht="17" x14ac:dyDescent="0.2">
      <c r="A18" s="61">
        <v>86</v>
      </c>
      <c r="B18" s="60" t="s">
        <v>2088</v>
      </c>
      <c r="C18" s="60"/>
      <c r="D18" s="61" t="s">
        <v>111</v>
      </c>
      <c r="E18" s="61" t="s">
        <v>23</v>
      </c>
      <c r="F18" s="61"/>
      <c r="G18" s="60"/>
      <c r="J18" s="63"/>
      <c r="K18" s="1">
        <v>0.5</v>
      </c>
      <c r="R18" s="1">
        <f t="shared" si="7"/>
        <v>0</v>
      </c>
      <c r="S18" s="1">
        <f t="shared" si="1"/>
        <v>0</v>
      </c>
      <c r="T18" s="1">
        <f t="shared" si="2"/>
        <v>0</v>
      </c>
      <c r="U18" s="1">
        <f t="shared" si="3"/>
        <v>0</v>
      </c>
      <c r="V18" s="1">
        <v>20</v>
      </c>
      <c r="W18" s="1">
        <f t="shared" si="4"/>
        <v>0</v>
      </c>
      <c r="X18" s="81"/>
      <c r="Y18" s="82">
        <f t="shared" si="5"/>
        <v>0</v>
      </c>
      <c r="Z18" s="81"/>
      <c r="AA18" s="82"/>
      <c r="AB18" s="81">
        <f t="shared" si="6"/>
        <v>0</v>
      </c>
    </row>
    <row r="19" spans="1:29" s="1" customFormat="1" ht="17" x14ac:dyDescent="0.2">
      <c r="A19" s="61">
        <v>88</v>
      </c>
      <c r="B19" s="60" t="s">
        <v>2088</v>
      </c>
      <c r="C19" s="60"/>
      <c r="D19" s="61" t="s">
        <v>111</v>
      </c>
      <c r="E19" s="61" t="s">
        <v>23</v>
      </c>
      <c r="F19" s="61"/>
      <c r="G19" s="60" t="s">
        <v>1728</v>
      </c>
      <c r="J19" s="63"/>
      <c r="K19" s="1">
        <v>0.5</v>
      </c>
      <c r="R19" s="1">
        <f t="shared" si="7"/>
        <v>0</v>
      </c>
      <c r="S19" s="1">
        <f t="shared" si="1"/>
        <v>0</v>
      </c>
      <c r="T19" s="1">
        <f t="shared" si="2"/>
        <v>0</v>
      </c>
      <c r="U19" s="1">
        <f t="shared" si="3"/>
        <v>0</v>
      </c>
      <c r="V19" s="1">
        <v>20</v>
      </c>
      <c r="W19" s="1">
        <f t="shared" si="4"/>
        <v>0</v>
      </c>
      <c r="X19" s="81"/>
      <c r="Y19" s="82">
        <f t="shared" si="5"/>
        <v>0</v>
      </c>
      <c r="Z19" s="81"/>
      <c r="AA19" s="82"/>
      <c r="AB19" s="81">
        <f t="shared" si="6"/>
        <v>0</v>
      </c>
    </row>
    <row r="20" spans="1:29" s="1" customFormat="1" ht="17" x14ac:dyDescent="0.2">
      <c r="A20" s="61">
        <v>91</v>
      </c>
      <c r="B20" s="60" t="s">
        <v>1696</v>
      </c>
      <c r="C20" s="60"/>
      <c r="D20" s="61" t="s">
        <v>111</v>
      </c>
      <c r="E20" s="61" t="s">
        <v>23</v>
      </c>
      <c r="F20" s="61"/>
      <c r="G20" s="60" t="s">
        <v>1728</v>
      </c>
      <c r="J20" s="63"/>
      <c r="K20" s="1">
        <v>0.5</v>
      </c>
      <c r="R20" s="1">
        <f t="shared" si="7"/>
        <v>0</v>
      </c>
      <c r="S20" s="1">
        <f t="shared" si="1"/>
        <v>0</v>
      </c>
      <c r="T20" s="1">
        <f t="shared" si="2"/>
        <v>0</v>
      </c>
      <c r="U20" s="1">
        <f t="shared" si="3"/>
        <v>0</v>
      </c>
      <c r="V20" s="1">
        <v>20</v>
      </c>
      <c r="W20" s="1">
        <f t="shared" si="4"/>
        <v>0</v>
      </c>
      <c r="X20" s="81"/>
      <c r="Y20" s="82">
        <f t="shared" si="5"/>
        <v>0</v>
      </c>
      <c r="Z20" s="81"/>
      <c r="AA20" s="82"/>
      <c r="AB20" s="81">
        <f t="shared" si="6"/>
        <v>0</v>
      </c>
    </row>
    <row r="21" spans="1:29" s="1" customFormat="1" ht="17" x14ac:dyDescent="0.2">
      <c r="A21" s="61">
        <v>93</v>
      </c>
      <c r="B21" s="60" t="s">
        <v>2091</v>
      </c>
      <c r="C21" s="60"/>
      <c r="D21" s="61" t="s">
        <v>251</v>
      </c>
      <c r="E21" s="61" t="s">
        <v>23</v>
      </c>
      <c r="F21" s="61"/>
      <c r="G21" s="60" t="s">
        <v>1728</v>
      </c>
      <c r="J21" s="63"/>
      <c r="K21" s="1">
        <v>0.5</v>
      </c>
      <c r="R21" s="1">
        <f t="shared" si="7"/>
        <v>0</v>
      </c>
      <c r="S21" s="1">
        <f t="shared" si="1"/>
        <v>0</v>
      </c>
      <c r="T21" s="1">
        <f t="shared" si="2"/>
        <v>0</v>
      </c>
      <c r="U21" s="1">
        <f t="shared" si="3"/>
        <v>0</v>
      </c>
      <c r="V21" s="1">
        <v>20</v>
      </c>
      <c r="W21" s="1">
        <f t="shared" si="4"/>
        <v>0</v>
      </c>
      <c r="X21" s="81"/>
      <c r="Y21" s="82">
        <f t="shared" si="5"/>
        <v>0</v>
      </c>
      <c r="Z21" s="81"/>
      <c r="AA21" s="82"/>
      <c r="AB21" s="81">
        <f t="shared" si="6"/>
        <v>0</v>
      </c>
    </row>
    <row r="22" spans="1:29" s="1" customFormat="1" ht="17" x14ac:dyDescent="0.2">
      <c r="A22" s="61">
        <v>95</v>
      </c>
      <c r="B22" s="60" t="s">
        <v>2091</v>
      </c>
      <c r="C22" s="60"/>
      <c r="D22" s="61" t="s">
        <v>251</v>
      </c>
      <c r="E22" s="61" t="s">
        <v>23</v>
      </c>
      <c r="F22" s="61"/>
      <c r="G22" s="60" t="s">
        <v>1728</v>
      </c>
      <c r="J22" s="63"/>
      <c r="K22" s="1">
        <v>0.5</v>
      </c>
      <c r="R22" s="1">
        <f t="shared" si="7"/>
        <v>0</v>
      </c>
      <c r="S22" s="1">
        <f t="shared" si="1"/>
        <v>0</v>
      </c>
      <c r="T22" s="1">
        <f t="shared" si="2"/>
        <v>0</v>
      </c>
      <c r="U22" s="1">
        <f t="shared" si="3"/>
        <v>0</v>
      </c>
      <c r="V22" s="1">
        <v>20</v>
      </c>
      <c r="W22" s="1">
        <f t="shared" si="4"/>
        <v>0</v>
      </c>
      <c r="X22" s="81"/>
      <c r="Y22" s="82">
        <f t="shared" si="5"/>
        <v>0</v>
      </c>
      <c r="Z22" s="81"/>
      <c r="AA22" s="82"/>
      <c r="AB22" s="81">
        <f t="shared" si="6"/>
        <v>0</v>
      </c>
    </row>
    <row r="23" spans="1:29" s="1" customFormat="1" ht="17" x14ac:dyDescent="0.2">
      <c r="A23" s="61">
        <v>98</v>
      </c>
      <c r="B23" s="60" t="s">
        <v>1697</v>
      </c>
      <c r="C23" s="60"/>
      <c r="D23" s="61" t="s">
        <v>251</v>
      </c>
      <c r="E23" s="61" t="s">
        <v>23</v>
      </c>
      <c r="F23" s="61"/>
      <c r="G23" s="60" t="s">
        <v>1728</v>
      </c>
      <c r="J23" s="63"/>
      <c r="K23" s="1">
        <v>0.5</v>
      </c>
      <c r="R23" s="1">
        <f t="shared" si="7"/>
        <v>0</v>
      </c>
      <c r="S23" s="1">
        <f t="shared" si="1"/>
        <v>0</v>
      </c>
      <c r="T23" s="1">
        <f t="shared" si="2"/>
        <v>0</v>
      </c>
      <c r="U23" s="1">
        <f t="shared" si="3"/>
        <v>0</v>
      </c>
      <c r="V23" s="1">
        <v>20</v>
      </c>
      <c r="W23" s="1">
        <f t="shared" si="4"/>
        <v>0</v>
      </c>
      <c r="X23" s="81"/>
      <c r="Y23" s="82">
        <f t="shared" si="5"/>
        <v>0</v>
      </c>
      <c r="Z23" s="81"/>
      <c r="AA23" s="82"/>
      <c r="AB23" s="81">
        <f t="shared" si="6"/>
        <v>0</v>
      </c>
    </row>
    <row r="24" spans="1:29" s="1" customFormat="1" ht="17" x14ac:dyDescent="0.2">
      <c r="A24" s="61">
        <v>100</v>
      </c>
      <c r="B24" s="60" t="s">
        <v>1698</v>
      </c>
      <c r="C24" s="60"/>
      <c r="D24" s="61" t="s">
        <v>251</v>
      </c>
      <c r="E24" s="61" t="s">
        <v>23</v>
      </c>
      <c r="F24" s="61"/>
      <c r="G24" s="60" t="s">
        <v>1728</v>
      </c>
      <c r="J24" s="63"/>
      <c r="K24" s="1">
        <v>0.5</v>
      </c>
      <c r="R24" s="1">
        <f t="shared" si="7"/>
        <v>0</v>
      </c>
      <c r="S24" s="1">
        <f t="shared" si="1"/>
        <v>0</v>
      </c>
      <c r="T24" s="1">
        <f t="shared" si="2"/>
        <v>0</v>
      </c>
      <c r="U24" s="1">
        <f t="shared" si="3"/>
        <v>0</v>
      </c>
      <c r="V24" s="1">
        <v>20</v>
      </c>
      <c r="W24" s="1">
        <f t="shared" si="4"/>
        <v>0</v>
      </c>
      <c r="X24" s="81"/>
      <c r="Y24" s="82">
        <f t="shared" si="5"/>
        <v>0</v>
      </c>
      <c r="Z24" s="81"/>
      <c r="AA24" s="82"/>
      <c r="AB24" s="81">
        <f t="shared" si="6"/>
        <v>0</v>
      </c>
    </row>
    <row r="25" spans="1:29" s="1" customFormat="1" ht="17" x14ac:dyDescent="0.2">
      <c r="A25" s="61">
        <v>101</v>
      </c>
      <c r="B25" s="60" t="s">
        <v>1698</v>
      </c>
      <c r="C25" s="60"/>
      <c r="D25" s="61" t="s">
        <v>251</v>
      </c>
      <c r="E25" s="61" t="s">
        <v>23</v>
      </c>
      <c r="F25" s="61"/>
      <c r="G25" s="60" t="s">
        <v>1728</v>
      </c>
      <c r="J25" s="63"/>
      <c r="K25" s="1">
        <v>0.5</v>
      </c>
      <c r="R25" s="1">
        <f t="shared" si="7"/>
        <v>0</v>
      </c>
      <c r="S25" s="1">
        <f t="shared" si="1"/>
        <v>0</v>
      </c>
      <c r="T25" s="1">
        <f t="shared" si="2"/>
        <v>0</v>
      </c>
      <c r="U25" s="1">
        <f t="shared" si="3"/>
        <v>0</v>
      </c>
      <c r="V25" s="1">
        <v>20</v>
      </c>
      <c r="W25" s="1">
        <f t="shared" si="4"/>
        <v>0</v>
      </c>
      <c r="X25" s="81"/>
      <c r="Y25" s="82">
        <f t="shared" si="5"/>
        <v>0</v>
      </c>
      <c r="Z25" s="81"/>
      <c r="AA25" s="82"/>
      <c r="AB25" s="81">
        <f t="shared" si="6"/>
        <v>0</v>
      </c>
    </row>
    <row r="26" spans="1:29" s="1" customFormat="1" ht="17" x14ac:dyDescent="0.2">
      <c r="A26" s="61">
        <v>102</v>
      </c>
      <c r="B26" s="60" t="s">
        <v>1698</v>
      </c>
      <c r="C26" s="60"/>
      <c r="D26" s="61" t="s">
        <v>251</v>
      </c>
      <c r="E26" s="61" t="s">
        <v>23</v>
      </c>
      <c r="F26" s="61"/>
      <c r="G26" s="60"/>
      <c r="J26" s="63"/>
      <c r="K26" s="1">
        <v>0.5</v>
      </c>
      <c r="R26" s="1">
        <f t="shared" si="7"/>
        <v>0</v>
      </c>
      <c r="S26" s="1">
        <f t="shared" si="1"/>
        <v>0</v>
      </c>
      <c r="T26" s="1">
        <f t="shared" si="2"/>
        <v>0</v>
      </c>
      <c r="U26" s="1">
        <f t="shared" si="3"/>
        <v>0</v>
      </c>
      <c r="V26" s="1">
        <v>20</v>
      </c>
      <c r="W26" s="1">
        <f t="shared" si="4"/>
        <v>0</v>
      </c>
      <c r="X26" s="81"/>
      <c r="Y26" s="82">
        <f t="shared" si="5"/>
        <v>0</v>
      </c>
      <c r="Z26" s="81"/>
      <c r="AA26" s="82"/>
      <c r="AB26" s="81">
        <f t="shared" si="6"/>
        <v>0</v>
      </c>
    </row>
    <row r="27" spans="1:29" s="1" customFormat="1" ht="17" x14ac:dyDescent="0.2">
      <c r="A27" s="61">
        <v>105</v>
      </c>
      <c r="B27" s="60" t="s">
        <v>1699</v>
      </c>
      <c r="C27" s="60"/>
      <c r="D27" s="61" t="s">
        <v>446</v>
      </c>
      <c r="E27" s="61" t="s">
        <v>23</v>
      </c>
      <c r="F27" s="61"/>
      <c r="G27" s="60" t="s">
        <v>1728</v>
      </c>
      <c r="J27" s="63"/>
      <c r="K27" s="1">
        <v>0.5</v>
      </c>
      <c r="R27" s="1">
        <f t="shared" si="7"/>
        <v>0</v>
      </c>
      <c r="S27" s="1">
        <f t="shared" si="1"/>
        <v>0</v>
      </c>
      <c r="T27" s="1">
        <f t="shared" si="2"/>
        <v>0</v>
      </c>
      <c r="U27" s="1">
        <f t="shared" si="3"/>
        <v>0</v>
      </c>
      <c r="V27" s="1">
        <v>20</v>
      </c>
      <c r="W27" s="1">
        <f t="shared" si="4"/>
        <v>0</v>
      </c>
      <c r="X27" s="81"/>
      <c r="Y27" s="82">
        <f t="shared" si="5"/>
        <v>0</v>
      </c>
      <c r="Z27" s="81"/>
      <c r="AA27" s="82"/>
      <c r="AB27" s="81">
        <f t="shared" si="6"/>
        <v>0</v>
      </c>
    </row>
    <row r="28" spans="1:29" s="1" customFormat="1" ht="17" x14ac:dyDescent="0.2">
      <c r="A28" s="61">
        <v>108</v>
      </c>
      <c r="B28" s="60" t="s">
        <v>1700</v>
      </c>
      <c r="C28" s="60"/>
      <c r="D28" s="61" t="s">
        <v>446</v>
      </c>
      <c r="E28" s="61" t="s">
        <v>23</v>
      </c>
      <c r="F28" s="61"/>
      <c r="G28" s="60"/>
      <c r="J28" s="63"/>
      <c r="K28" s="1">
        <v>0.5</v>
      </c>
      <c r="R28" s="1">
        <f t="shared" si="7"/>
        <v>0</v>
      </c>
      <c r="S28" s="1">
        <f t="shared" si="1"/>
        <v>0</v>
      </c>
      <c r="T28" s="1">
        <f t="shared" si="2"/>
        <v>0</v>
      </c>
      <c r="U28" s="1">
        <f t="shared" si="3"/>
        <v>0</v>
      </c>
      <c r="V28" s="1">
        <v>20</v>
      </c>
      <c r="W28" s="1">
        <f t="shared" si="4"/>
        <v>0</v>
      </c>
      <c r="X28" s="81"/>
      <c r="Y28" s="82">
        <f t="shared" si="5"/>
        <v>0</v>
      </c>
      <c r="Z28" s="81"/>
      <c r="AA28" s="82"/>
      <c r="AB28" s="81">
        <f t="shared" si="6"/>
        <v>0</v>
      </c>
    </row>
    <row r="29" spans="1:29" s="1" customFormat="1" ht="85" x14ac:dyDescent="0.2">
      <c r="A29" s="61">
        <v>109</v>
      </c>
      <c r="B29" s="60" t="s">
        <v>1700</v>
      </c>
      <c r="C29" s="60"/>
      <c r="D29" s="61" t="s">
        <v>446</v>
      </c>
      <c r="E29" s="61" t="s">
        <v>23</v>
      </c>
      <c r="F29" s="61"/>
      <c r="G29" s="60" t="s">
        <v>2075</v>
      </c>
      <c r="J29" s="63">
        <f>J30-I30</f>
        <v>97</v>
      </c>
      <c r="K29" s="1">
        <v>0.5</v>
      </c>
      <c r="R29" s="1">
        <f t="shared" si="7"/>
        <v>0</v>
      </c>
      <c r="S29" s="1">
        <f t="shared" si="1"/>
        <v>0</v>
      </c>
      <c r="T29" s="1">
        <f t="shared" si="2"/>
        <v>0</v>
      </c>
      <c r="U29" s="1">
        <f t="shared" si="3"/>
        <v>0</v>
      </c>
      <c r="V29" s="1">
        <v>20</v>
      </c>
      <c r="W29" s="1">
        <f t="shared" si="4"/>
        <v>0</v>
      </c>
      <c r="X29" s="81"/>
      <c r="Y29" s="82">
        <f t="shared" si="5"/>
        <v>0</v>
      </c>
      <c r="Z29" s="81"/>
      <c r="AA29" s="82"/>
      <c r="AB29" s="81">
        <f t="shared" si="6"/>
        <v>0</v>
      </c>
    </row>
    <row r="30" spans="1:29" s="93" customFormat="1" ht="17" x14ac:dyDescent="0.2">
      <c r="A30" s="84">
        <v>151</v>
      </c>
      <c r="B30" s="85" t="s">
        <v>1726</v>
      </c>
      <c r="C30" s="84">
        <v>1</v>
      </c>
      <c r="D30" s="99" t="s">
        <v>111</v>
      </c>
      <c r="E30" s="84" t="s">
        <v>23</v>
      </c>
      <c r="F30" s="84" t="s">
        <v>1986</v>
      </c>
      <c r="G30" s="85"/>
      <c r="H30" s="84" t="s">
        <v>742</v>
      </c>
      <c r="I30" s="84">
        <v>725786</v>
      </c>
      <c r="J30" s="95">
        <v>725883</v>
      </c>
      <c r="K30" s="84">
        <v>0.5</v>
      </c>
      <c r="L30" s="84">
        <v>17.2</v>
      </c>
      <c r="M30" s="84">
        <v>18.899999999999999</v>
      </c>
      <c r="N30" s="84"/>
      <c r="O30" s="84">
        <v>-38.75</v>
      </c>
      <c r="P30" s="84">
        <v>-36.799999999999997</v>
      </c>
      <c r="Q30" s="84"/>
      <c r="R30" s="84">
        <f t="shared" si="7"/>
        <v>1.6999999999999993</v>
      </c>
      <c r="S30" s="84">
        <f>P30-O30</f>
        <v>1.9500000000000028</v>
      </c>
      <c r="T30" s="84">
        <f t="shared" si="2"/>
        <v>84.999999999999957</v>
      </c>
      <c r="U30" s="84">
        <f t="shared" si="3"/>
        <v>97.500000000000142</v>
      </c>
      <c r="V30" s="84">
        <v>20</v>
      </c>
      <c r="W30" s="84">
        <f t="shared" si="4"/>
        <v>8287.5000000000073</v>
      </c>
      <c r="X30" s="96">
        <v>0.83472222222222225</v>
      </c>
      <c r="Y30" s="104">
        <f>Z30-X30</f>
        <v>4.8611111111111049E-2</v>
      </c>
      <c r="Z30" s="97">
        <v>0.8833333333333333</v>
      </c>
      <c r="AA30" s="107">
        <v>4.8611111111111112E-2</v>
      </c>
      <c r="AB30" s="98">
        <f t="shared" si="6"/>
        <v>0.88333333333333341</v>
      </c>
      <c r="AC30" s="92">
        <v>2</v>
      </c>
    </row>
    <row r="31" spans="1:29" s="93" customFormat="1" ht="17" x14ac:dyDescent="0.2">
      <c r="A31" s="86">
        <v>152</v>
      </c>
      <c r="B31" s="87" t="s">
        <v>1726</v>
      </c>
      <c r="C31" s="86">
        <v>2</v>
      </c>
      <c r="D31" s="100" t="s">
        <v>111</v>
      </c>
      <c r="E31" s="86" t="s">
        <v>23</v>
      </c>
      <c r="F31" s="86"/>
      <c r="G31" s="87"/>
      <c r="H31" s="86"/>
      <c r="I31" s="86"/>
      <c r="J31" s="88"/>
      <c r="K31" s="86">
        <v>0.5</v>
      </c>
      <c r="L31" s="86"/>
      <c r="M31" s="86"/>
      <c r="N31" s="86"/>
      <c r="O31" s="86"/>
      <c r="P31" s="86"/>
      <c r="Q31" s="86"/>
      <c r="R31" s="86">
        <f t="shared" si="7"/>
        <v>0</v>
      </c>
      <c r="S31" s="86">
        <f t="shared" ref="S31:S52" si="8">P31-O31</f>
        <v>0</v>
      </c>
      <c r="T31" s="86">
        <f t="shared" si="2"/>
        <v>0</v>
      </c>
      <c r="U31" s="86">
        <f t="shared" si="3"/>
        <v>0</v>
      </c>
      <c r="V31" s="86">
        <v>20</v>
      </c>
      <c r="W31" s="86">
        <f t="shared" si="4"/>
        <v>0</v>
      </c>
      <c r="X31" s="89"/>
      <c r="Y31" s="105">
        <f t="shared" si="5"/>
        <v>0</v>
      </c>
      <c r="Z31" s="90"/>
      <c r="AA31" s="108"/>
      <c r="AB31" s="91">
        <f t="shared" si="6"/>
        <v>0</v>
      </c>
      <c r="AC31" s="92"/>
    </row>
    <row r="32" spans="1:29" s="93" customFormat="1" ht="85" x14ac:dyDescent="0.2">
      <c r="A32" s="86">
        <v>153</v>
      </c>
      <c r="B32" s="87" t="s">
        <v>1726</v>
      </c>
      <c r="C32" s="86">
        <v>3</v>
      </c>
      <c r="D32" s="100" t="s">
        <v>111</v>
      </c>
      <c r="E32" s="86" t="s">
        <v>23</v>
      </c>
      <c r="F32" s="86"/>
      <c r="G32" s="87" t="s">
        <v>2075</v>
      </c>
      <c r="H32" s="86"/>
      <c r="I32" s="86"/>
      <c r="J32" s="88"/>
      <c r="K32" s="86">
        <v>0.5</v>
      </c>
      <c r="L32" s="86"/>
      <c r="M32" s="86"/>
      <c r="N32" s="86"/>
      <c r="O32" s="86"/>
      <c r="P32" s="86"/>
      <c r="Q32" s="86"/>
      <c r="R32" s="86">
        <f t="shared" si="7"/>
        <v>0</v>
      </c>
      <c r="S32" s="86">
        <f t="shared" si="8"/>
        <v>0</v>
      </c>
      <c r="T32" s="86">
        <f t="shared" si="2"/>
        <v>0</v>
      </c>
      <c r="U32" s="86">
        <f t="shared" si="3"/>
        <v>0</v>
      </c>
      <c r="V32" s="86">
        <v>20</v>
      </c>
      <c r="W32" s="86">
        <f t="shared" si="4"/>
        <v>0</v>
      </c>
      <c r="X32" s="89"/>
      <c r="Y32" s="105">
        <f t="shared" si="5"/>
        <v>0</v>
      </c>
      <c r="Z32" s="90"/>
      <c r="AA32" s="108"/>
      <c r="AB32" s="91">
        <f t="shared" si="6"/>
        <v>0</v>
      </c>
      <c r="AC32" s="92"/>
    </row>
    <row r="33" spans="1:29" s="93" customFormat="1" ht="17" x14ac:dyDescent="0.2">
      <c r="A33" s="84">
        <v>154</v>
      </c>
      <c r="B33" s="85" t="s">
        <v>1727</v>
      </c>
      <c r="C33" s="84">
        <v>4</v>
      </c>
      <c r="D33" s="99" t="s">
        <v>111</v>
      </c>
      <c r="E33" s="84" t="s">
        <v>23</v>
      </c>
      <c r="F33" s="84" t="s">
        <v>1986</v>
      </c>
      <c r="G33" s="84" t="s">
        <v>2141</v>
      </c>
      <c r="H33" s="84" t="s">
        <v>742</v>
      </c>
      <c r="I33" s="84">
        <v>725884</v>
      </c>
      <c r="J33" s="95">
        <v>725941</v>
      </c>
      <c r="K33" s="84">
        <v>0.5</v>
      </c>
      <c r="L33" s="84">
        <v>19.75</v>
      </c>
      <c r="M33" s="84">
        <v>20.85</v>
      </c>
      <c r="N33" s="84"/>
      <c r="O33" s="84">
        <v>-39.1</v>
      </c>
      <c r="P33" s="84">
        <v>-36.700000000000003</v>
      </c>
      <c r="Q33" s="84"/>
      <c r="R33" s="84">
        <f t="shared" si="7"/>
        <v>1.1000000000000014</v>
      </c>
      <c r="S33" s="84">
        <f>P33-O33</f>
        <v>2.3999999999999986</v>
      </c>
      <c r="T33" s="84">
        <f>R33/(V33/1000)</f>
        <v>55.000000000000071</v>
      </c>
      <c r="U33" s="84">
        <f>S33/(V33/1000)</f>
        <v>119.99999999999993</v>
      </c>
      <c r="V33" s="84">
        <v>20</v>
      </c>
      <c r="W33" s="84">
        <f>T33*U33</f>
        <v>6600.0000000000045</v>
      </c>
      <c r="X33" s="96">
        <v>0.90347222222222223</v>
      </c>
      <c r="Y33" s="104">
        <f>Z33-X33</f>
        <v>3.5416666666666652E-2</v>
      </c>
      <c r="Z33" s="97">
        <v>0.93888888888888888</v>
      </c>
      <c r="AA33" s="107">
        <v>3.5416666666666666E-2</v>
      </c>
      <c r="AB33" s="98">
        <f>X33+AA33</f>
        <v>0.93888888888888888</v>
      </c>
      <c r="AC33" s="92"/>
    </row>
    <row r="34" spans="1:29" s="93" customFormat="1" x14ac:dyDescent="0.2">
      <c r="A34" s="86"/>
      <c r="B34" s="87"/>
      <c r="C34" s="86"/>
      <c r="D34" s="100"/>
      <c r="E34" s="86"/>
      <c r="F34" s="86"/>
      <c r="G34" s="87"/>
      <c r="H34" s="86"/>
      <c r="I34" s="86"/>
      <c r="J34" s="88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9"/>
      <c r="Y34" s="105"/>
      <c r="Z34" s="90"/>
      <c r="AA34" s="108"/>
      <c r="AB34" s="91"/>
      <c r="AC34" s="92"/>
    </row>
    <row r="35" spans="1:29" s="93" customFormat="1" ht="17" x14ac:dyDescent="0.2">
      <c r="A35" s="86">
        <v>155</v>
      </c>
      <c r="B35" s="87" t="s">
        <v>1727</v>
      </c>
      <c r="C35" s="86">
        <v>5</v>
      </c>
      <c r="D35" s="100" t="s">
        <v>111</v>
      </c>
      <c r="E35" s="86" t="s">
        <v>23</v>
      </c>
      <c r="F35" s="86"/>
      <c r="G35" s="87"/>
      <c r="H35" s="86"/>
      <c r="I35" s="86"/>
      <c r="J35" s="88"/>
      <c r="K35" s="86">
        <v>0.5</v>
      </c>
      <c r="L35" s="86"/>
      <c r="M35" s="86"/>
      <c r="N35" s="86"/>
      <c r="O35" s="86"/>
      <c r="P35" s="86"/>
      <c r="Q35" s="86"/>
      <c r="R35" s="86">
        <f t="shared" ref="R35:R52" si="9">M35-L35</f>
        <v>0</v>
      </c>
      <c r="S35" s="86">
        <f t="shared" si="8"/>
        <v>0</v>
      </c>
      <c r="T35" s="86">
        <f t="shared" si="2"/>
        <v>0</v>
      </c>
      <c r="U35" s="86">
        <f t="shared" si="3"/>
        <v>0</v>
      </c>
      <c r="V35" s="86">
        <v>20</v>
      </c>
      <c r="W35" s="86">
        <f t="shared" si="4"/>
        <v>0</v>
      </c>
      <c r="X35" s="89"/>
      <c r="Y35" s="105">
        <f t="shared" si="5"/>
        <v>0</v>
      </c>
      <c r="Z35" s="90"/>
      <c r="AA35" s="108"/>
      <c r="AB35" s="91">
        <f t="shared" si="6"/>
        <v>0</v>
      </c>
      <c r="AC35" s="92"/>
    </row>
    <row r="36" spans="1:29" s="93" customFormat="1" ht="17" x14ac:dyDescent="0.2">
      <c r="A36" s="86">
        <v>156</v>
      </c>
      <c r="B36" s="87" t="s">
        <v>2142</v>
      </c>
      <c r="C36" s="86">
        <v>6</v>
      </c>
      <c r="D36" s="100" t="s">
        <v>111</v>
      </c>
      <c r="E36" s="86" t="s">
        <v>23</v>
      </c>
      <c r="F36" s="86"/>
      <c r="G36" s="87"/>
      <c r="H36" s="86"/>
      <c r="I36" s="86"/>
      <c r="J36" s="88"/>
      <c r="K36" s="86">
        <v>0.5</v>
      </c>
      <c r="L36" s="86"/>
      <c r="M36" s="86"/>
      <c r="N36" s="86"/>
      <c r="O36" s="86"/>
      <c r="P36" s="86"/>
      <c r="Q36" s="86"/>
      <c r="R36" s="86">
        <f t="shared" si="9"/>
        <v>0</v>
      </c>
      <c r="S36" s="86">
        <f t="shared" si="8"/>
        <v>0</v>
      </c>
      <c r="T36" s="86">
        <f t="shared" si="2"/>
        <v>0</v>
      </c>
      <c r="U36" s="86">
        <f t="shared" si="3"/>
        <v>0</v>
      </c>
      <c r="V36" s="86">
        <v>20</v>
      </c>
      <c r="W36" s="86">
        <f t="shared" si="4"/>
        <v>0</v>
      </c>
      <c r="X36" s="89"/>
      <c r="Y36" s="105">
        <f t="shared" si="5"/>
        <v>0</v>
      </c>
      <c r="Z36" s="90"/>
      <c r="AA36" s="108"/>
      <c r="AB36" s="91">
        <f t="shared" si="6"/>
        <v>0</v>
      </c>
      <c r="AC36" s="92"/>
    </row>
    <row r="37" spans="1:29" s="93" customFormat="1" ht="17" x14ac:dyDescent="0.2">
      <c r="A37" s="84">
        <v>157</v>
      </c>
      <c r="B37" s="85" t="s">
        <v>1729</v>
      </c>
      <c r="C37" s="84">
        <v>7</v>
      </c>
      <c r="D37" s="99" t="s">
        <v>251</v>
      </c>
      <c r="E37" s="84" t="s">
        <v>23</v>
      </c>
      <c r="F37" s="84" t="s">
        <v>1986</v>
      </c>
      <c r="G37" s="85"/>
      <c r="H37" s="84" t="s">
        <v>742</v>
      </c>
      <c r="I37" s="84">
        <v>725637</v>
      </c>
      <c r="J37" s="95"/>
      <c r="K37" s="84">
        <v>0.5</v>
      </c>
      <c r="L37" s="84">
        <v>19.55</v>
      </c>
      <c r="M37" s="84">
        <v>20.75</v>
      </c>
      <c r="N37" s="84"/>
      <c r="O37" s="84">
        <v>-38.6</v>
      </c>
      <c r="P37" s="84">
        <v>-36.5</v>
      </c>
      <c r="Q37" s="84"/>
      <c r="R37" s="84">
        <f t="shared" si="9"/>
        <v>1.1999999999999993</v>
      </c>
      <c r="S37" s="84">
        <f t="shared" si="8"/>
        <v>2.1000000000000014</v>
      </c>
      <c r="T37" s="84">
        <f t="shared" si="2"/>
        <v>59.999999999999964</v>
      </c>
      <c r="U37" s="84">
        <f t="shared" si="3"/>
        <v>105.00000000000007</v>
      </c>
      <c r="V37" s="84">
        <v>20</v>
      </c>
      <c r="W37" s="84">
        <f t="shared" si="4"/>
        <v>6300.0000000000009</v>
      </c>
      <c r="X37" s="96">
        <v>0.37986111111111115</v>
      </c>
      <c r="Y37" s="104">
        <f>Z37-X37</f>
        <v>3.6805555555555536E-2</v>
      </c>
      <c r="Z37" s="97">
        <v>0.41666666666666669</v>
      </c>
      <c r="AA37" s="107">
        <v>3.6805555555555557E-2</v>
      </c>
      <c r="AB37" s="98">
        <f t="shared" si="6"/>
        <v>0.41666666666666669</v>
      </c>
      <c r="AC37" s="92"/>
    </row>
    <row r="38" spans="1:29" s="93" customFormat="1" ht="17" x14ac:dyDescent="0.2">
      <c r="A38" s="86">
        <v>158</v>
      </c>
      <c r="B38" s="87" t="s">
        <v>1729</v>
      </c>
      <c r="C38" s="86">
        <v>8</v>
      </c>
      <c r="D38" s="100" t="s">
        <v>251</v>
      </c>
      <c r="E38" s="86" t="s">
        <v>23</v>
      </c>
      <c r="F38" s="86"/>
      <c r="G38" s="87"/>
      <c r="H38" s="86"/>
      <c r="I38" s="86"/>
      <c r="J38" s="88"/>
      <c r="K38" s="86">
        <v>0.5</v>
      </c>
      <c r="L38" s="86"/>
      <c r="M38" s="86"/>
      <c r="N38" s="86"/>
      <c r="O38" s="86"/>
      <c r="P38" s="86"/>
      <c r="Q38" s="86"/>
      <c r="R38" s="86">
        <f t="shared" si="9"/>
        <v>0</v>
      </c>
      <c r="S38" s="86">
        <f t="shared" si="8"/>
        <v>0</v>
      </c>
      <c r="T38" s="86">
        <f t="shared" si="2"/>
        <v>0</v>
      </c>
      <c r="U38" s="86">
        <f t="shared" si="3"/>
        <v>0</v>
      </c>
      <c r="V38" s="86">
        <v>20</v>
      </c>
      <c r="W38" s="86">
        <f t="shared" si="4"/>
        <v>0</v>
      </c>
      <c r="X38" s="89"/>
      <c r="Y38" s="105">
        <f t="shared" si="5"/>
        <v>0</v>
      </c>
      <c r="Z38" s="90"/>
      <c r="AA38" s="108"/>
      <c r="AB38" s="91">
        <f t="shared" si="6"/>
        <v>0</v>
      </c>
      <c r="AC38" s="92"/>
    </row>
    <row r="39" spans="1:29" s="93" customFormat="1" ht="17" x14ac:dyDescent="0.2">
      <c r="A39" s="86">
        <v>159</v>
      </c>
      <c r="B39" s="87" t="s">
        <v>1729</v>
      </c>
      <c r="C39" s="86">
        <v>9</v>
      </c>
      <c r="D39" s="100" t="s">
        <v>251</v>
      </c>
      <c r="E39" s="86" t="s">
        <v>23</v>
      </c>
      <c r="F39" s="86"/>
      <c r="G39" s="87"/>
      <c r="H39" s="86"/>
      <c r="I39" s="86"/>
      <c r="J39" s="88"/>
      <c r="K39" s="86">
        <v>0.5</v>
      </c>
      <c r="L39" s="86"/>
      <c r="M39" s="86"/>
      <c r="N39" s="86"/>
      <c r="O39" s="86"/>
      <c r="P39" s="86"/>
      <c r="Q39" s="86"/>
      <c r="R39" s="86">
        <f t="shared" si="9"/>
        <v>0</v>
      </c>
      <c r="S39" s="86">
        <f t="shared" si="8"/>
        <v>0</v>
      </c>
      <c r="T39" s="86">
        <f t="shared" si="2"/>
        <v>0</v>
      </c>
      <c r="U39" s="86">
        <f t="shared" si="3"/>
        <v>0</v>
      </c>
      <c r="V39" s="86">
        <v>20</v>
      </c>
      <c r="W39" s="86">
        <f t="shared" si="4"/>
        <v>0</v>
      </c>
      <c r="X39" s="89"/>
      <c r="Y39" s="105">
        <f t="shared" si="5"/>
        <v>0</v>
      </c>
      <c r="Z39" s="90"/>
      <c r="AA39" s="108"/>
      <c r="AB39" s="91">
        <f t="shared" si="6"/>
        <v>0</v>
      </c>
      <c r="AC39" s="92"/>
    </row>
    <row r="40" spans="1:29" s="93" customFormat="1" ht="17" x14ac:dyDescent="0.2">
      <c r="A40" s="86">
        <v>160</v>
      </c>
      <c r="B40" s="87" t="s">
        <v>2143</v>
      </c>
      <c r="C40" s="86">
        <v>10</v>
      </c>
      <c r="D40" s="100" t="s">
        <v>251</v>
      </c>
      <c r="E40" s="86" t="s">
        <v>23</v>
      </c>
      <c r="F40" s="86"/>
      <c r="G40" s="87"/>
      <c r="H40" s="86"/>
      <c r="I40" s="86"/>
      <c r="J40" s="88"/>
      <c r="K40" s="86">
        <v>0.5</v>
      </c>
      <c r="L40" s="86"/>
      <c r="M40" s="86"/>
      <c r="N40" s="86"/>
      <c r="O40" s="86"/>
      <c r="P40" s="86"/>
      <c r="Q40" s="86"/>
      <c r="R40" s="86">
        <f t="shared" si="9"/>
        <v>0</v>
      </c>
      <c r="S40" s="86">
        <f t="shared" si="8"/>
        <v>0</v>
      </c>
      <c r="T40" s="86">
        <f t="shared" si="2"/>
        <v>0</v>
      </c>
      <c r="U40" s="86">
        <f t="shared" si="3"/>
        <v>0</v>
      </c>
      <c r="V40" s="86">
        <v>20</v>
      </c>
      <c r="W40" s="86">
        <f t="shared" si="4"/>
        <v>0</v>
      </c>
      <c r="X40" s="89"/>
      <c r="Y40" s="105">
        <f t="shared" si="5"/>
        <v>0</v>
      </c>
      <c r="Z40" s="90"/>
      <c r="AA40" s="108"/>
      <c r="AB40" s="91">
        <f t="shared" si="6"/>
        <v>0</v>
      </c>
      <c r="AC40" s="92"/>
    </row>
    <row r="41" spans="1:29" s="93" customFormat="1" ht="17" x14ac:dyDescent="0.2">
      <c r="A41" s="86">
        <v>161</v>
      </c>
      <c r="B41" s="87" t="s">
        <v>2143</v>
      </c>
      <c r="C41" s="86">
        <v>11</v>
      </c>
      <c r="D41" s="100" t="s">
        <v>251</v>
      </c>
      <c r="E41" s="86" t="s">
        <v>23</v>
      </c>
      <c r="F41" s="86"/>
      <c r="G41" s="87"/>
      <c r="H41" s="86"/>
      <c r="I41" s="86"/>
      <c r="J41" s="88"/>
      <c r="K41" s="86">
        <v>0.5</v>
      </c>
      <c r="L41" s="86"/>
      <c r="M41" s="86"/>
      <c r="N41" s="86"/>
      <c r="O41" s="86"/>
      <c r="P41" s="86"/>
      <c r="Q41" s="86"/>
      <c r="R41" s="86">
        <f t="shared" si="9"/>
        <v>0</v>
      </c>
      <c r="S41" s="86">
        <f t="shared" si="8"/>
        <v>0</v>
      </c>
      <c r="T41" s="86">
        <f t="shared" si="2"/>
        <v>0</v>
      </c>
      <c r="U41" s="86">
        <f t="shared" si="3"/>
        <v>0</v>
      </c>
      <c r="V41" s="86">
        <v>20</v>
      </c>
      <c r="W41" s="86">
        <f t="shared" si="4"/>
        <v>0</v>
      </c>
      <c r="X41" s="89"/>
      <c r="Y41" s="105">
        <f t="shared" si="5"/>
        <v>0</v>
      </c>
      <c r="Z41" s="90"/>
      <c r="AA41" s="108"/>
      <c r="AB41" s="91">
        <f t="shared" si="6"/>
        <v>0</v>
      </c>
      <c r="AC41" s="92"/>
    </row>
    <row r="42" spans="1:29" s="93" customFormat="1" ht="17" x14ac:dyDescent="0.2">
      <c r="A42" s="86">
        <v>162</v>
      </c>
      <c r="B42" s="87" t="s">
        <v>2143</v>
      </c>
      <c r="C42" s="86">
        <v>12</v>
      </c>
      <c r="D42" s="100" t="s">
        <v>251</v>
      </c>
      <c r="E42" s="86" t="s">
        <v>23</v>
      </c>
      <c r="F42" s="86"/>
      <c r="G42" s="87"/>
      <c r="H42" s="86"/>
      <c r="I42" s="86"/>
      <c r="J42" s="88"/>
      <c r="K42" s="86">
        <v>0.5</v>
      </c>
      <c r="L42" s="86"/>
      <c r="M42" s="86"/>
      <c r="N42" s="86"/>
      <c r="O42" s="86"/>
      <c r="P42" s="86"/>
      <c r="Q42" s="86"/>
      <c r="R42" s="86">
        <f t="shared" si="9"/>
        <v>0</v>
      </c>
      <c r="S42" s="86">
        <f t="shared" si="8"/>
        <v>0</v>
      </c>
      <c r="T42" s="86">
        <f t="shared" si="2"/>
        <v>0</v>
      </c>
      <c r="U42" s="86">
        <f t="shared" si="3"/>
        <v>0</v>
      </c>
      <c r="V42" s="86">
        <v>20</v>
      </c>
      <c r="W42" s="86">
        <f t="shared" si="4"/>
        <v>0</v>
      </c>
      <c r="X42" s="89"/>
      <c r="Y42" s="105">
        <f t="shared" si="5"/>
        <v>0</v>
      </c>
      <c r="Z42" s="90"/>
      <c r="AA42" s="108"/>
      <c r="AB42" s="91">
        <f t="shared" si="6"/>
        <v>0</v>
      </c>
      <c r="AC42" s="92"/>
    </row>
    <row r="43" spans="1:29" s="93" customFormat="1" ht="17" x14ac:dyDescent="0.2">
      <c r="A43" s="84">
        <v>163</v>
      </c>
      <c r="B43" s="85" t="s">
        <v>1730</v>
      </c>
      <c r="C43" s="84">
        <v>13</v>
      </c>
      <c r="D43" s="99" t="s">
        <v>560</v>
      </c>
      <c r="E43" s="84" t="s">
        <v>23</v>
      </c>
      <c r="F43" s="84" t="s">
        <v>2144</v>
      </c>
      <c r="G43" s="84" t="s">
        <v>2145</v>
      </c>
      <c r="H43" s="84" t="s">
        <v>742</v>
      </c>
      <c r="I43" s="84">
        <v>725396</v>
      </c>
      <c r="J43" s="95">
        <v>725488</v>
      </c>
      <c r="K43" s="84">
        <v>0.5</v>
      </c>
      <c r="L43" s="84">
        <v>19.899999999999999</v>
      </c>
      <c r="M43" s="84">
        <v>21</v>
      </c>
      <c r="N43" s="84">
        <v>20.45</v>
      </c>
      <c r="O43" s="84">
        <v>-38.15</v>
      </c>
      <c r="P43" s="84">
        <v>-36.299999999999997</v>
      </c>
      <c r="Q43" s="84">
        <v>37.229999999999997</v>
      </c>
      <c r="R43" s="84">
        <f t="shared" si="9"/>
        <v>1.1000000000000014</v>
      </c>
      <c r="S43" s="84">
        <f t="shared" si="8"/>
        <v>1.8500000000000014</v>
      </c>
      <c r="T43" s="84">
        <f t="shared" si="2"/>
        <v>55.000000000000071</v>
      </c>
      <c r="U43" s="84">
        <f>S43/(V43/1000)</f>
        <v>92.500000000000071</v>
      </c>
      <c r="V43" s="84">
        <v>20</v>
      </c>
      <c r="W43" s="84">
        <f t="shared" si="4"/>
        <v>5087.5000000000109</v>
      </c>
      <c r="X43" s="96">
        <v>0.51874999999999993</v>
      </c>
      <c r="Y43" s="104">
        <f t="shared" si="5"/>
        <v>3.3333333333333437E-2</v>
      </c>
      <c r="Z43" s="97">
        <v>0.55208333333333337</v>
      </c>
      <c r="AA43" s="107">
        <v>2.9166666666666664E-2</v>
      </c>
      <c r="AB43" s="98">
        <f t="shared" si="6"/>
        <v>0.54791666666666661</v>
      </c>
      <c r="AC43" s="92"/>
    </row>
    <row r="44" spans="1:29" s="93" customFormat="1" ht="17" x14ac:dyDescent="0.2">
      <c r="A44" s="86">
        <v>164</v>
      </c>
      <c r="B44" s="87" t="s">
        <v>1730</v>
      </c>
      <c r="C44" s="86">
        <v>14</v>
      </c>
      <c r="D44" s="100" t="s">
        <v>560</v>
      </c>
      <c r="E44" s="86" t="s">
        <v>23</v>
      </c>
      <c r="F44" s="86"/>
      <c r="G44" s="87"/>
      <c r="H44" s="86"/>
      <c r="I44" s="86"/>
      <c r="J44" s="88"/>
      <c r="K44" s="86">
        <v>0.5</v>
      </c>
      <c r="L44" s="86"/>
      <c r="M44" s="86"/>
      <c r="N44" s="86"/>
      <c r="O44" s="86"/>
      <c r="P44" s="86"/>
      <c r="Q44" s="86"/>
      <c r="R44" s="86">
        <f t="shared" si="9"/>
        <v>0</v>
      </c>
      <c r="S44" s="86">
        <f t="shared" si="8"/>
        <v>0</v>
      </c>
      <c r="T44" s="86">
        <f t="shared" si="2"/>
        <v>0</v>
      </c>
      <c r="U44" s="86">
        <f t="shared" si="3"/>
        <v>0</v>
      </c>
      <c r="V44" s="86">
        <v>20</v>
      </c>
      <c r="W44" s="86">
        <f t="shared" si="4"/>
        <v>0</v>
      </c>
      <c r="X44" s="89"/>
      <c r="Y44" s="105">
        <f t="shared" si="5"/>
        <v>0</v>
      </c>
      <c r="Z44" s="90"/>
      <c r="AA44" s="108"/>
      <c r="AB44" s="91">
        <f t="shared" si="6"/>
        <v>0</v>
      </c>
      <c r="AC44" s="92"/>
    </row>
    <row r="45" spans="1:29" s="93" customFormat="1" ht="17" x14ac:dyDescent="0.2">
      <c r="A45" s="86">
        <v>165</v>
      </c>
      <c r="B45" s="87" t="s">
        <v>2146</v>
      </c>
      <c r="C45" s="86">
        <v>15</v>
      </c>
      <c r="D45" s="100" t="s">
        <v>560</v>
      </c>
      <c r="E45" s="86" t="s">
        <v>23</v>
      </c>
      <c r="F45" s="86"/>
      <c r="G45" s="87"/>
      <c r="H45" s="86"/>
      <c r="I45" s="86"/>
      <c r="J45" s="88"/>
      <c r="K45" s="86">
        <v>0.5</v>
      </c>
      <c r="L45" s="86"/>
      <c r="M45" s="86"/>
      <c r="N45" s="86"/>
      <c r="O45" s="86"/>
      <c r="P45" s="86"/>
      <c r="Q45" s="86"/>
      <c r="R45" s="86">
        <f t="shared" si="9"/>
        <v>0</v>
      </c>
      <c r="S45" s="86">
        <f t="shared" si="8"/>
        <v>0</v>
      </c>
      <c r="T45" s="86">
        <f t="shared" si="2"/>
        <v>0</v>
      </c>
      <c r="U45" s="86">
        <f t="shared" si="3"/>
        <v>0</v>
      </c>
      <c r="V45" s="86">
        <v>20</v>
      </c>
      <c r="W45" s="86">
        <f t="shared" si="4"/>
        <v>0</v>
      </c>
      <c r="X45" s="89"/>
      <c r="Y45" s="105">
        <f t="shared" si="5"/>
        <v>0</v>
      </c>
      <c r="Z45" s="90"/>
      <c r="AA45" s="108"/>
      <c r="AB45" s="91">
        <f t="shared" si="6"/>
        <v>0</v>
      </c>
      <c r="AC45" s="92"/>
    </row>
    <row r="46" spans="1:29" s="93" customFormat="1" ht="17" x14ac:dyDescent="0.2">
      <c r="A46" s="84">
        <v>166</v>
      </c>
      <c r="B46" s="85" t="s">
        <v>2146</v>
      </c>
      <c r="C46" s="84">
        <v>16</v>
      </c>
      <c r="D46" s="99" t="s">
        <v>560</v>
      </c>
      <c r="E46" s="84" t="s">
        <v>23</v>
      </c>
      <c r="F46" s="84"/>
      <c r="G46" s="85" t="s">
        <v>332</v>
      </c>
      <c r="H46" s="84" t="s">
        <v>742</v>
      </c>
      <c r="I46" s="84" t="s">
        <v>710</v>
      </c>
      <c r="J46" s="95" t="s">
        <v>710</v>
      </c>
      <c r="K46" s="84">
        <v>0.5</v>
      </c>
      <c r="L46" s="84"/>
      <c r="M46" s="84"/>
      <c r="N46" s="84"/>
      <c r="O46" s="84"/>
      <c r="P46" s="84"/>
      <c r="Q46" s="84"/>
      <c r="R46" s="84">
        <f t="shared" si="9"/>
        <v>0</v>
      </c>
      <c r="S46" s="84">
        <f t="shared" si="8"/>
        <v>0</v>
      </c>
      <c r="T46" s="84">
        <f t="shared" si="2"/>
        <v>0</v>
      </c>
      <c r="U46" s="84">
        <f t="shared" si="3"/>
        <v>0</v>
      </c>
      <c r="V46" s="84">
        <v>20</v>
      </c>
      <c r="W46" s="84">
        <f t="shared" si="4"/>
        <v>0</v>
      </c>
      <c r="X46" s="96"/>
      <c r="Y46" s="104">
        <f t="shared" si="5"/>
        <v>0</v>
      </c>
      <c r="Z46" s="97"/>
      <c r="AA46" s="107"/>
      <c r="AB46" s="98">
        <f t="shared" si="6"/>
        <v>0</v>
      </c>
      <c r="AC46" s="92"/>
    </row>
    <row r="47" spans="1:29" s="93" customFormat="1" ht="17" x14ac:dyDescent="0.2">
      <c r="A47" s="84">
        <v>167</v>
      </c>
      <c r="B47" s="85" t="s">
        <v>1731</v>
      </c>
      <c r="C47" s="84">
        <v>17</v>
      </c>
      <c r="D47" s="99" t="s">
        <v>560</v>
      </c>
      <c r="E47" s="84" t="s">
        <v>23</v>
      </c>
      <c r="F47" s="84"/>
      <c r="G47" s="85" t="s">
        <v>332</v>
      </c>
      <c r="H47" s="84" t="s">
        <v>742</v>
      </c>
      <c r="I47" s="84" t="s">
        <v>710</v>
      </c>
      <c r="J47" s="95" t="s">
        <v>710</v>
      </c>
      <c r="K47" s="84">
        <v>0.5</v>
      </c>
      <c r="L47" s="84"/>
      <c r="M47" s="84"/>
      <c r="N47" s="84"/>
      <c r="O47" s="84"/>
      <c r="P47" s="84"/>
      <c r="Q47" s="84"/>
      <c r="R47" s="84">
        <f t="shared" si="9"/>
        <v>0</v>
      </c>
      <c r="S47" s="84">
        <f t="shared" si="8"/>
        <v>0</v>
      </c>
      <c r="T47" s="84">
        <f t="shared" si="2"/>
        <v>0</v>
      </c>
      <c r="U47" s="84">
        <f t="shared" si="3"/>
        <v>0</v>
      </c>
      <c r="V47" s="84">
        <v>20</v>
      </c>
      <c r="W47" s="84">
        <f t="shared" si="4"/>
        <v>0</v>
      </c>
      <c r="X47" s="96"/>
      <c r="Y47" s="104">
        <f t="shared" si="5"/>
        <v>0</v>
      </c>
      <c r="Z47" s="97"/>
      <c r="AA47" s="107"/>
      <c r="AB47" s="98">
        <f t="shared" si="6"/>
        <v>0</v>
      </c>
      <c r="AC47" s="92"/>
    </row>
    <row r="48" spans="1:29" s="93" customFormat="1" ht="17" x14ac:dyDescent="0.2">
      <c r="A48" s="84">
        <v>168</v>
      </c>
      <c r="B48" s="85" t="s">
        <v>1731</v>
      </c>
      <c r="C48" s="84">
        <v>18</v>
      </c>
      <c r="D48" s="99" t="s">
        <v>560</v>
      </c>
      <c r="E48" s="84" t="s">
        <v>23</v>
      </c>
      <c r="F48" s="84"/>
      <c r="G48" s="85"/>
      <c r="H48" s="84" t="s">
        <v>742</v>
      </c>
      <c r="I48" s="84">
        <v>725492</v>
      </c>
      <c r="J48" s="95">
        <v>725582</v>
      </c>
      <c r="K48" s="84">
        <v>0.5</v>
      </c>
      <c r="L48" s="84">
        <v>21.2</v>
      </c>
      <c r="M48" s="84">
        <v>22</v>
      </c>
      <c r="N48" s="84">
        <v>21.7</v>
      </c>
      <c r="O48" s="84">
        <v>-38.5</v>
      </c>
      <c r="P48" s="84">
        <v>-36.700000000000003</v>
      </c>
      <c r="Q48" s="84">
        <v>-37.4</v>
      </c>
      <c r="R48" s="84">
        <f t="shared" si="9"/>
        <v>0.80000000000000071</v>
      </c>
      <c r="S48" s="84">
        <f t="shared" si="8"/>
        <v>1.7999999999999972</v>
      </c>
      <c r="T48" s="84">
        <f t="shared" si="2"/>
        <v>40.000000000000036</v>
      </c>
      <c r="U48" s="84">
        <f t="shared" si="3"/>
        <v>89.999999999999858</v>
      </c>
      <c r="V48" s="84">
        <v>20</v>
      </c>
      <c r="W48" s="84">
        <f t="shared" si="4"/>
        <v>3599.9999999999977</v>
      </c>
      <c r="X48" s="96"/>
      <c r="Y48" s="104">
        <f t="shared" si="5"/>
        <v>0</v>
      </c>
      <c r="Z48" s="97"/>
      <c r="AA48" s="107"/>
      <c r="AB48" s="98">
        <f t="shared" si="6"/>
        <v>0</v>
      </c>
      <c r="AC48" s="92"/>
    </row>
    <row r="49" spans="1:29" s="93" customFormat="1" ht="17" x14ac:dyDescent="0.2">
      <c r="A49" s="84">
        <v>169</v>
      </c>
      <c r="B49" s="85" t="s">
        <v>1732</v>
      </c>
      <c r="C49" s="84">
        <v>19</v>
      </c>
      <c r="D49" s="99" t="s">
        <v>560</v>
      </c>
      <c r="E49" s="84" t="s">
        <v>2147</v>
      </c>
      <c r="F49" s="84" t="s">
        <v>1982</v>
      </c>
      <c r="G49" s="85"/>
      <c r="H49" s="84" t="s">
        <v>742</v>
      </c>
      <c r="I49" s="84">
        <v>725586</v>
      </c>
      <c r="J49" s="95">
        <v>725695</v>
      </c>
      <c r="K49" s="84">
        <v>0.5</v>
      </c>
      <c r="L49" s="84">
        <v>19.2</v>
      </c>
      <c r="M49" s="84">
        <v>20.76</v>
      </c>
      <c r="N49" s="84"/>
      <c r="O49" s="84">
        <v>-38.4</v>
      </c>
      <c r="P49" s="84">
        <v>-36.200000000000003</v>
      </c>
      <c r="Q49" s="84"/>
      <c r="R49" s="84">
        <f t="shared" si="9"/>
        <v>1.5600000000000023</v>
      </c>
      <c r="S49" s="84">
        <f t="shared" si="8"/>
        <v>2.1999999999999957</v>
      </c>
      <c r="T49" s="84">
        <f t="shared" si="2"/>
        <v>78.000000000000114</v>
      </c>
      <c r="U49" s="84">
        <f t="shared" si="3"/>
        <v>109.99999999999979</v>
      </c>
      <c r="V49" s="84">
        <v>20</v>
      </c>
      <c r="W49" s="84">
        <f t="shared" si="4"/>
        <v>8579.9999999999964</v>
      </c>
      <c r="X49" s="96">
        <v>0.68055555555555547</v>
      </c>
      <c r="Y49" s="104">
        <f t="shared" si="5"/>
        <v>5.6944444444444464E-2</v>
      </c>
      <c r="Z49" s="97">
        <v>0.73749999999999993</v>
      </c>
      <c r="AA49" s="107">
        <v>4.7916666666666663E-2</v>
      </c>
      <c r="AB49" s="98">
        <f t="shared" si="6"/>
        <v>0.72847222222222219</v>
      </c>
      <c r="AC49" s="92"/>
    </row>
    <row r="50" spans="1:29" s="93" customFormat="1" ht="17" x14ac:dyDescent="0.2">
      <c r="A50" s="86">
        <v>170</v>
      </c>
      <c r="B50" s="87" t="s">
        <v>1732</v>
      </c>
      <c r="C50" s="86">
        <v>20</v>
      </c>
      <c r="D50" s="100" t="s">
        <v>560</v>
      </c>
      <c r="E50" s="86" t="s">
        <v>2147</v>
      </c>
      <c r="F50" s="86"/>
      <c r="G50" s="87"/>
      <c r="H50" s="86"/>
      <c r="I50" s="86"/>
      <c r="J50" s="88"/>
      <c r="K50" s="86">
        <v>0.5</v>
      </c>
      <c r="L50" s="86"/>
      <c r="M50" s="86"/>
      <c r="N50" s="86"/>
      <c r="O50" s="86"/>
      <c r="P50" s="86"/>
      <c r="Q50" s="86"/>
      <c r="R50" s="86">
        <f t="shared" si="9"/>
        <v>0</v>
      </c>
      <c r="S50" s="86">
        <f t="shared" si="8"/>
        <v>0</v>
      </c>
      <c r="T50" s="86">
        <f t="shared" si="2"/>
        <v>0</v>
      </c>
      <c r="U50" s="86">
        <f t="shared" si="3"/>
        <v>0</v>
      </c>
      <c r="V50" s="86">
        <v>20</v>
      </c>
      <c r="W50" s="86">
        <f t="shared" si="4"/>
        <v>0</v>
      </c>
      <c r="X50" s="89"/>
      <c r="Y50" s="105">
        <f t="shared" si="5"/>
        <v>0</v>
      </c>
      <c r="Z50" s="90"/>
      <c r="AA50" s="108"/>
      <c r="AB50" s="91">
        <f t="shared" si="6"/>
        <v>0</v>
      </c>
      <c r="AC50" s="92"/>
    </row>
    <row r="51" spans="1:29" s="93" customFormat="1" ht="15.75" customHeight="1" x14ac:dyDescent="0.2">
      <c r="A51" s="84">
        <v>171</v>
      </c>
      <c r="B51" s="85" t="s">
        <v>1733</v>
      </c>
      <c r="C51" s="84">
        <v>21</v>
      </c>
      <c r="D51" s="99" t="s">
        <v>560</v>
      </c>
      <c r="E51" s="84" t="s">
        <v>2147</v>
      </c>
      <c r="F51" s="84" t="s">
        <v>1986</v>
      </c>
      <c r="G51" s="85" t="s">
        <v>2148</v>
      </c>
      <c r="H51" s="84" t="s">
        <v>742</v>
      </c>
      <c r="I51" s="84">
        <v>725696</v>
      </c>
      <c r="J51" s="95">
        <v>725785</v>
      </c>
      <c r="K51" s="84">
        <v>0.5</v>
      </c>
      <c r="L51" s="84">
        <v>18.3</v>
      </c>
      <c r="M51" s="84">
        <v>20.2</v>
      </c>
      <c r="N51" s="84"/>
      <c r="O51" s="84">
        <v>-38.299999999999997</v>
      </c>
      <c r="P51" s="84">
        <v>-36.5</v>
      </c>
      <c r="Q51" s="84"/>
      <c r="R51" s="84">
        <f t="shared" si="9"/>
        <v>1.8999999999999986</v>
      </c>
      <c r="S51" s="84">
        <f t="shared" si="8"/>
        <v>1.7999999999999972</v>
      </c>
      <c r="T51" s="84">
        <f t="shared" si="2"/>
        <v>94.999999999999929</v>
      </c>
      <c r="U51" s="84">
        <f t="shared" si="3"/>
        <v>89.999999999999858</v>
      </c>
      <c r="V51" s="84">
        <v>20</v>
      </c>
      <c r="W51" s="84">
        <f t="shared" si="4"/>
        <v>8549.99999999998</v>
      </c>
      <c r="X51" s="96">
        <v>0.75694444444444453</v>
      </c>
      <c r="Y51" s="104">
        <f t="shared" si="5"/>
        <v>5.7638888888888795E-2</v>
      </c>
      <c r="Z51" s="97">
        <v>0.81458333333333333</v>
      </c>
      <c r="AA51" s="107">
        <v>4.9999999999999996E-2</v>
      </c>
      <c r="AB51" s="98">
        <f t="shared" si="6"/>
        <v>0.80694444444444458</v>
      </c>
      <c r="AC51" s="92"/>
    </row>
    <row r="52" spans="1:29" s="93" customFormat="1" ht="15.75" customHeight="1" x14ac:dyDescent="0.2">
      <c r="A52" s="86">
        <v>172</v>
      </c>
      <c r="B52" s="87" t="s">
        <v>1733</v>
      </c>
      <c r="C52" s="86">
        <v>22</v>
      </c>
      <c r="D52" s="100" t="s">
        <v>560</v>
      </c>
      <c r="E52" s="86" t="s">
        <v>2147</v>
      </c>
      <c r="F52" s="86"/>
      <c r="G52" s="87" t="s">
        <v>2148</v>
      </c>
      <c r="H52" s="86"/>
      <c r="I52" s="86"/>
      <c r="J52" s="88"/>
      <c r="K52" s="86">
        <v>0.5</v>
      </c>
      <c r="L52" s="86"/>
      <c r="M52" s="86"/>
      <c r="N52" s="86"/>
      <c r="O52" s="86"/>
      <c r="P52" s="86"/>
      <c r="Q52" s="86"/>
      <c r="R52" s="86">
        <f t="shared" si="9"/>
        <v>0</v>
      </c>
      <c r="S52" s="86">
        <f t="shared" si="8"/>
        <v>0</v>
      </c>
      <c r="T52" s="86">
        <f t="shared" si="2"/>
        <v>0</v>
      </c>
      <c r="U52" s="86">
        <f t="shared" si="3"/>
        <v>0</v>
      </c>
      <c r="V52" s="86">
        <v>20</v>
      </c>
      <c r="W52" s="86">
        <f t="shared" si="4"/>
        <v>0</v>
      </c>
      <c r="X52" s="89"/>
      <c r="Y52" s="105">
        <f t="shared" si="5"/>
        <v>0</v>
      </c>
      <c r="Z52" s="90"/>
      <c r="AA52" s="108"/>
      <c r="AB52" s="91">
        <f t="shared" si="6"/>
        <v>0</v>
      </c>
      <c r="AC52" s="9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79C10-46CE-4C90-AD62-F195825BFBE1}">
  <dimension ref="A1:AJ127"/>
  <sheetViews>
    <sheetView workbookViewId="0">
      <pane xSplit="4" ySplit="1" topLeftCell="E2" activePane="bottomRight" state="frozen"/>
      <selection pane="topRight"/>
      <selection pane="bottomLeft"/>
      <selection pane="bottomRight" sqref="A1:XFD1"/>
    </sheetView>
  </sheetViews>
  <sheetFormatPr baseColWidth="10" defaultColWidth="9" defaultRowHeight="16" x14ac:dyDescent="0.2"/>
  <cols>
    <col min="1" max="1" width="11.6640625" style="1" customWidth="1"/>
    <col min="2" max="2" width="21.1640625" style="1" customWidth="1"/>
    <col min="3" max="3" width="13.1640625" style="1" customWidth="1"/>
    <col min="4" max="4" width="13.6640625" style="1" customWidth="1"/>
    <col min="5" max="6" width="15" style="1" customWidth="1"/>
    <col min="7" max="8" width="9" style="1"/>
    <col min="9" max="9" width="8.6640625" style="1" customWidth="1"/>
    <col min="10" max="10" width="8.83203125" style="1" customWidth="1"/>
    <col min="11" max="11" width="11.6640625" style="1" customWidth="1"/>
    <col min="12" max="18" width="10" style="1" customWidth="1"/>
    <col min="19" max="20" width="9" style="1"/>
    <col min="21" max="21" width="10.33203125" style="1" customWidth="1"/>
    <col min="22" max="22" width="11.1640625" style="1" customWidth="1"/>
    <col min="23" max="26" width="9" style="1"/>
    <col min="27" max="27" width="10.6640625" style="113" bestFit="1" customWidth="1"/>
    <col min="28" max="28" width="10.5" style="82" customWidth="1"/>
    <col min="29" max="29" width="10" style="81" bestFit="1" customWidth="1"/>
    <col min="30" max="30" width="11" style="1" bestFit="1" customWidth="1"/>
    <col min="31" max="31" width="11" style="81" bestFit="1" customWidth="1"/>
    <col min="32" max="16384" width="9" style="1"/>
  </cols>
  <sheetData>
    <row r="1" spans="1:36" s="247" customFormat="1" ht="51" x14ac:dyDescent="0.2">
      <c r="A1" s="44" t="s">
        <v>1950</v>
      </c>
      <c r="B1" s="44" t="s">
        <v>6</v>
      </c>
      <c r="C1" s="44" t="s">
        <v>1</v>
      </c>
      <c r="D1" s="44" t="s">
        <v>1951</v>
      </c>
      <c r="E1" s="245" t="s">
        <v>1952</v>
      </c>
      <c r="F1" s="245" t="s">
        <v>1953</v>
      </c>
      <c r="G1" s="44" t="s">
        <v>1954</v>
      </c>
      <c r="H1" s="44" t="s">
        <v>1955</v>
      </c>
      <c r="I1" s="44" t="s">
        <v>11</v>
      </c>
      <c r="J1" s="44" t="s">
        <v>742</v>
      </c>
      <c r="K1" s="111" t="s">
        <v>1956</v>
      </c>
      <c r="L1" s="111" t="s">
        <v>1957</v>
      </c>
      <c r="M1" s="111" t="s">
        <v>1958</v>
      </c>
      <c r="N1" s="111" t="s">
        <v>1959</v>
      </c>
      <c r="O1" s="111" t="s">
        <v>1960</v>
      </c>
      <c r="P1" s="111" t="s">
        <v>1961</v>
      </c>
      <c r="Q1" s="111" t="s">
        <v>1962</v>
      </c>
      <c r="R1" s="111" t="s">
        <v>1963</v>
      </c>
      <c r="S1" s="111" t="s">
        <v>1964</v>
      </c>
      <c r="T1" s="111" t="s">
        <v>1965</v>
      </c>
      <c r="U1" s="111" t="s">
        <v>1966</v>
      </c>
      <c r="V1" s="245" t="s">
        <v>1466</v>
      </c>
      <c r="W1" s="245" t="s">
        <v>1467</v>
      </c>
      <c r="X1" s="245" t="s">
        <v>1466</v>
      </c>
      <c r="Y1" s="245" t="s">
        <v>1467</v>
      </c>
      <c r="Z1" s="111" t="s">
        <v>1967</v>
      </c>
      <c r="AA1" s="245" t="s">
        <v>1468</v>
      </c>
      <c r="AB1" s="114" t="s">
        <v>1968</v>
      </c>
      <c r="AC1" s="246" t="s">
        <v>1969</v>
      </c>
      <c r="AD1" s="114" t="s">
        <v>1970</v>
      </c>
      <c r="AE1" s="115" t="s">
        <v>1971</v>
      </c>
      <c r="AF1" s="246"/>
      <c r="AG1" s="116" t="s">
        <v>1628</v>
      </c>
      <c r="AH1" s="116" t="s">
        <v>1972</v>
      </c>
      <c r="AI1" s="116" t="s">
        <v>1630</v>
      </c>
      <c r="AJ1" s="116" t="s">
        <v>1973</v>
      </c>
    </row>
    <row r="2" spans="1:36" x14ac:dyDescent="0.2">
      <c r="A2" s="1" t="s">
        <v>2149</v>
      </c>
      <c r="B2" s="60"/>
      <c r="C2" s="61" t="s">
        <v>2150</v>
      </c>
      <c r="D2" s="61"/>
      <c r="E2" s="1">
        <v>810519</v>
      </c>
      <c r="G2" s="61"/>
      <c r="H2" s="61"/>
      <c r="I2" s="61"/>
      <c r="J2" s="60"/>
      <c r="K2" s="248"/>
      <c r="AA2" s="63"/>
      <c r="AC2" s="82"/>
      <c r="AD2" s="82"/>
    </row>
    <row r="3" spans="1:36" x14ac:dyDescent="0.2">
      <c r="A3" s="1" t="s">
        <v>2149</v>
      </c>
      <c r="B3" s="60"/>
      <c r="C3" s="61" t="s">
        <v>2151</v>
      </c>
      <c r="D3" s="61"/>
      <c r="E3" s="1">
        <v>810520</v>
      </c>
      <c r="G3" s="61"/>
      <c r="H3" s="61"/>
      <c r="I3" s="61"/>
      <c r="J3" s="60"/>
      <c r="K3" s="248"/>
      <c r="AA3" s="63"/>
      <c r="AC3" s="82"/>
      <c r="AD3" s="82"/>
    </row>
    <row r="4" spans="1:36" x14ac:dyDescent="0.2">
      <c r="A4" s="1" t="s">
        <v>2149</v>
      </c>
      <c r="B4" s="60"/>
      <c r="C4" s="61" t="s">
        <v>2151</v>
      </c>
      <c r="D4" s="61"/>
      <c r="E4" s="1">
        <v>810521</v>
      </c>
      <c r="G4" s="61"/>
      <c r="H4" s="61"/>
      <c r="I4" s="61"/>
      <c r="J4" s="60"/>
      <c r="K4" s="248"/>
      <c r="AA4" s="63"/>
      <c r="AC4" s="82"/>
      <c r="AD4" s="82"/>
    </row>
    <row r="5" spans="1:36" x14ac:dyDescent="0.2">
      <c r="A5" s="1" t="s">
        <v>2149</v>
      </c>
      <c r="B5" s="60"/>
      <c r="C5" s="61" t="s">
        <v>2152</v>
      </c>
      <c r="D5" s="61"/>
      <c r="E5" s="1">
        <v>810522</v>
      </c>
      <c r="G5" s="61"/>
      <c r="H5" s="61"/>
      <c r="I5" s="61"/>
      <c r="J5" s="60"/>
      <c r="K5" s="248"/>
      <c r="AA5" s="63"/>
      <c r="AC5" s="82"/>
      <c r="AD5" s="82"/>
    </row>
    <row r="6" spans="1:36" x14ac:dyDescent="0.2">
      <c r="A6" s="1" t="s">
        <v>2149</v>
      </c>
      <c r="B6" s="60"/>
      <c r="C6" s="61" t="s">
        <v>2153</v>
      </c>
      <c r="D6" s="61"/>
      <c r="E6" s="1">
        <v>810523</v>
      </c>
      <c r="G6" s="61"/>
      <c r="H6" s="61"/>
      <c r="I6" s="61"/>
      <c r="J6" s="60"/>
      <c r="K6" s="248"/>
      <c r="AA6" s="63"/>
      <c r="AC6" s="82"/>
      <c r="AD6" s="82"/>
    </row>
    <row r="7" spans="1:36" x14ac:dyDescent="0.2">
      <c r="A7" s="1" t="s">
        <v>2149</v>
      </c>
      <c r="B7" s="60"/>
      <c r="C7" s="61" t="s">
        <v>2154</v>
      </c>
      <c r="D7" s="61"/>
      <c r="E7" s="1">
        <v>810524</v>
      </c>
      <c r="G7" s="61"/>
      <c r="H7" s="61"/>
      <c r="I7" s="61"/>
      <c r="J7" s="60"/>
      <c r="K7" s="248"/>
      <c r="AA7" s="63"/>
      <c r="AC7" s="82"/>
      <c r="AD7" s="82"/>
    </row>
    <row r="8" spans="1:36" x14ac:dyDescent="0.2">
      <c r="A8" s="1" t="s">
        <v>2149</v>
      </c>
      <c r="B8" s="60"/>
      <c r="C8" s="61" t="s">
        <v>2155</v>
      </c>
      <c r="D8" s="61"/>
      <c r="E8" s="1">
        <v>810525</v>
      </c>
      <c r="G8" s="61"/>
      <c r="H8" s="61"/>
      <c r="I8" s="61"/>
      <c r="J8" s="60"/>
      <c r="K8" s="248"/>
      <c r="AA8" s="63"/>
      <c r="AC8" s="82"/>
      <c r="AD8" s="82"/>
    </row>
    <row r="9" spans="1:36" x14ac:dyDescent="0.2">
      <c r="A9" s="1" t="s">
        <v>2156</v>
      </c>
      <c r="B9" s="60"/>
      <c r="C9" s="61" t="s">
        <v>2157</v>
      </c>
      <c r="D9" s="61"/>
      <c r="E9" s="1">
        <v>810527</v>
      </c>
      <c r="G9" s="61"/>
      <c r="H9" s="61"/>
      <c r="I9" s="61"/>
      <c r="J9" s="60"/>
      <c r="K9" s="248"/>
      <c r="AA9" s="63"/>
      <c r="AC9" s="82"/>
      <c r="AD9" s="82"/>
    </row>
    <row r="10" spans="1:36" x14ac:dyDescent="0.2">
      <c r="A10" s="52">
        <v>201</v>
      </c>
      <c r="B10" s="1" t="s">
        <v>1280</v>
      </c>
      <c r="C10" s="7" t="s">
        <v>2158</v>
      </c>
      <c r="D10" s="61" t="s">
        <v>2089</v>
      </c>
      <c r="G10" s="61"/>
      <c r="H10" s="61">
        <v>12</v>
      </c>
      <c r="I10" s="61"/>
      <c r="J10" s="60"/>
      <c r="K10" s="248"/>
      <c r="AA10" s="63"/>
      <c r="AC10" s="82"/>
      <c r="AD10" s="82"/>
    </row>
    <row r="11" spans="1:36" x14ac:dyDescent="0.2">
      <c r="A11" s="52">
        <v>259</v>
      </c>
      <c r="B11" s="1" t="s">
        <v>1739</v>
      </c>
      <c r="C11" s="7" t="s">
        <v>2159</v>
      </c>
      <c r="D11" s="61" t="s">
        <v>2089</v>
      </c>
      <c r="G11" s="61"/>
      <c r="H11" s="61">
        <v>60</v>
      </c>
      <c r="I11" s="61"/>
      <c r="J11" s="60"/>
      <c r="K11" s="248"/>
      <c r="AA11" s="63"/>
      <c r="AC11" s="82"/>
      <c r="AD11" s="82"/>
    </row>
    <row r="12" spans="1:36" x14ac:dyDescent="0.2">
      <c r="A12" s="52">
        <v>260</v>
      </c>
      <c r="B12" s="1" t="s">
        <v>1739</v>
      </c>
      <c r="C12" s="7" t="s">
        <v>2159</v>
      </c>
      <c r="D12" s="61" t="s">
        <v>2089</v>
      </c>
      <c r="G12" s="61"/>
      <c r="H12" s="61">
        <v>60</v>
      </c>
      <c r="I12" s="61"/>
      <c r="J12" s="60"/>
      <c r="K12" s="248"/>
      <c r="AA12" s="63"/>
      <c r="AC12" s="82"/>
      <c r="AD12" s="82"/>
    </row>
    <row r="13" spans="1:36" x14ac:dyDescent="0.2">
      <c r="A13" s="7">
        <v>382</v>
      </c>
      <c r="B13" s="1" t="s">
        <v>1740</v>
      </c>
      <c r="C13" s="7" t="s">
        <v>1492</v>
      </c>
      <c r="D13" s="61" t="s">
        <v>2089</v>
      </c>
      <c r="E13" s="1">
        <v>810531</v>
      </c>
      <c r="F13" s="1" t="s">
        <v>1741</v>
      </c>
      <c r="G13" s="61"/>
      <c r="H13" s="61">
        <v>12</v>
      </c>
      <c r="I13" s="61" t="s">
        <v>2160</v>
      </c>
      <c r="J13" s="60"/>
      <c r="K13" s="248">
        <v>0.5</v>
      </c>
      <c r="AA13" s="63"/>
      <c r="AC13" s="82"/>
      <c r="AD13" s="82"/>
    </row>
    <row r="14" spans="1:36" x14ac:dyDescent="0.2">
      <c r="A14" s="7">
        <v>382</v>
      </c>
      <c r="B14" s="1" t="s">
        <v>1740</v>
      </c>
      <c r="C14" s="7" t="s">
        <v>1492</v>
      </c>
      <c r="D14" s="61" t="s">
        <v>2089</v>
      </c>
      <c r="E14" s="1">
        <v>831532</v>
      </c>
      <c r="F14" s="1" t="s">
        <v>1741</v>
      </c>
      <c r="G14" s="61"/>
      <c r="H14" s="61">
        <v>12</v>
      </c>
      <c r="I14" s="61" t="s">
        <v>2161</v>
      </c>
      <c r="J14" s="60"/>
      <c r="K14" s="248">
        <v>0.5</v>
      </c>
      <c r="AA14" s="63"/>
      <c r="AC14" s="82"/>
      <c r="AD14" s="82"/>
    </row>
    <row r="15" spans="1:36" x14ac:dyDescent="0.2">
      <c r="A15" s="7">
        <v>382</v>
      </c>
      <c r="B15" s="1" t="s">
        <v>1740</v>
      </c>
      <c r="C15" s="7" t="s">
        <v>1492</v>
      </c>
      <c r="D15" s="61" t="s">
        <v>2089</v>
      </c>
      <c r="E15" s="1">
        <v>810533</v>
      </c>
      <c r="F15" s="1" t="s">
        <v>1741</v>
      </c>
      <c r="G15" s="61"/>
      <c r="H15" s="61">
        <v>12</v>
      </c>
      <c r="I15" s="61"/>
      <c r="J15" s="61"/>
      <c r="K15" s="248">
        <v>0.5</v>
      </c>
      <c r="AA15" s="63"/>
      <c r="AC15" s="82"/>
      <c r="AD15" s="82"/>
    </row>
    <row r="16" spans="1:36" x14ac:dyDescent="0.2">
      <c r="A16" s="61">
        <v>155</v>
      </c>
      <c r="B16" s="61" t="s">
        <v>1494</v>
      </c>
      <c r="C16" s="60"/>
      <c r="D16" s="61"/>
      <c r="E16" s="1">
        <v>810534</v>
      </c>
      <c r="F16" s="1" t="s">
        <v>1741</v>
      </c>
      <c r="G16" s="61"/>
      <c r="H16" s="61">
        <v>12</v>
      </c>
      <c r="I16" s="61" t="s">
        <v>2162</v>
      </c>
      <c r="J16" s="60"/>
      <c r="K16" s="248">
        <v>0.5</v>
      </c>
      <c r="AA16" s="63"/>
      <c r="AC16" s="82"/>
      <c r="AD16" s="82"/>
    </row>
    <row r="17" spans="1:33" x14ac:dyDescent="0.2">
      <c r="A17" s="61">
        <v>155</v>
      </c>
      <c r="B17" s="61" t="s">
        <v>1494</v>
      </c>
      <c r="C17" s="60"/>
      <c r="D17" s="61"/>
      <c r="E17" s="1">
        <v>810535</v>
      </c>
      <c r="F17" s="1" t="s">
        <v>1741</v>
      </c>
      <c r="G17" s="61"/>
      <c r="H17" s="61">
        <v>12</v>
      </c>
      <c r="I17" s="61"/>
      <c r="J17" s="60"/>
      <c r="K17" s="248">
        <v>0.5</v>
      </c>
      <c r="AA17" s="63"/>
      <c r="AC17" s="82"/>
      <c r="AD17" s="82"/>
    </row>
    <row r="18" spans="1:33" x14ac:dyDescent="0.2">
      <c r="A18" s="61">
        <v>155</v>
      </c>
      <c r="B18" s="61" t="s">
        <v>1494</v>
      </c>
      <c r="C18" s="60"/>
      <c r="D18" s="61"/>
      <c r="E18" s="1">
        <v>810536</v>
      </c>
      <c r="F18" s="1" t="s">
        <v>1741</v>
      </c>
      <c r="G18" s="61"/>
      <c r="H18" s="61">
        <v>12</v>
      </c>
      <c r="I18" s="61"/>
      <c r="J18" s="60"/>
      <c r="K18" s="248">
        <v>0.1</v>
      </c>
      <c r="AA18" s="63"/>
      <c r="AC18" s="82"/>
      <c r="AD18" s="82"/>
    </row>
    <row r="19" spans="1:33" ht="17" x14ac:dyDescent="0.2">
      <c r="A19" s="61">
        <v>201</v>
      </c>
      <c r="B19" s="60" t="s">
        <v>1495</v>
      </c>
      <c r="C19" s="60"/>
      <c r="D19" s="61"/>
      <c r="E19" s="1">
        <v>810537</v>
      </c>
      <c r="F19" s="1" t="s">
        <v>1741</v>
      </c>
      <c r="G19" s="61"/>
      <c r="H19" s="61">
        <v>12</v>
      </c>
      <c r="I19" s="61"/>
      <c r="J19" s="60"/>
      <c r="K19" s="248">
        <v>0.1</v>
      </c>
      <c r="AA19" s="63"/>
      <c r="AC19" s="82"/>
      <c r="AD19" s="82"/>
    </row>
    <row r="20" spans="1:33" ht="17" x14ac:dyDescent="0.2">
      <c r="A20" s="61">
        <v>158</v>
      </c>
      <c r="B20" s="60" t="s">
        <v>1496</v>
      </c>
      <c r="C20" s="60"/>
      <c r="D20" s="61"/>
      <c r="E20" s="1">
        <v>810538</v>
      </c>
      <c r="F20" s="1" t="s">
        <v>1741</v>
      </c>
      <c r="G20" s="61"/>
      <c r="H20" s="61">
        <v>60</v>
      </c>
      <c r="I20" s="61"/>
      <c r="J20" s="60"/>
      <c r="K20" s="248">
        <v>0.1</v>
      </c>
      <c r="AA20" s="63"/>
      <c r="AC20" s="82"/>
      <c r="AD20" s="82"/>
    </row>
    <row r="21" spans="1:33" x14ac:dyDescent="0.2">
      <c r="A21" s="1" t="s">
        <v>1742</v>
      </c>
      <c r="B21" s="1" t="s">
        <v>1743</v>
      </c>
      <c r="E21" s="1">
        <v>810539</v>
      </c>
      <c r="F21" s="1" t="s">
        <v>1741</v>
      </c>
      <c r="G21" s="61"/>
      <c r="H21" s="61" t="s">
        <v>2125</v>
      </c>
      <c r="I21" s="61"/>
      <c r="J21" s="60"/>
      <c r="K21" s="248">
        <v>0.1</v>
      </c>
      <c r="AA21" s="249"/>
      <c r="AC21" s="82"/>
      <c r="AD21" s="82"/>
    </row>
    <row r="22" spans="1:33" ht="17" x14ac:dyDescent="0.2">
      <c r="A22" s="61">
        <v>415</v>
      </c>
      <c r="B22" s="60" t="s">
        <v>1497</v>
      </c>
      <c r="C22" s="7" t="s">
        <v>1492</v>
      </c>
      <c r="D22" s="61" t="s">
        <v>1981</v>
      </c>
      <c r="E22" s="1">
        <v>810540</v>
      </c>
      <c r="F22" s="1" t="s">
        <v>1741</v>
      </c>
      <c r="G22" s="61" t="s">
        <v>1986</v>
      </c>
      <c r="H22" s="61">
        <v>500</v>
      </c>
      <c r="I22" s="61" t="s">
        <v>2163</v>
      </c>
      <c r="J22" s="60" t="s">
        <v>742</v>
      </c>
      <c r="K22" s="248">
        <v>0.5</v>
      </c>
      <c r="L22" s="1">
        <v>57.35</v>
      </c>
      <c r="M22" s="1">
        <v>25.018000000000001</v>
      </c>
      <c r="N22" s="1">
        <v>50.911999999999999</v>
      </c>
      <c r="O22" s="1">
        <v>52.16</v>
      </c>
      <c r="P22" s="1">
        <f>(O22+N22)/2</f>
        <v>51.536000000000001</v>
      </c>
      <c r="Q22" s="1">
        <v>6.24</v>
      </c>
      <c r="R22" s="1">
        <v>8.34</v>
      </c>
      <c r="S22" s="1">
        <f>(R22+Q22)/2</f>
        <v>7.29</v>
      </c>
      <c r="T22" s="1">
        <f t="shared" ref="T22:T24" si="0">O22-N22</f>
        <v>1.2479999999999976</v>
      </c>
      <c r="U22" s="1">
        <f t="shared" ref="U22:U24" si="1">R22-Q22</f>
        <v>2.0999999999999996</v>
      </c>
      <c r="V22" s="1">
        <v>69</v>
      </c>
      <c r="W22" s="1">
        <v>106</v>
      </c>
      <c r="X22" s="1">
        <f t="shared" ref="X22:X24" si="2">T22/(Z22/1000)</f>
        <v>62.399999999999878</v>
      </c>
      <c r="Y22" s="1">
        <f t="shared" ref="Y22:Y24" si="3">U22/(Z22/1000)</f>
        <v>104.99999999999999</v>
      </c>
      <c r="Z22" s="1">
        <v>20</v>
      </c>
      <c r="AA22" s="63">
        <f>V22*W22</f>
        <v>7314</v>
      </c>
      <c r="AC22" s="82"/>
      <c r="AD22" s="82"/>
      <c r="AE22" s="81">
        <v>1.3194444444444444E-2</v>
      </c>
    </row>
    <row r="23" spans="1:33" ht="17" x14ac:dyDescent="0.2">
      <c r="A23" s="61">
        <v>400</v>
      </c>
      <c r="B23" s="60" t="s">
        <v>1498</v>
      </c>
      <c r="C23" s="60" t="s">
        <v>2164</v>
      </c>
      <c r="D23" s="61" t="s">
        <v>1981</v>
      </c>
      <c r="E23" s="1">
        <v>810541</v>
      </c>
      <c r="F23" s="1" t="s">
        <v>1741</v>
      </c>
      <c r="G23" s="61" t="s">
        <v>1986</v>
      </c>
      <c r="H23" s="61">
        <v>500</v>
      </c>
      <c r="I23" s="61"/>
      <c r="J23" s="60" t="s">
        <v>742</v>
      </c>
      <c r="K23" s="248">
        <v>0.5</v>
      </c>
      <c r="L23" s="1">
        <v>57.35</v>
      </c>
      <c r="M23" s="1">
        <v>25.018000000000001</v>
      </c>
      <c r="N23" s="1">
        <v>52.03</v>
      </c>
      <c r="O23" s="1">
        <v>53.4</v>
      </c>
      <c r="P23" s="1">
        <f t="shared" ref="P23:P69" si="4">(O23+N23)/2</f>
        <v>52.715000000000003</v>
      </c>
      <c r="Q23" s="1">
        <v>4.95</v>
      </c>
      <c r="R23" s="1">
        <v>7.13</v>
      </c>
      <c r="S23" s="1">
        <f t="shared" ref="S23:S68" si="5">(R23+Q23)/2</f>
        <v>6.04</v>
      </c>
      <c r="T23" s="1">
        <f t="shared" si="0"/>
        <v>1.3699999999999974</v>
      </c>
      <c r="U23" s="1">
        <f t="shared" si="1"/>
        <v>2.1799999999999997</v>
      </c>
      <c r="V23" s="1">
        <v>70</v>
      </c>
      <c r="W23" s="1">
        <v>110</v>
      </c>
      <c r="X23" s="1">
        <f t="shared" si="2"/>
        <v>68.499999999999872</v>
      </c>
      <c r="Y23" s="1">
        <f t="shared" si="3"/>
        <v>108.99999999999999</v>
      </c>
      <c r="Z23" s="1">
        <v>20</v>
      </c>
      <c r="AA23" s="63">
        <f>V23*W23</f>
        <v>7700</v>
      </c>
      <c r="AC23" s="82"/>
      <c r="AD23" s="82"/>
      <c r="AE23" s="81">
        <v>0.56736111111111109</v>
      </c>
    </row>
    <row r="24" spans="1:33" ht="17" x14ac:dyDescent="0.2">
      <c r="A24" s="1">
        <v>401</v>
      </c>
      <c r="B24" s="1" t="s">
        <v>1498</v>
      </c>
      <c r="C24" s="1" t="s">
        <v>2164</v>
      </c>
      <c r="D24" s="1" t="s">
        <v>1981</v>
      </c>
      <c r="E24" s="1">
        <v>810542</v>
      </c>
      <c r="F24" s="1" t="s">
        <v>1741</v>
      </c>
      <c r="G24" s="61"/>
      <c r="H24" s="61">
        <v>500</v>
      </c>
      <c r="I24" s="61"/>
      <c r="J24" s="60" t="s">
        <v>742</v>
      </c>
      <c r="K24" s="248">
        <v>0.5</v>
      </c>
      <c r="L24" s="1">
        <v>57.35</v>
      </c>
      <c r="M24" s="1">
        <v>25.018000000000001</v>
      </c>
      <c r="N24" s="1">
        <v>52.06</v>
      </c>
      <c r="O24" s="1">
        <v>53.12</v>
      </c>
      <c r="P24" s="1">
        <f t="shared" si="4"/>
        <v>52.59</v>
      </c>
      <c r="Q24" s="1">
        <v>4.22</v>
      </c>
      <c r="R24" s="1">
        <v>6.4</v>
      </c>
      <c r="S24" s="1">
        <f t="shared" si="5"/>
        <v>5.3100000000000005</v>
      </c>
      <c r="T24" s="1">
        <f t="shared" si="0"/>
        <v>1.0599999999999952</v>
      </c>
      <c r="U24" s="1">
        <f t="shared" si="1"/>
        <v>2.1800000000000006</v>
      </c>
      <c r="V24" s="1">
        <v>54</v>
      </c>
      <c r="W24" s="1">
        <v>110</v>
      </c>
      <c r="X24" s="1">
        <f t="shared" si="2"/>
        <v>52.999999999999758</v>
      </c>
      <c r="Y24" s="1">
        <f t="shared" si="3"/>
        <v>109.00000000000003</v>
      </c>
      <c r="Z24" s="1">
        <v>20</v>
      </c>
      <c r="AA24" s="63">
        <f>V24*W24</f>
        <v>5940</v>
      </c>
      <c r="AC24" s="82"/>
      <c r="AD24" s="82"/>
      <c r="AE24" s="81">
        <v>0.6118055555555556</v>
      </c>
    </row>
    <row r="25" spans="1:33" ht="17" x14ac:dyDescent="0.2">
      <c r="A25" s="61">
        <v>403</v>
      </c>
      <c r="B25" s="60" t="s">
        <v>1499</v>
      </c>
      <c r="C25" s="60" t="s">
        <v>2165</v>
      </c>
      <c r="D25" s="61" t="s">
        <v>1981</v>
      </c>
      <c r="E25" s="1">
        <v>810543</v>
      </c>
      <c r="F25" s="1" t="s">
        <v>1741</v>
      </c>
      <c r="G25" s="61" t="s">
        <v>1986</v>
      </c>
      <c r="H25" s="61">
        <v>500</v>
      </c>
      <c r="I25" s="61"/>
      <c r="J25" s="60" t="s">
        <v>742</v>
      </c>
      <c r="K25" s="248">
        <v>0.5</v>
      </c>
      <c r="L25" s="1">
        <v>57.35</v>
      </c>
      <c r="M25" s="1">
        <v>25.018000000000001</v>
      </c>
      <c r="N25" s="1">
        <v>51.237000000000002</v>
      </c>
      <c r="O25" s="1">
        <v>52.639000000000003</v>
      </c>
      <c r="P25" s="1">
        <f t="shared" si="4"/>
        <v>51.938000000000002</v>
      </c>
      <c r="Q25" s="1">
        <v>6.4169999999999998</v>
      </c>
      <c r="R25" s="1">
        <v>8.6080000000000005</v>
      </c>
      <c r="S25" s="1">
        <f t="shared" si="5"/>
        <v>7.5125000000000002</v>
      </c>
      <c r="T25" s="1">
        <f>O25-N25</f>
        <v>1.402000000000001</v>
      </c>
      <c r="U25" s="1">
        <f>R25-Q25</f>
        <v>2.1910000000000007</v>
      </c>
      <c r="V25" s="1">
        <v>71</v>
      </c>
      <c r="W25" s="1">
        <v>110</v>
      </c>
      <c r="X25" s="1">
        <f>T25/(Z25/1000)</f>
        <v>70.100000000000051</v>
      </c>
      <c r="Y25" s="1">
        <f>U25/(Z25/1000)</f>
        <v>109.55000000000004</v>
      </c>
      <c r="Z25" s="1">
        <v>20</v>
      </c>
      <c r="AA25" s="63">
        <v>7810</v>
      </c>
      <c r="AB25" s="82">
        <v>0.64652777777777781</v>
      </c>
      <c r="AC25" s="82">
        <v>4.5138888888888888E-2</v>
      </c>
      <c r="AD25" s="82">
        <f>AB25+AC25</f>
        <v>0.69166666666666665</v>
      </c>
      <c r="AE25" s="81">
        <v>0.69236111111111109</v>
      </c>
    </row>
    <row r="26" spans="1:33" ht="17" x14ac:dyDescent="0.2">
      <c r="A26" s="61">
        <v>404</v>
      </c>
      <c r="B26" s="60" t="s">
        <v>1499</v>
      </c>
      <c r="C26" s="60" t="s">
        <v>2165</v>
      </c>
      <c r="D26" s="61" t="s">
        <v>1981</v>
      </c>
      <c r="E26" s="1">
        <v>810544</v>
      </c>
      <c r="F26" s="1" t="s">
        <v>1741</v>
      </c>
      <c r="G26" s="61" t="s">
        <v>1986</v>
      </c>
      <c r="H26" s="61">
        <v>500</v>
      </c>
      <c r="I26" s="61"/>
      <c r="J26" s="60" t="s">
        <v>742</v>
      </c>
      <c r="K26" s="248">
        <v>0.5</v>
      </c>
      <c r="L26" s="1">
        <v>57.35</v>
      </c>
      <c r="M26" s="1">
        <v>25.018000000000001</v>
      </c>
      <c r="N26" s="1">
        <v>53.935000000000002</v>
      </c>
      <c r="O26" s="1">
        <v>54.834000000000003</v>
      </c>
      <c r="P26" s="1">
        <f t="shared" si="4"/>
        <v>54.384500000000003</v>
      </c>
      <c r="Q26" s="1">
        <v>5.6440000000000001</v>
      </c>
      <c r="R26" s="1">
        <v>9.4429999999999996</v>
      </c>
      <c r="S26" s="1">
        <f t="shared" si="5"/>
        <v>7.5434999999999999</v>
      </c>
      <c r="T26" s="1">
        <f t="shared" ref="T26:T55" si="6">O26-N26</f>
        <v>0.89900000000000091</v>
      </c>
      <c r="U26" s="1">
        <f t="shared" ref="U26:U55" si="7">R26-Q26</f>
        <v>3.7989999999999995</v>
      </c>
      <c r="V26" s="1">
        <v>45</v>
      </c>
      <c r="W26" s="1">
        <v>190</v>
      </c>
      <c r="X26" s="1">
        <f>T26/(Z26/1000)</f>
        <v>44.950000000000045</v>
      </c>
      <c r="Y26" s="1">
        <f t="shared" ref="Y26:Y46" si="8">U26/(Z26/1000)</f>
        <v>189.94999999999996</v>
      </c>
      <c r="Z26" s="1">
        <v>20</v>
      </c>
      <c r="AA26" s="63">
        <v>8550</v>
      </c>
      <c r="AB26" s="82">
        <v>0.70694444444444449</v>
      </c>
      <c r="AC26" s="82">
        <v>4.9305555555555554E-2</v>
      </c>
      <c r="AD26" s="82">
        <f t="shared" ref="AD26:AD56" si="9">AB26+AC26</f>
        <v>0.75625000000000009</v>
      </c>
      <c r="AE26" s="81">
        <v>0.75694444444444442</v>
      </c>
    </row>
    <row r="27" spans="1:33" ht="17" x14ac:dyDescent="0.2">
      <c r="A27" s="61">
        <v>405</v>
      </c>
      <c r="B27" s="60" t="s">
        <v>1501</v>
      </c>
      <c r="C27" s="60" t="s">
        <v>2166</v>
      </c>
      <c r="D27" s="61" t="s">
        <v>1981</v>
      </c>
      <c r="E27" s="1">
        <v>810545</v>
      </c>
      <c r="F27" s="1" t="s">
        <v>1741</v>
      </c>
      <c r="G27" s="61" t="s">
        <v>1986</v>
      </c>
      <c r="H27" s="61">
        <v>500</v>
      </c>
      <c r="I27" s="61"/>
      <c r="J27" s="60" t="s">
        <v>742</v>
      </c>
      <c r="K27" s="248">
        <v>0.5</v>
      </c>
      <c r="L27" s="1">
        <v>57.35</v>
      </c>
      <c r="M27" s="1">
        <v>25.018000000000001</v>
      </c>
      <c r="N27" s="1">
        <v>52.906999999999996</v>
      </c>
      <c r="O27" s="1">
        <v>53.728999999999999</v>
      </c>
      <c r="P27" s="1">
        <f t="shared" si="4"/>
        <v>53.317999999999998</v>
      </c>
      <c r="Q27" s="1">
        <v>4.9409999999999998</v>
      </c>
      <c r="R27" s="1">
        <v>7.4009999999999998</v>
      </c>
      <c r="S27" s="1">
        <f t="shared" si="5"/>
        <v>6.1709999999999994</v>
      </c>
      <c r="T27" s="1">
        <f t="shared" si="6"/>
        <v>0.82200000000000273</v>
      </c>
      <c r="U27" s="1">
        <f t="shared" si="7"/>
        <v>2.46</v>
      </c>
      <c r="V27" s="1">
        <v>42</v>
      </c>
      <c r="W27" s="1">
        <v>124</v>
      </c>
      <c r="X27" s="1">
        <f t="shared" ref="X27:X46" si="10">T27/(Z27/1000)</f>
        <v>41.100000000000136</v>
      </c>
      <c r="Y27" s="1">
        <f t="shared" si="8"/>
        <v>123</v>
      </c>
      <c r="Z27" s="1">
        <v>20</v>
      </c>
      <c r="AA27" s="63">
        <v>5208</v>
      </c>
      <c r="AB27" s="82">
        <v>0.77500000000000002</v>
      </c>
      <c r="AC27" s="82">
        <v>2.9861111111111113E-2</v>
      </c>
      <c r="AD27" s="82">
        <f t="shared" si="9"/>
        <v>0.80486111111111114</v>
      </c>
      <c r="AE27" s="81">
        <v>0.80486111111111114</v>
      </c>
    </row>
    <row r="28" spans="1:33" ht="17" x14ac:dyDescent="0.2">
      <c r="A28" s="61">
        <v>406</v>
      </c>
      <c r="B28" s="60" t="s">
        <v>1501</v>
      </c>
      <c r="C28" s="60" t="s">
        <v>2166</v>
      </c>
      <c r="D28" s="61" t="s">
        <v>1981</v>
      </c>
      <c r="E28" s="1">
        <v>810546</v>
      </c>
      <c r="F28" s="1" t="s">
        <v>1741</v>
      </c>
      <c r="G28" s="61" t="s">
        <v>1986</v>
      </c>
      <c r="H28" s="61">
        <v>500</v>
      </c>
      <c r="I28" s="61"/>
      <c r="J28" s="60" t="s">
        <v>742</v>
      </c>
      <c r="K28" s="248">
        <v>0.5</v>
      </c>
      <c r="L28" s="1">
        <v>57.35</v>
      </c>
      <c r="M28" s="1">
        <v>25.018000000000001</v>
      </c>
      <c r="N28" s="1">
        <v>52.171999999999997</v>
      </c>
      <c r="O28" s="1">
        <v>53.103000000000002</v>
      </c>
      <c r="P28" s="1">
        <f t="shared" si="4"/>
        <v>52.637500000000003</v>
      </c>
      <c r="Q28" s="1">
        <v>5.3739999999999997</v>
      </c>
      <c r="R28" s="1">
        <v>8.3450000000000006</v>
      </c>
      <c r="S28" s="1">
        <f t="shared" si="5"/>
        <v>6.8595000000000006</v>
      </c>
      <c r="T28" s="1">
        <f t="shared" si="6"/>
        <v>0.93100000000000449</v>
      </c>
      <c r="U28" s="1">
        <f t="shared" si="7"/>
        <v>2.971000000000001</v>
      </c>
      <c r="V28" s="1">
        <v>47</v>
      </c>
      <c r="W28" s="1">
        <v>149</v>
      </c>
      <c r="X28" s="1">
        <f t="shared" si="10"/>
        <v>46.550000000000225</v>
      </c>
      <c r="Y28" s="1">
        <f t="shared" si="8"/>
        <v>148.55000000000004</v>
      </c>
      <c r="Z28" s="1">
        <v>20</v>
      </c>
      <c r="AA28" s="63">
        <v>7003</v>
      </c>
      <c r="AB28" s="82">
        <v>0.83263888888888893</v>
      </c>
      <c r="AC28" s="82">
        <v>4.027777777777778E-2</v>
      </c>
      <c r="AD28" s="82">
        <f t="shared" si="9"/>
        <v>0.87291666666666667</v>
      </c>
      <c r="AE28" s="81">
        <v>0.87291666666666667</v>
      </c>
    </row>
    <row r="29" spans="1:33" ht="17" x14ac:dyDescent="0.2">
      <c r="A29" s="61">
        <v>407</v>
      </c>
      <c r="B29" s="60" t="s">
        <v>1502</v>
      </c>
      <c r="C29" s="60" t="s">
        <v>2167</v>
      </c>
      <c r="D29" s="61" t="s">
        <v>1981</v>
      </c>
      <c r="E29" s="1">
        <v>810547</v>
      </c>
      <c r="F29" s="1" t="s">
        <v>1741</v>
      </c>
      <c r="G29" s="61" t="s">
        <v>1982</v>
      </c>
      <c r="H29" s="61">
        <v>500</v>
      </c>
      <c r="I29" s="61"/>
      <c r="J29" s="60" t="s">
        <v>742</v>
      </c>
      <c r="K29" s="248">
        <v>0.5</v>
      </c>
      <c r="L29" s="1">
        <v>57.35</v>
      </c>
      <c r="M29" s="1">
        <v>25.018000000000001</v>
      </c>
      <c r="N29" s="1">
        <v>52.999000000000002</v>
      </c>
      <c r="O29" s="1">
        <v>53.783000000000001</v>
      </c>
      <c r="P29" s="1">
        <f t="shared" si="4"/>
        <v>53.391000000000005</v>
      </c>
      <c r="Q29" s="1">
        <v>3.835</v>
      </c>
      <c r="R29" s="1">
        <v>6.806</v>
      </c>
      <c r="S29" s="1">
        <f t="shared" si="5"/>
        <v>5.3205</v>
      </c>
      <c r="T29" s="1">
        <f t="shared" si="6"/>
        <v>0.78399999999999892</v>
      </c>
      <c r="U29" s="1">
        <f t="shared" si="7"/>
        <v>2.9710000000000001</v>
      </c>
      <c r="V29" s="1">
        <v>40</v>
      </c>
      <c r="W29" s="1">
        <v>149</v>
      </c>
      <c r="X29" s="1">
        <f t="shared" si="10"/>
        <v>39.199999999999946</v>
      </c>
      <c r="Y29" s="1">
        <f t="shared" si="8"/>
        <v>148.55000000000001</v>
      </c>
      <c r="Z29" s="1">
        <v>20</v>
      </c>
      <c r="AA29" s="63">
        <v>5960</v>
      </c>
      <c r="AB29" s="82">
        <v>0.88541666666666663</v>
      </c>
      <c r="AC29" s="82">
        <v>4.1666666666666664E-2</v>
      </c>
      <c r="AD29" s="82">
        <f t="shared" si="9"/>
        <v>0.92708333333333326</v>
      </c>
      <c r="AE29" s="81">
        <v>0.92708333333333337</v>
      </c>
    </row>
    <row r="30" spans="1:33" ht="17" x14ac:dyDescent="0.2">
      <c r="A30" s="61"/>
      <c r="B30" s="61" t="s">
        <v>1503</v>
      </c>
      <c r="C30" s="60"/>
      <c r="D30" s="61"/>
      <c r="E30" s="1">
        <v>810548</v>
      </c>
      <c r="F30" s="1" t="s">
        <v>1741</v>
      </c>
      <c r="G30" s="61"/>
      <c r="H30" s="61">
        <v>12</v>
      </c>
      <c r="I30" s="61" t="s">
        <v>2168</v>
      </c>
      <c r="J30" s="60" t="s">
        <v>742</v>
      </c>
      <c r="K30" s="248">
        <v>0.1</v>
      </c>
      <c r="L30" s="1">
        <v>93.3</v>
      </c>
      <c r="M30" s="1">
        <v>-17</v>
      </c>
      <c r="N30" s="250">
        <v>1</v>
      </c>
      <c r="O30" s="250">
        <v>5</v>
      </c>
      <c r="P30" s="1">
        <f t="shared" si="4"/>
        <v>3</v>
      </c>
      <c r="Q30" s="250">
        <v>1</v>
      </c>
      <c r="R30" s="250">
        <v>9</v>
      </c>
      <c r="S30" s="1">
        <f t="shared" ref="S30:S33" si="11">(R30+Q30)/2</f>
        <v>5</v>
      </c>
      <c r="T30" s="1">
        <f t="shared" ref="T30:T33" si="12">O30-N30</f>
        <v>4</v>
      </c>
      <c r="U30" s="1">
        <f t="shared" ref="U30:U33" si="13">R30-Q30</f>
        <v>8</v>
      </c>
      <c r="V30" s="1">
        <v>201</v>
      </c>
      <c r="W30" s="1">
        <v>401</v>
      </c>
      <c r="X30" s="1">
        <f t="shared" ref="X30:X33" si="14">T30/(Z30/1000)</f>
        <v>200</v>
      </c>
      <c r="Y30" s="1">
        <f t="shared" ref="Y30:Y33" si="15">U30/(Z30/1000)</f>
        <v>400</v>
      </c>
      <c r="Z30" s="1">
        <v>20</v>
      </c>
      <c r="AA30" s="63">
        <v>80601</v>
      </c>
      <c r="AB30" s="82">
        <v>0.98611111111111116</v>
      </c>
      <c r="AC30" s="82">
        <v>9.3055555555555558E-2</v>
      </c>
      <c r="AD30" s="82">
        <f t="shared" si="9"/>
        <v>1.0791666666666666</v>
      </c>
      <c r="AF30" s="82">
        <v>0.48194444444444445</v>
      </c>
      <c r="AG30" s="81">
        <v>7.4999999999999997E-2</v>
      </c>
    </row>
    <row r="31" spans="1:33" ht="17" x14ac:dyDescent="0.2">
      <c r="A31" s="61"/>
      <c r="B31" s="60" t="s">
        <v>1504</v>
      </c>
      <c r="C31" s="60"/>
      <c r="D31" s="61"/>
      <c r="E31" s="1">
        <v>810549</v>
      </c>
      <c r="F31" s="1" t="s">
        <v>1741</v>
      </c>
      <c r="G31" s="61"/>
      <c r="H31" s="61">
        <v>12</v>
      </c>
      <c r="I31" s="61" t="s">
        <v>2169</v>
      </c>
      <c r="J31" s="60" t="s">
        <v>742</v>
      </c>
      <c r="K31" s="248">
        <v>0.1</v>
      </c>
      <c r="L31" s="1">
        <v>93.3</v>
      </c>
      <c r="M31" s="1">
        <v>-17</v>
      </c>
      <c r="N31" s="250">
        <v>27</v>
      </c>
      <c r="O31" s="250">
        <v>31</v>
      </c>
      <c r="P31" s="1">
        <f t="shared" si="4"/>
        <v>29</v>
      </c>
      <c r="Q31" s="250">
        <v>9</v>
      </c>
      <c r="R31" s="250">
        <v>14</v>
      </c>
      <c r="S31" s="1">
        <f>(R31+Q31)/2</f>
        <v>11.5</v>
      </c>
      <c r="T31" s="1">
        <f t="shared" si="12"/>
        <v>4</v>
      </c>
      <c r="U31" s="1">
        <f>R31-Q31</f>
        <v>5</v>
      </c>
      <c r="V31" s="1">
        <v>201</v>
      </c>
      <c r="W31" s="1">
        <v>251</v>
      </c>
      <c r="X31" s="1">
        <f t="shared" si="14"/>
        <v>200</v>
      </c>
      <c r="Y31" s="1">
        <f t="shared" si="15"/>
        <v>250</v>
      </c>
      <c r="Z31" s="1">
        <v>20</v>
      </c>
      <c r="AA31" s="63">
        <v>50451</v>
      </c>
      <c r="AB31" s="82">
        <f>AD30</f>
        <v>1.0791666666666666</v>
      </c>
      <c r="AC31" s="82">
        <v>5.8333333333333334E-2</v>
      </c>
      <c r="AD31" s="82">
        <f t="shared" si="9"/>
        <v>1.1375</v>
      </c>
      <c r="AF31" s="82">
        <v>0.50624999999999998</v>
      </c>
      <c r="AG31" s="81">
        <v>6.458333333333334E-2</v>
      </c>
    </row>
    <row r="32" spans="1:33" ht="17" x14ac:dyDescent="0.2">
      <c r="A32" s="61"/>
      <c r="B32" s="60" t="s">
        <v>1505</v>
      </c>
      <c r="C32" s="60"/>
      <c r="D32" s="61"/>
      <c r="E32" s="1">
        <v>810550</v>
      </c>
      <c r="F32" s="1" t="s">
        <v>1741</v>
      </c>
      <c r="G32" s="61"/>
      <c r="H32" s="61">
        <v>12</v>
      </c>
      <c r="I32" s="61" t="s">
        <v>2170</v>
      </c>
      <c r="J32" s="60" t="s">
        <v>742</v>
      </c>
      <c r="K32" s="248">
        <v>0.1</v>
      </c>
      <c r="L32" s="1">
        <v>93.3</v>
      </c>
      <c r="M32" s="1">
        <v>-17</v>
      </c>
      <c r="N32" s="250">
        <v>54.5</v>
      </c>
      <c r="O32" s="250">
        <v>60</v>
      </c>
      <c r="P32" s="1">
        <f t="shared" si="4"/>
        <v>57.25</v>
      </c>
      <c r="Q32" s="250">
        <v>0.5</v>
      </c>
      <c r="R32" s="250">
        <v>9</v>
      </c>
      <c r="S32" s="1">
        <f t="shared" si="11"/>
        <v>4.75</v>
      </c>
      <c r="T32" s="1">
        <f t="shared" si="12"/>
        <v>5.5</v>
      </c>
      <c r="U32" s="1">
        <f t="shared" si="13"/>
        <v>8.5</v>
      </c>
      <c r="V32" s="1">
        <v>276</v>
      </c>
      <c r="W32" s="1">
        <v>426</v>
      </c>
      <c r="X32" s="1">
        <f t="shared" si="14"/>
        <v>275</v>
      </c>
      <c r="Y32" s="1">
        <f t="shared" si="15"/>
        <v>425</v>
      </c>
      <c r="Z32" s="1">
        <v>20</v>
      </c>
      <c r="AA32" s="63">
        <v>117577</v>
      </c>
      <c r="AB32" s="82">
        <f t="shared" ref="AB32:AB33" si="16">AD31</f>
        <v>1.1375</v>
      </c>
      <c r="AC32" s="82">
        <v>0.13541666666666666</v>
      </c>
      <c r="AD32" s="82">
        <f t="shared" si="9"/>
        <v>1.2729166666666667</v>
      </c>
      <c r="AF32" s="82">
        <v>0.53125</v>
      </c>
      <c r="AG32" s="81">
        <v>0.1673611111111111</v>
      </c>
    </row>
    <row r="33" spans="1:33" ht="17" x14ac:dyDescent="0.2">
      <c r="A33" s="61"/>
      <c r="B33" s="60" t="s">
        <v>1506</v>
      </c>
      <c r="C33" s="60"/>
      <c r="D33" s="61"/>
      <c r="E33" s="1">
        <v>810551</v>
      </c>
      <c r="F33" s="1" t="s">
        <v>1741</v>
      </c>
      <c r="G33" s="61"/>
      <c r="H33" s="61">
        <v>12</v>
      </c>
      <c r="I33" s="61" t="s">
        <v>2171</v>
      </c>
      <c r="J33" s="60" t="s">
        <v>742</v>
      </c>
      <c r="K33" s="248">
        <v>0.1</v>
      </c>
      <c r="L33" s="1">
        <v>93.3</v>
      </c>
      <c r="M33" s="1">
        <v>-17</v>
      </c>
      <c r="N33" s="250">
        <v>89</v>
      </c>
      <c r="O33" s="250">
        <v>95</v>
      </c>
      <c r="P33" s="1">
        <f t="shared" si="4"/>
        <v>92</v>
      </c>
      <c r="Q33" s="250">
        <v>9</v>
      </c>
      <c r="R33" s="250">
        <v>15</v>
      </c>
      <c r="S33" s="1">
        <f t="shared" si="11"/>
        <v>12</v>
      </c>
      <c r="T33" s="1">
        <f t="shared" si="12"/>
        <v>6</v>
      </c>
      <c r="U33" s="1">
        <f t="shared" si="13"/>
        <v>6</v>
      </c>
      <c r="V33" s="1">
        <v>301</v>
      </c>
      <c r="W33" s="1">
        <v>301</v>
      </c>
      <c r="X33" s="1">
        <f t="shared" si="14"/>
        <v>300</v>
      </c>
      <c r="Y33" s="1">
        <f t="shared" si="15"/>
        <v>300</v>
      </c>
      <c r="Z33" s="1">
        <v>20</v>
      </c>
      <c r="AA33" s="63">
        <v>90602</v>
      </c>
      <c r="AB33" s="82">
        <f t="shared" si="16"/>
        <v>1.2729166666666667</v>
      </c>
      <c r="AC33" s="82">
        <v>0.10486111111111111</v>
      </c>
      <c r="AD33" s="82">
        <f t="shared" si="9"/>
        <v>1.3777777777777778</v>
      </c>
      <c r="AF33" s="82">
        <v>6.1111111111111109E-2</v>
      </c>
      <c r="AG33" s="81">
        <v>0.16597222222222222</v>
      </c>
    </row>
    <row r="34" spans="1:33" ht="17" x14ac:dyDescent="0.2">
      <c r="A34" s="7">
        <v>408</v>
      </c>
      <c r="B34" s="60" t="s">
        <v>1502</v>
      </c>
      <c r="C34" s="60" t="s">
        <v>2167</v>
      </c>
      <c r="D34" s="61" t="s">
        <v>1981</v>
      </c>
      <c r="E34" s="1">
        <v>810552</v>
      </c>
      <c r="F34" s="1" t="s">
        <v>1741</v>
      </c>
      <c r="G34" s="61" t="s">
        <v>1986</v>
      </c>
      <c r="H34" s="61">
        <v>500</v>
      </c>
      <c r="I34" s="61"/>
      <c r="J34" s="60" t="s">
        <v>742</v>
      </c>
      <c r="K34" s="248">
        <v>0.5</v>
      </c>
      <c r="L34" s="1">
        <v>57.350999999999999</v>
      </c>
      <c r="M34" s="1">
        <v>25</v>
      </c>
      <c r="N34" s="1">
        <v>52.07</v>
      </c>
      <c r="O34" s="1">
        <v>53.07</v>
      </c>
      <c r="P34" s="1">
        <f t="shared" si="4"/>
        <v>52.57</v>
      </c>
      <c r="Q34" s="1">
        <v>3.835</v>
      </c>
      <c r="R34" s="1">
        <v>6.915</v>
      </c>
      <c r="S34" s="1">
        <f t="shared" si="5"/>
        <v>5.375</v>
      </c>
      <c r="T34" s="1">
        <f t="shared" si="6"/>
        <v>1</v>
      </c>
      <c r="U34" s="1">
        <f t="shared" si="7"/>
        <v>3.08</v>
      </c>
      <c r="V34" s="1">
        <v>51</v>
      </c>
      <c r="W34" s="1">
        <v>155</v>
      </c>
      <c r="X34" s="1">
        <f t="shared" si="10"/>
        <v>50</v>
      </c>
      <c r="Y34" s="1">
        <f t="shared" si="8"/>
        <v>154</v>
      </c>
      <c r="Z34" s="1">
        <v>20</v>
      </c>
      <c r="AA34" s="63">
        <v>7905</v>
      </c>
      <c r="AB34" s="82">
        <v>0.45</v>
      </c>
      <c r="AC34" s="82">
        <v>4.5138888888888888E-2</v>
      </c>
      <c r="AD34" s="82">
        <f t="shared" si="9"/>
        <v>0.49513888888888891</v>
      </c>
      <c r="AE34" s="81">
        <v>0.49583333333333335</v>
      </c>
    </row>
    <row r="35" spans="1:33" ht="17" x14ac:dyDescent="0.2">
      <c r="A35" s="7">
        <v>409</v>
      </c>
      <c r="B35" s="60" t="s">
        <v>1502</v>
      </c>
      <c r="C35" s="60" t="s">
        <v>2167</v>
      </c>
      <c r="D35" s="61" t="s">
        <v>1981</v>
      </c>
      <c r="E35" s="1">
        <v>810553</v>
      </c>
      <c r="F35" s="1" t="s">
        <v>1741</v>
      </c>
      <c r="G35" s="61" t="s">
        <v>1986</v>
      </c>
      <c r="H35" s="61">
        <v>500</v>
      </c>
      <c r="I35" s="61" t="s">
        <v>2172</v>
      </c>
      <c r="J35" s="60" t="s">
        <v>742</v>
      </c>
      <c r="K35" s="248">
        <v>0.5</v>
      </c>
      <c r="L35" s="1">
        <v>57.350999999999999</v>
      </c>
      <c r="M35" s="1">
        <v>25</v>
      </c>
      <c r="N35" s="1">
        <v>52.161999999999999</v>
      </c>
      <c r="O35" s="1">
        <v>53.526000000000003</v>
      </c>
      <c r="P35" s="1">
        <f t="shared" si="4"/>
        <v>52.844000000000001</v>
      </c>
      <c r="Q35" s="1">
        <v>4.593</v>
      </c>
      <c r="R35" s="1">
        <v>7.673</v>
      </c>
      <c r="S35" s="1">
        <f t="shared" si="5"/>
        <v>6.133</v>
      </c>
      <c r="T35" s="1">
        <f t="shared" si="6"/>
        <v>1.3640000000000043</v>
      </c>
      <c r="U35" s="1">
        <f t="shared" si="7"/>
        <v>3.08</v>
      </c>
      <c r="V35" s="1">
        <v>69</v>
      </c>
      <c r="W35" s="1">
        <v>155</v>
      </c>
      <c r="X35" s="1">
        <f t="shared" si="10"/>
        <v>68.200000000000216</v>
      </c>
      <c r="Y35" s="1">
        <f t="shared" si="8"/>
        <v>154</v>
      </c>
      <c r="Z35" s="1">
        <v>20</v>
      </c>
      <c r="AA35" s="63">
        <v>10695</v>
      </c>
      <c r="AB35" s="82">
        <v>0.5083333333333333</v>
      </c>
      <c r="AC35" s="82">
        <v>6.1805555555555558E-2</v>
      </c>
      <c r="AD35" s="82">
        <f t="shared" si="9"/>
        <v>0.57013888888888886</v>
      </c>
      <c r="AE35" s="81">
        <v>0.57013888888888886</v>
      </c>
      <c r="AG35" s="82"/>
    </row>
    <row r="36" spans="1:33" ht="17" x14ac:dyDescent="0.2">
      <c r="A36" s="7">
        <v>409</v>
      </c>
      <c r="B36" s="60" t="s">
        <v>1507</v>
      </c>
      <c r="C36" s="60" t="s">
        <v>2173</v>
      </c>
      <c r="D36" s="61" t="s">
        <v>1981</v>
      </c>
      <c r="E36" s="1">
        <v>810554</v>
      </c>
      <c r="F36" s="1" t="s">
        <v>1741</v>
      </c>
      <c r="G36" s="61" t="s">
        <v>1986</v>
      </c>
      <c r="H36" s="61">
        <v>500</v>
      </c>
      <c r="I36" s="1" t="s">
        <v>2174</v>
      </c>
      <c r="J36" s="60" t="s">
        <v>742</v>
      </c>
      <c r="K36" s="248">
        <v>0.5</v>
      </c>
      <c r="L36" s="1">
        <v>57.350999999999999</v>
      </c>
      <c r="M36" s="1">
        <v>25</v>
      </c>
      <c r="N36" s="1">
        <v>52.161999999999999</v>
      </c>
      <c r="O36" s="1">
        <v>53.526000000000003</v>
      </c>
      <c r="P36" s="1">
        <f t="shared" ref="P36" si="17">(O36+N36)/2</f>
        <v>52.844000000000001</v>
      </c>
      <c r="Q36" s="1">
        <v>6.1239999999999997</v>
      </c>
      <c r="R36" s="1">
        <v>7.673</v>
      </c>
      <c r="S36" s="1">
        <f t="shared" ref="S36" si="18">(R36+Q36)/2</f>
        <v>6.8985000000000003</v>
      </c>
      <c r="T36" s="1">
        <f t="shared" ref="T36" si="19">O36-N36</f>
        <v>1.3640000000000043</v>
      </c>
      <c r="U36" s="1">
        <f t="shared" ref="U36" si="20">R36-Q36</f>
        <v>1.5490000000000004</v>
      </c>
      <c r="V36" s="1">
        <v>69</v>
      </c>
      <c r="W36" s="1">
        <v>78</v>
      </c>
      <c r="X36" s="1">
        <f t="shared" ref="X36" si="21">T36/(Z36/1000)</f>
        <v>68.200000000000216</v>
      </c>
      <c r="Y36" s="1">
        <f t="shared" ref="Y36" si="22">U36/(Z36/1000)</f>
        <v>77.450000000000017</v>
      </c>
      <c r="Z36" s="1">
        <v>20</v>
      </c>
      <c r="AA36" s="63">
        <v>5382</v>
      </c>
      <c r="AB36" s="82">
        <v>0.5083333333333333</v>
      </c>
      <c r="AC36" s="82">
        <v>3.0555555555555555E-2</v>
      </c>
      <c r="AD36" s="82">
        <f t="shared" ref="AD36" si="23">AB36+AC36</f>
        <v>0.53888888888888886</v>
      </c>
      <c r="AE36" s="81">
        <v>0.57847222222222228</v>
      </c>
      <c r="AG36" s="82"/>
    </row>
    <row r="37" spans="1:33" ht="17" x14ac:dyDescent="0.2">
      <c r="A37" s="7">
        <v>410</v>
      </c>
      <c r="B37" s="60" t="s">
        <v>1507</v>
      </c>
      <c r="C37" s="60" t="s">
        <v>2173</v>
      </c>
      <c r="D37" s="61" t="s">
        <v>1981</v>
      </c>
      <c r="E37" s="1">
        <v>810555</v>
      </c>
      <c r="F37" s="1" t="s">
        <v>1741</v>
      </c>
      <c r="G37" s="61" t="s">
        <v>1986</v>
      </c>
      <c r="H37" s="61">
        <v>500</v>
      </c>
      <c r="I37" s="61" t="s">
        <v>2175</v>
      </c>
      <c r="J37" s="60" t="s">
        <v>742</v>
      </c>
      <c r="K37" s="248">
        <v>0.5</v>
      </c>
      <c r="L37" s="1">
        <v>57.350999999999999</v>
      </c>
      <c r="M37" s="1">
        <v>25</v>
      </c>
      <c r="N37" s="1">
        <v>52.223999999999997</v>
      </c>
      <c r="O37" s="1">
        <v>53.393999999999998</v>
      </c>
      <c r="P37" s="1">
        <f t="shared" si="4"/>
        <v>52.808999999999997</v>
      </c>
      <c r="Q37" s="1">
        <v>5.5209999999999999</v>
      </c>
      <c r="R37" s="1">
        <v>8.0289999999999999</v>
      </c>
      <c r="S37" s="1">
        <f t="shared" si="5"/>
        <v>6.7750000000000004</v>
      </c>
      <c r="T37" s="1">
        <f t="shared" si="6"/>
        <v>1.1700000000000017</v>
      </c>
      <c r="U37" s="1">
        <f t="shared" si="7"/>
        <v>2.508</v>
      </c>
      <c r="V37" s="1">
        <v>59</v>
      </c>
      <c r="W37" s="1">
        <v>126</v>
      </c>
      <c r="X37" s="1">
        <f t="shared" si="10"/>
        <v>58.500000000000085</v>
      </c>
      <c r="Y37" s="1">
        <f t="shared" si="8"/>
        <v>125.39999999999999</v>
      </c>
      <c r="Z37" s="1">
        <v>20</v>
      </c>
      <c r="AA37" s="63">
        <v>7434</v>
      </c>
      <c r="AB37" s="82">
        <v>0.76736111111111116</v>
      </c>
      <c r="AC37" s="82">
        <v>4.2361111111111113E-2</v>
      </c>
      <c r="AD37" s="82">
        <f t="shared" si="9"/>
        <v>0.80972222222222223</v>
      </c>
      <c r="AE37" s="81">
        <v>0.81041666666666667</v>
      </c>
    </row>
    <row r="38" spans="1:33" ht="17" x14ac:dyDescent="0.2">
      <c r="A38" s="7">
        <v>411</v>
      </c>
      <c r="B38" s="79" t="s">
        <v>1508</v>
      </c>
      <c r="C38" s="1" t="s">
        <v>2176</v>
      </c>
      <c r="D38" s="61" t="s">
        <v>1981</v>
      </c>
      <c r="E38" s="1">
        <v>810556</v>
      </c>
      <c r="F38" s="1" t="s">
        <v>1741</v>
      </c>
      <c r="G38" s="61" t="s">
        <v>1986</v>
      </c>
      <c r="H38" s="61">
        <v>500</v>
      </c>
      <c r="J38" s="60" t="s">
        <v>742</v>
      </c>
      <c r="K38" s="248">
        <v>0.5</v>
      </c>
      <c r="L38" s="1">
        <v>57.350999999999999</v>
      </c>
      <c r="M38" s="1">
        <v>25</v>
      </c>
      <c r="N38" s="1">
        <v>51.9</v>
      </c>
      <c r="O38" s="1">
        <v>53.139000000000003</v>
      </c>
      <c r="P38" s="1">
        <f t="shared" si="4"/>
        <v>52.519500000000001</v>
      </c>
      <c r="Q38" s="1">
        <v>4.91</v>
      </c>
      <c r="R38" s="1">
        <v>8.2989999999999995</v>
      </c>
      <c r="S38" s="1">
        <f t="shared" si="5"/>
        <v>6.6044999999999998</v>
      </c>
      <c r="T38" s="1">
        <f t="shared" si="6"/>
        <v>1.2390000000000043</v>
      </c>
      <c r="U38" s="1">
        <f t="shared" si="7"/>
        <v>3.3889999999999993</v>
      </c>
      <c r="V38" s="1">
        <v>62</v>
      </c>
      <c r="W38" s="1">
        <v>170</v>
      </c>
      <c r="X38" s="1">
        <f t="shared" si="10"/>
        <v>61.950000000000216</v>
      </c>
      <c r="Y38" s="1">
        <f t="shared" si="8"/>
        <v>169.44999999999996</v>
      </c>
      <c r="Z38" s="1">
        <v>20</v>
      </c>
      <c r="AA38" s="63">
        <v>10540</v>
      </c>
      <c r="AB38" s="82">
        <f>AD37+$AG$38</f>
        <v>0.82013888888888886</v>
      </c>
      <c r="AC38" s="82">
        <v>6.0416666666666667E-2</v>
      </c>
      <c r="AD38" s="82">
        <f t="shared" si="9"/>
        <v>0.88055555555555554</v>
      </c>
      <c r="AE38" s="81">
        <v>0.87361111111111112</v>
      </c>
      <c r="AG38" s="82">
        <v>1.0416666666666666E-2</v>
      </c>
    </row>
    <row r="39" spans="1:33" x14ac:dyDescent="0.2">
      <c r="A39" s="7">
        <v>412</v>
      </c>
      <c r="B39" s="79"/>
      <c r="C39" s="1" t="s">
        <v>2176</v>
      </c>
      <c r="D39" s="61" t="s">
        <v>1981</v>
      </c>
      <c r="I39" s="1" t="s">
        <v>2177</v>
      </c>
      <c r="J39" s="79"/>
      <c r="K39" s="63"/>
      <c r="P39" s="1">
        <f t="shared" si="4"/>
        <v>0</v>
      </c>
      <c r="S39" s="1">
        <f t="shared" si="5"/>
        <v>0</v>
      </c>
      <c r="T39" s="1">
        <f t="shared" si="6"/>
        <v>0</v>
      </c>
      <c r="U39" s="1">
        <f t="shared" si="7"/>
        <v>0</v>
      </c>
      <c r="X39" s="1">
        <f t="shared" si="10"/>
        <v>0</v>
      </c>
      <c r="Y39" s="1">
        <f t="shared" si="8"/>
        <v>0</v>
      </c>
      <c r="Z39" s="1">
        <v>20</v>
      </c>
      <c r="AA39" s="63"/>
      <c r="AC39" s="82"/>
      <c r="AD39" s="82"/>
    </row>
    <row r="40" spans="1:33" ht="17" x14ac:dyDescent="0.2">
      <c r="A40" s="7">
        <v>413</v>
      </c>
      <c r="B40" s="79" t="s">
        <v>1509</v>
      </c>
      <c r="C40" s="1" t="s">
        <v>2178</v>
      </c>
      <c r="D40" s="61" t="s">
        <v>1981</v>
      </c>
      <c r="E40" s="1">
        <v>810557</v>
      </c>
      <c r="F40" s="1" t="s">
        <v>1741</v>
      </c>
      <c r="G40" s="61" t="s">
        <v>1986</v>
      </c>
      <c r="H40" s="61">
        <v>500</v>
      </c>
      <c r="J40" s="60" t="s">
        <v>742</v>
      </c>
      <c r="K40" s="248">
        <v>0.5</v>
      </c>
      <c r="L40" s="1">
        <v>57.350999999999999</v>
      </c>
      <c r="M40" s="1">
        <v>25</v>
      </c>
      <c r="N40" s="1">
        <v>52.1</v>
      </c>
      <c r="O40" s="1">
        <v>52.753</v>
      </c>
      <c r="P40" s="1">
        <f t="shared" si="4"/>
        <v>52.426500000000004</v>
      </c>
      <c r="Q40" s="1">
        <v>4.91</v>
      </c>
      <c r="R40" s="1">
        <v>8.1910000000000007</v>
      </c>
      <c r="S40" s="1">
        <f t="shared" si="5"/>
        <v>6.5505000000000004</v>
      </c>
      <c r="T40" s="1">
        <f t="shared" si="6"/>
        <v>0.65299999999999869</v>
      </c>
      <c r="U40" s="1">
        <f t="shared" si="7"/>
        <v>3.2810000000000006</v>
      </c>
      <c r="V40" s="1">
        <v>33</v>
      </c>
      <c r="W40" s="1">
        <v>165</v>
      </c>
      <c r="X40" s="1">
        <f t="shared" si="10"/>
        <v>32.649999999999935</v>
      </c>
      <c r="Y40" s="1">
        <f t="shared" si="8"/>
        <v>164.05000000000004</v>
      </c>
      <c r="Z40" s="1">
        <v>20</v>
      </c>
      <c r="AA40" s="63">
        <v>5445</v>
      </c>
      <c r="AB40" s="82">
        <v>0.90486111111111112</v>
      </c>
      <c r="AC40" s="82">
        <v>3.125E-2</v>
      </c>
      <c r="AD40" s="82">
        <f t="shared" si="9"/>
        <v>0.93611111111111112</v>
      </c>
      <c r="AE40" s="81">
        <v>0.93680555555555556</v>
      </c>
    </row>
    <row r="41" spans="1:33" ht="17" x14ac:dyDescent="0.2">
      <c r="A41" s="7">
        <v>414</v>
      </c>
      <c r="B41" s="79" t="s">
        <v>1509</v>
      </c>
      <c r="C41" s="1" t="s">
        <v>2178</v>
      </c>
      <c r="D41" s="61" t="s">
        <v>1981</v>
      </c>
      <c r="E41" s="1">
        <v>810558</v>
      </c>
      <c r="F41" s="1" t="s">
        <v>1741</v>
      </c>
      <c r="G41" s="61" t="s">
        <v>1986</v>
      </c>
      <c r="H41" s="61">
        <v>500</v>
      </c>
      <c r="I41" s="1" t="s">
        <v>2179</v>
      </c>
      <c r="J41" s="60" t="s">
        <v>742</v>
      </c>
      <c r="K41" s="248">
        <v>0.5</v>
      </c>
      <c r="L41" s="1">
        <v>57.350999999999999</v>
      </c>
      <c r="M41" s="1">
        <v>25</v>
      </c>
      <c r="N41" s="1">
        <v>52.146999999999998</v>
      </c>
      <c r="O41" s="1">
        <v>53.24</v>
      </c>
      <c r="P41" s="1">
        <f t="shared" si="4"/>
        <v>52.6935</v>
      </c>
      <c r="Q41" s="1">
        <v>6.5960000000000001</v>
      </c>
      <c r="R41" s="1">
        <v>8.4309999999999992</v>
      </c>
      <c r="S41" s="1">
        <f t="shared" si="5"/>
        <v>7.5134999999999996</v>
      </c>
      <c r="T41" s="1">
        <f t="shared" si="6"/>
        <v>1.0930000000000035</v>
      </c>
      <c r="U41" s="1">
        <f t="shared" si="7"/>
        <v>1.8349999999999991</v>
      </c>
      <c r="V41" s="1">
        <v>55</v>
      </c>
      <c r="W41" s="1">
        <v>92</v>
      </c>
      <c r="X41" s="1">
        <f t="shared" si="10"/>
        <v>54.650000000000176</v>
      </c>
      <c r="Y41" s="1">
        <f t="shared" si="8"/>
        <v>91.749999999999957</v>
      </c>
      <c r="Z41" s="1">
        <v>20</v>
      </c>
      <c r="AA41" s="63">
        <v>5060</v>
      </c>
      <c r="AB41" s="82">
        <f t="shared" ref="AB41" si="24">AD40+$AG$38</f>
        <v>0.94652777777777775</v>
      </c>
      <c r="AC41" s="82">
        <v>2.9166666666666667E-2</v>
      </c>
      <c r="AD41" s="82">
        <f t="shared" si="9"/>
        <v>0.97569444444444442</v>
      </c>
      <c r="AE41" s="81">
        <v>0.98055555555555551</v>
      </c>
    </row>
    <row r="42" spans="1:33" ht="17" x14ac:dyDescent="0.2">
      <c r="A42" s="7">
        <v>414</v>
      </c>
      <c r="B42" s="79" t="s">
        <v>1509</v>
      </c>
      <c r="C42" s="1" t="s">
        <v>2178</v>
      </c>
      <c r="D42" s="61" t="s">
        <v>1981</v>
      </c>
      <c r="E42" s="1">
        <v>810559</v>
      </c>
      <c r="F42" s="1" t="s">
        <v>1741</v>
      </c>
      <c r="G42" s="61" t="s">
        <v>1986</v>
      </c>
      <c r="H42" s="61">
        <v>500</v>
      </c>
      <c r="I42" s="1" t="s">
        <v>2180</v>
      </c>
      <c r="J42" s="60" t="s">
        <v>742</v>
      </c>
      <c r="K42" s="248">
        <v>0.5</v>
      </c>
      <c r="L42" s="1">
        <v>57.350999999999999</v>
      </c>
      <c r="M42" s="1">
        <v>25</v>
      </c>
      <c r="N42" s="1">
        <v>52.695999999999998</v>
      </c>
      <c r="O42" s="1">
        <v>53.787999999999997</v>
      </c>
      <c r="P42" s="1">
        <f t="shared" ref="P42" si="25">(O42+N42)/2</f>
        <v>53.241999999999997</v>
      </c>
      <c r="Q42" s="1">
        <v>6.6959999999999997</v>
      </c>
      <c r="R42" s="1">
        <v>8.5310000000000006</v>
      </c>
      <c r="S42" s="1">
        <f t="shared" ref="S42" si="26">(R42+Q42)/2</f>
        <v>7.6135000000000002</v>
      </c>
      <c r="T42" s="1">
        <f t="shared" ref="T42" si="27">O42-N42</f>
        <v>1.0919999999999987</v>
      </c>
      <c r="U42" s="1">
        <f t="shared" ref="U42" si="28">R42-Q42</f>
        <v>1.8350000000000009</v>
      </c>
      <c r="V42" s="1">
        <v>55</v>
      </c>
      <c r="W42" s="1">
        <v>92</v>
      </c>
      <c r="X42" s="1">
        <f t="shared" si="10"/>
        <v>54.599999999999937</v>
      </c>
      <c r="Y42" s="1">
        <f t="shared" si="8"/>
        <v>91.750000000000043</v>
      </c>
      <c r="Z42" s="1">
        <v>20</v>
      </c>
      <c r="AA42" s="63">
        <v>5060</v>
      </c>
      <c r="AB42" s="82">
        <v>0.95208333333333328</v>
      </c>
      <c r="AC42" s="82">
        <v>2.9166666666666667E-2</v>
      </c>
      <c r="AD42" s="82">
        <f t="shared" si="9"/>
        <v>0.98124999999999996</v>
      </c>
      <c r="AE42" s="81">
        <v>0.98124999999999996</v>
      </c>
    </row>
    <row r="43" spans="1:33" ht="17" x14ac:dyDescent="0.2">
      <c r="A43" s="7">
        <v>414</v>
      </c>
      <c r="B43" s="79" t="s">
        <v>1509</v>
      </c>
      <c r="C43" s="1" t="s">
        <v>2178</v>
      </c>
      <c r="D43" s="61" t="s">
        <v>1981</v>
      </c>
      <c r="E43" s="1">
        <v>810560</v>
      </c>
      <c r="F43" s="1" t="s">
        <v>1741</v>
      </c>
      <c r="G43" s="61" t="s">
        <v>1986</v>
      </c>
      <c r="H43" s="61">
        <v>500</v>
      </c>
      <c r="I43" s="1" t="s">
        <v>2174</v>
      </c>
      <c r="J43" s="60" t="s">
        <v>742</v>
      </c>
      <c r="K43" s="248">
        <v>0.5</v>
      </c>
      <c r="L43" s="1">
        <v>57.350999999999999</v>
      </c>
      <c r="M43" s="1">
        <v>25</v>
      </c>
      <c r="N43" s="1">
        <v>52.671999999999997</v>
      </c>
      <c r="O43" s="1">
        <v>54.228999999999999</v>
      </c>
      <c r="P43" s="1">
        <f t="shared" ref="P43" si="29">(O43+N43)/2</f>
        <v>53.450499999999998</v>
      </c>
      <c r="Q43" s="1">
        <v>5.18</v>
      </c>
      <c r="R43" s="1">
        <v>6.5590000000000002</v>
      </c>
      <c r="S43" s="1">
        <f t="shared" ref="S43" si="30">(R43+Q43)/2</f>
        <v>5.8695000000000004</v>
      </c>
      <c r="T43" s="1">
        <f t="shared" ref="T43" si="31">O43-N43</f>
        <v>1.5570000000000022</v>
      </c>
      <c r="U43" s="1">
        <f t="shared" ref="U43" si="32">R43-Q43</f>
        <v>1.3790000000000004</v>
      </c>
      <c r="V43" s="1">
        <v>69</v>
      </c>
      <c r="W43" s="1">
        <v>78</v>
      </c>
      <c r="X43" s="1">
        <f t="shared" ref="X43" si="33">T43/(Z43/1000)</f>
        <v>77.850000000000108</v>
      </c>
      <c r="Y43" s="1">
        <f t="shared" ref="Y43" si="34">U43/(Z43/1000)</f>
        <v>68.950000000000017</v>
      </c>
      <c r="Z43" s="1">
        <v>20</v>
      </c>
      <c r="AA43" s="63">
        <v>5382</v>
      </c>
      <c r="AB43" s="82">
        <v>0.98472222222222228</v>
      </c>
      <c r="AC43" s="82">
        <v>3.0555555555555555E-2</v>
      </c>
      <c r="AD43" s="82">
        <f t="shared" ref="AD43" si="35">AB43+AC43</f>
        <v>1.0152777777777777</v>
      </c>
      <c r="AE43" s="81">
        <v>1.5972222222222221E-2</v>
      </c>
    </row>
    <row r="44" spans="1:33" x14ac:dyDescent="0.2">
      <c r="A44" s="7">
        <v>416</v>
      </c>
      <c r="B44" s="79"/>
      <c r="C44" s="1" t="s">
        <v>2181</v>
      </c>
      <c r="D44" s="61" t="s">
        <v>1981</v>
      </c>
      <c r="J44" s="79"/>
      <c r="K44" s="63"/>
      <c r="P44" s="1">
        <f t="shared" si="4"/>
        <v>0</v>
      </c>
      <c r="S44" s="1">
        <f t="shared" si="5"/>
        <v>0</v>
      </c>
      <c r="T44" s="1">
        <f t="shared" si="6"/>
        <v>0</v>
      </c>
      <c r="U44" s="1">
        <f t="shared" si="7"/>
        <v>0</v>
      </c>
      <c r="X44" s="1">
        <f t="shared" si="10"/>
        <v>0</v>
      </c>
      <c r="Y44" s="1">
        <f t="shared" si="8"/>
        <v>0</v>
      </c>
      <c r="Z44" s="1">
        <v>20</v>
      </c>
      <c r="AA44" s="63"/>
      <c r="AC44" s="82"/>
      <c r="AD44" s="82">
        <f t="shared" si="9"/>
        <v>0</v>
      </c>
    </row>
    <row r="45" spans="1:33" x14ac:dyDescent="0.2">
      <c r="A45" s="7">
        <v>417</v>
      </c>
      <c r="B45" s="79"/>
      <c r="C45" s="1" t="s">
        <v>2182</v>
      </c>
      <c r="D45" s="61" t="s">
        <v>1981</v>
      </c>
      <c r="J45" s="79"/>
      <c r="K45" s="63"/>
      <c r="P45" s="1">
        <f t="shared" si="4"/>
        <v>0</v>
      </c>
      <c r="S45" s="1">
        <f t="shared" si="5"/>
        <v>0</v>
      </c>
      <c r="T45" s="1">
        <f t="shared" si="6"/>
        <v>0</v>
      </c>
      <c r="U45" s="1">
        <f t="shared" si="7"/>
        <v>0</v>
      </c>
      <c r="X45" s="1">
        <f t="shared" si="10"/>
        <v>0</v>
      </c>
      <c r="Y45" s="1">
        <f t="shared" si="8"/>
        <v>0</v>
      </c>
      <c r="Z45" s="1">
        <v>20</v>
      </c>
      <c r="AA45" s="63"/>
      <c r="AC45" s="82"/>
      <c r="AD45" s="82">
        <f t="shared" si="9"/>
        <v>0</v>
      </c>
    </row>
    <row r="46" spans="1:33" ht="17" x14ac:dyDescent="0.2">
      <c r="A46" s="7">
        <v>418</v>
      </c>
      <c r="B46" s="79" t="s">
        <v>1510</v>
      </c>
      <c r="C46" s="1" t="s">
        <v>2182</v>
      </c>
      <c r="D46" s="61" t="s">
        <v>1981</v>
      </c>
      <c r="E46" s="1">
        <v>810561</v>
      </c>
      <c r="F46" s="1" t="s">
        <v>1741</v>
      </c>
      <c r="G46" s="61" t="s">
        <v>1986</v>
      </c>
      <c r="H46" s="61">
        <v>500</v>
      </c>
      <c r="I46" s="1" t="s">
        <v>2174</v>
      </c>
      <c r="J46" s="60" t="s">
        <v>742</v>
      </c>
      <c r="K46" s="248">
        <v>0.5</v>
      </c>
      <c r="L46" s="1">
        <v>57.350999999999999</v>
      </c>
      <c r="M46" s="1">
        <v>25</v>
      </c>
      <c r="N46" s="1">
        <v>50.585999999999999</v>
      </c>
      <c r="O46" s="1">
        <v>51.47</v>
      </c>
      <c r="P46" s="1">
        <f t="shared" si="4"/>
        <v>51.027999999999999</v>
      </c>
      <c r="Q46" s="1">
        <v>4.6929999999999996</v>
      </c>
      <c r="R46" s="1">
        <v>6.915</v>
      </c>
      <c r="S46" s="1">
        <f>(R46+Q46)/2</f>
        <v>5.8040000000000003</v>
      </c>
      <c r="T46" s="1">
        <f t="shared" si="6"/>
        <v>0.88400000000000034</v>
      </c>
      <c r="U46" s="1">
        <f t="shared" si="7"/>
        <v>2.2220000000000004</v>
      </c>
      <c r="V46" s="1">
        <v>45</v>
      </c>
      <c r="W46" s="1">
        <v>112</v>
      </c>
      <c r="X46" s="1">
        <f t="shared" si="10"/>
        <v>44.200000000000017</v>
      </c>
      <c r="Y46" s="1">
        <f t="shared" si="8"/>
        <v>111.10000000000002</v>
      </c>
      <c r="Z46" s="1">
        <v>20</v>
      </c>
      <c r="AA46" s="63">
        <v>5040</v>
      </c>
      <c r="AB46" s="82">
        <v>3.125E-2</v>
      </c>
      <c r="AC46" s="82">
        <v>2.9166666666666667E-2</v>
      </c>
      <c r="AD46" s="82">
        <f t="shared" si="9"/>
        <v>6.0416666666666667E-2</v>
      </c>
      <c r="AE46" s="81">
        <v>6.0416666666666667E-2</v>
      </c>
    </row>
    <row r="47" spans="1:33" ht="17" x14ac:dyDescent="0.2">
      <c r="A47" s="7">
        <v>418</v>
      </c>
      <c r="B47" s="79" t="s">
        <v>1510</v>
      </c>
      <c r="C47" s="1" t="s">
        <v>2182</v>
      </c>
      <c r="D47" s="61" t="s">
        <v>1981</v>
      </c>
      <c r="E47" s="1">
        <v>810562</v>
      </c>
      <c r="F47" s="1" t="s">
        <v>1741</v>
      </c>
      <c r="G47" s="61" t="s">
        <v>1986</v>
      </c>
      <c r="H47" s="61">
        <v>500</v>
      </c>
      <c r="I47" s="1" t="s">
        <v>2174</v>
      </c>
      <c r="J47" s="60" t="s">
        <v>742</v>
      </c>
      <c r="K47" s="248">
        <v>0.5</v>
      </c>
      <c r="L47" s="1">
        <v>57.350999999999999</v>
      </c>
      <c r="M47" s="1">
        <v>25</v>
      </c>
      <c r="N47" s="1">
        <v>50.802999999999997</v>
      </c>
      <c r="O47" s="1">
        <v>51.686999999999998</v>
      </c>
      <c r="P47" s="1">
        <f t="shared" ref="P47" si="36">(O47+N47)/2</f>
        <v>51.244999999999997</v>
      </c>
      <c r="Q47" s="1">
        <v>6.7009999999999996</v>
      </c>
      <c r="R47" s="1">
        <v>7.9390000000000001</v>
      </c>
      <c r="S47" s="1">
        <f>(R47+Q47)/2</f>
        <v>7.32</v>
      </c>
      <c r="T47" s="1">
        <f t="shared" ref="T47" si="37">O47-N47</f>
        <v>0.88400000000000034</v>
      </c>
      <c r="U47" s="1">
        <f t="shared" ref="U47" si="38">R47-Q47</f>
        <v>1.2380000000000004</v>
      </c>
      <c r="V47" s="1">
        <v>45</v>
      </c>
      <c r="W47" s="1">
        <v>62</v>
      </c>
      <c r="X47" s="1">
        <f t="shared" ref="X47" si="39">T47/(Z47/1000)</f>
        <v>44.200000000000017</v>
      </c>
      <c r="Y47" s="1">
        <f t="shared" ref="Y47" si="40">U47/(Z47/1000)</f>
        <v>61.90000000000002</v>
      </c>
      <c r="Z47" s="1">
        <v>20</v>
      </c>
      <c r="AA47" s="63">
        <v>2790</v>
      </c>
      <c r="AB47" s="82">
        <v>6.458333333333334E-2</v>
      </c>
      <c r="AC47" s="82">
        <v>1.5972222222222221E-2</v>
      </c>
      <c r="AD47" s="82">
        <f t="shared" ref="AD47" si="41">AB47+AC47</f>
        <v>8.0555555555555561E-2</v>
      </c>
      <c r="AE47" s="81">
        <v>8.0555555555555561E-2</v>
      </c>
    </row>
    <row r="48" spans="1:33" ht="17" x14ac:dyDescent="0.2">
      <c r="A48" s="7">
        <v>418</v>
      </c>
      <c r="B48" s="79" t="s">
        <v>1510</v>
      </c>
      <c r="C48" s="1" t="s">
        <v>2182</v>
      </c>
      <c r="D48" s="61" t="s">
        <v>1981</v>
      </c>
      <c r="E48" s="1">
        <v>810563</v>
      </c>
      <c r="F48" s="1" t="s">
        <v>1741</v>
      </c>
      <c r="G48" s="61" t="s">
        <v>1986</v>
      </c>
      <c r="H48" s="61">
        <v>500</v>
      </c>
      <c r="I48" s="1" t="s">
        <v>2183</v>
      </c>
      <c r="J48" s="60" t="s">
        <v>742</v>
      </c>
      <c r="K48" s="248">
        <v>0.5</v>
      </c>
      <c r="L48" s="1">
        <v>57.350999999999999</v>
      </c>
      <c r="M48" s="1">
        <v>25</v>
      </c>
      <c r="N48" s="1">
        <v>51.47</v>
      </c>
      <c r="O48" s="1">
        <v>51.686999999999998</v>
      </c>
      <c r="P48" s="1">
        <f t="shared" ref="P48" si="42">(O48+N48)/2</f>
        <v>51.578499999999998</v>
      </c>
      <c r="Q48" s="1">
        <v>4.6929999999999996</v>
      </c>
      <c r="R48" s="1">
        <v>6.7009999999999996</v>
      </c>
      <c r="S48" s="1">
        <f>(R48+Q48)/2</f>
        <v>5.6969999999999992</v>
      </c>
      <c r="T48" s="1">
        <f t="shared" ref="T48" si="43">O48-N48</f>
        <v>0.21699999999999875</v>
      </c>
      <c r="U48" s="1">
        <f t="shared" ref="U48" si="44">R48-Q48</f>
        <v>2.008</v>
      </c>
      <c r="V48" s="1">
        <v>11</v>
      </c>
      <c r="W48" s="1">
        <v>101</v>
      </c>
      <c r="X48" s="1">
        <f t="shared" ref="X48" si="45">T48/(Z48/1000)</f>
        <v>10.849999999999937</v>
      </c>
      <c r="Y48" s="1">
        <f t="shared" ref="Y48" si="46">U48/(Z48/1000)</f>
        <v>100.39999999999999</v>
      </c>
      <c r="Z48" s="1">
        <v>20</v>
      </c>
      <c r="AA48" s="63">
        <v>1111</v>
      </c>
      <c r="AB48" s="82">
        <v>8.2638888888888887E-2</v>
      </c>
      <c r="AC48" s="82">
        <v>6.2500000000000003E-3</v>
      </c>
      <c r="AD48" s="82">
        <f t="shared" ref="AD48" si="47">AB48+AC48</f>
        <v>8.8888888888888892E-2</v>
      </c>
      <c r="AE48" s="81">
        <v>8.9583333333333334E-2</v>
      </c>
    </row>
    <row r="49" spans="1:35" x14ac:dyDescent="0.2">
      <c r="A49" s="7">
        <v>419</v>
      </c>
      <c r="B49" s="79"/>
      <c r="C49" s="1" t="s">
        <v>2182</v>
      </c>
      <c r="D49" s="61"/>
      <c r="J49" s="79"/>
      <c r="K49" s="63"/>
      <c r="P49" s="1">
        <f t="shared" si="4"/>
        <v>0</v>
      </c>
      <c r="S49" s="1">
        <f t="shared" si="5"/>
        <v>0</v>
      </c>
      <c r="T49" s="1">
        <f t="shared" si="6"/>
        <v>0</v>
      </c>
      <c r="U49" s="1">
        <f t="shared" si="7"/>
        <v>0</v>
      </c>
      <c r="X49" s="1">
        <f>T49/(Z49/1000)</f>
        <v>0</v>
      </c>
      <c r="Y49" s="1">
        <f>U49/(Z49/1000)</f>
        <v>0</v>
      </c>
      <c r="Z49" s="1">
        <v>20</v>
      </c>
      <c r="AA49" s="63"/>
      <c r="AC49" s="82"/>
      <c r="AD49" s="82">
        <f t="shared" si="9"/>
        <v>0</v>
      </c>
    </row>
    <row r="50" spans="1:35" ht="17" x14ac:dyDescent="0.2">
      <c r="A50" s="7">
        <v>420</v>
      </c>
      <c r="B50" s="79" t="s">
        <v>1510</v>
      </c>
      <c r="C50" s="1" t="s">
        <v>2182</v>
      </c>
      <c r="D50" s="61" t="s">
        <v>1981</v>
      </c>
      <c r="E50" s="1">
        <v>810564</v>
      </c>
      <c r="F50" s="1" t="s">
        <v>1741</v>
      </c>
      <c r="G50" s="61" t="s">
        <v>1986</v>
      </c>
      <c r="H50" s="61">
        <v>500</v>
      </c>
      <c r="J50" s="60" t="s">
        <v>742</v>
      </c>
      <c r="K50" s="248">
        <v>0.5</v>
      </c>
      <c r="L50" s="1">
        <v>57.350999999999999</v>
      </c>
      <c r="M50" s="1">
        <v>25</v>
      </c>
      <c r="N50" s="1">
        <v>51.701999999999998</v>
      </c>
      <c r="O50" s="1">
        <v>52.545000000000002</v>
      </c>
      <c r="P50" s="1">
        <f t="shared" si="4"/>
        <v>52.1235</v>
      </c>
      <c r="Q50" s="1">
        <v>4.1440000000000001</v>
      </c>
      <c r="R50" s="1">
        <v>6.4459999999999997</v>
      </c>
      <c r="S50" s="1">
        <f t="shared" si="5"/>
        <v>5.2949999999999999</v>
      </c>
      <c r="T50" s="1">
        <f t="shared" si="6"/>
        <v>0.84300000000000352</v>
      </c>
      <c r="U50" s="1">
        <f t="shared" si="7"/>
        <v>2.3019999999999996</v>
      </c>
      <c r="V50" s="1">
        <v>43</v>
      </c>
      <c r="W50" s="1">
        <v>116</v>
      </c>
      <c r="X50" s="1">
        <f t="shared" ref="X50:X56" si="48">T50/(Z50/1000)</f>
        <v>42.150000000000176</v>
      </c>
      <c r="Y50" s="1">
        <f t="shared" ref="Y50:Y56" si="49">U50/(Z50/1000)</f>
        <v>115.09999999999998</v>
      </c>
      <c r="Z50" s="1">
        <v>20</v>
      </c>
      <c r="AA50" s="63">
        <v>4988</v>
      </c>
      <c r="AB50" s="82">
        <v>9.6527777777777782E-2</v>
      </c>
      <c r="AC50" s="82">
        <v>2.8472222222222222E-2</v>
      </c>
      <c r="AD50" s="82">
        <f t="shared" si="9"/>
        <v>0.125</v>
      </c>
      <c r="AE50" s="81">
        <v>0.12569444444444444</v>
      </c>
    </row>
    <row r="51" spans="1:35" ht="17" x14ac:dyDescent="0.2">
      <c r="B51" s="79" t="s">
        <v>1512</v>
      </c>
      <c r="C51" s="1" t="s">
        <v>1532</v>
      </c>
      <c r="E51" s="1">
        <v>810565</v>
      </c>
      <c r="F51" s="1" t="s">
        <v>1744</v>
      </c>
      <c r="H51" s="1">
        <v>12</v>
      </c>
      <c r="J51" s="60" t="s">
        <v>742</v>
      </c>
      <c r="K51" s="248">
        <v>0.1</v>
      </c>
      <c r="L51" s="1">
        <v>99</v>
      </c>
      <c r="M51" s="1">
        <v>-25</v>
      </c>
      <c r="N51" s="118">
        <v>0.5</v>
      </c>
      <c r="O51" s="118">
        <v>2</v>
      </c>
      <c r="P51" s="1">
        <f t="shared" si="4"/>
        <v>1.25</v>
      </c>
      <c r="Q51" s="118">
        <v>7.5</v>
      </c>
      <c r="R51" s="118">
        <v>9</v>
      </c>
      <c r="S51" s="1">
        <f t="shared" si="5"/>
        <v>8.25</v>
      </c>
      <c r="T51" s="1">
        <f t="shared" si="6"/>
        <v>1.5</v>
      </c>
      <c r="U51" s="1">
        <f t="shared" si="7"/>
        <v>1.5</v>
      </c>
      <c r="V51" s="1">
        <v>76</v>
      </c>
      <c r="W51" s="1">
        <v>76</v>
      </c>
      <c r="X51" s="1">
        <f t="shared" si="48"/>
        <v>75</v>
      </c>
      <c r="Y51" s="1">
        <f t="shared" si="49"/>
        <v>75</v>
      </c>
      <c r="Z51" s="1">
        <v>20</v>
      </c>
      <c r="AA51" s="63"/>
      <c r="AC51" s="82"/>
      <c r="AD51" s="82">
        <f t="shared" si="9"/>
        <v>0</v>
      </c>
    </row>
    <row r="52" spans="1:35" ht="17" x14ac:dyDescent="0.2">
      <c r="B52" s="79" t="s">
        <v>1512</v>
      </c>
      <c r="C52" s="1" t="s">
        <v>1532</v>
      </c>
      <c r="E52" s="1">
        <v>810566</v>
      </c>
      <c r="F52" s="1" t="s">
        <v>1744</v>
      </c>
      <c r="H52" s="1">
        <v>12</v>
      </c>
      <c r="J52" s="60" t="s">
        <v>742</v>
      </c>
      <c r="K52" s="248">
        <v>0.1</v>
      </c>
      <c r="L52" s="1">
        <v>99</v>
      </c>
      <c r="M52" s="1">
        <v>-25</v>
      </c>
      <c r="N52" s="118">
        <v>2</v>
      </c>
      <c r="O52" s="118">
        <v>3.5</v>
      </c>
      <c r="P52" s="1">
        <f t="shared" si="4"/>
        <v>2.75</v>
      </c>
      <c r="Q52" s="118">
        <v>7.5</v>
      </c>
      <c r="R52" s="118">
        <v>9</v>
      </c>
      <c r="S52" s="1">
        <f t="shared" si="5"/>
        <v>8.25</v>
      </c>
      <c r="T52" s="1">
        <f t="shared" si="6"/>
        <v>1.5</v>
      </c>
      <c r="U52" s="1">
        <f t="shared" si="7"/>
        <v>1.5</v>
      </c>
      <c r="V52" s="1">
        <v>76</v>
      </c>
      <c r="W52" s="1">
        <v>76</v>
      </c>
      <c r="X52" s="1">
        <f t="shared" si="48"/>
        <v>75</v>
      </c>
      <c r="Y52" s="1">
        <f t="shared" si="49"/>
        <v>75</v>
      </c>
      <c r="Z52" s="1">
        <v>20</v>
      </c>
      <c r="AA52" s="63"/>
      <c r="AC52" s="82"/>
      <c r="AD52" s="82">
        <f t="shared" si="9"/>
        <v>0</v>
      </c>
    </row>
    <row r="53" spans="1:35" ht="17" x14ac:dyDescent="0.2">
      <c r="B53" s="79" t="s">
        <v>1512</v>
      </c>
      <c r="C53" s="1" t="s">
        <v>1532</v>
      </c>
      <c r="E53" s="1">
        <v>810567</v>
      </c>
      <c r="F53" s="1" t="s">
        <v>1744</v>
      </c>
      <c r="H53" s="1">
        <v>12</v>
      </c>
      <c r="J53" s="60" t="s">
        <v>742</v>
      </c>
      <c r="K53" s="248">
        <v>0.1</v>
      </c>
      <c r="L53" s="1">
        <v>99</v>
      </c>
      <c r="M53" s="1">
        <v>-25</v>
      </c>
      <c r="N53" s="118">
        <v>0.5</v>
      </c>
      <c r="O53" s="118">
        <v>2</v>
      </c>
      <c r="P53" s="1">
        <f t="shared" si="4"/>
        <v>1.25</v>
      </c>
      <c r="Q53" s="118">
        <v>9</v>
      </c>
      <c r="R53" s="118">
        <v>10.5</v>
      </c>
      <c r="S53" s="1">
        <f t="shared" si="5"/>
        <v>9.75</v>
      </c>
      <c r="T53" s="1">
        <f t="shared" si="6"/>
        <v>1.5</v>
      </c>
      <c r="U53" s="1">
        <f t="shared" si="7"/>
        <v>1.5</v>
      </c>
      <c r="V53" s="1">
        <v>76</v>
      </c>
      <c r="W53" s="1">
        <v>76</v>
      </c>
      <c r="X53" s="1">
        <f t="shared" si="48"/>
        <v>75</v>
      </c>
      <c r="Y53" s="1">
        <f t="shared" si="49"/>
        <v>75</v>
      </c>
      <c r="Z53" s="1">
        <v>20</v>
      </c>
      <c r="AA53" s="63"/>
      <c r="AC53" s="82"/>
      <c r="AD53" s="82">
        <f t="shared" si="9"/>
        <v>0</v>
      </c>
    </row>
    <row r="54" spans="1:35" ht="17" x14ac:dyDescent="0.2">
      <c r="B54" s="79" t="s">
        <v>1512</v>
      </c>
      <c r="C54" s="1" t="s">
        <v>1532</v>
      </c>
      <c r="E54" s="1">
        <v>810568</v>
      </c>
      <c r="F54" s="1" t="s">
        <v>1744</v>
      </c>
      <c r="H54" s="1">
        <v>12</v>
      </c>
      <c r="J54" s="60" t="s">
        <v>742</v>
      </c>
      <c r="K54" s="248">
        <v>0.1</v>
      </c>
      <c r="L54" s="1">
        <v>99</v>
      </c>
      <c r="M54" s="1">
        <v>-25</v>
      </c>
      <c r="N54" s="118">
        <v>2</v>
      </c>
      <c r="O54" s="118">
        <v>3.5</v>
      </c>
      <c r="P54" s="1">
        <f t="shared" si="4"/>
        <v>2.75</v>
      </c>
      <c r="Q54" s="118">
        <v>9</v>
      </c>
      <c r="R54" s="118">
        <v>10.5</v>
      </c>
      <c r="S54" s="1">
        <f t="shared" si="5"/>
        <v>9.75</v>
      </c>
      <c r="T54" s="1">
        <f t="shared" si="6"/>
        <v>1.5</v>
      </c>
      <c r="U54" s="1">
        <f t="shared" si="7"/>
        <v>1.5</v>
      </c>
      <c r="V54" s="1">
        <v>76</v>
      </c>
      <c r="W54" s="1">
        <v>76</v>
      </c>
      <c r="X54" s="1">
        <f t="shared" si="48"/>
        <v>75</v>
      </c>
      <c r="Y54" s="1">
        <f t="shared" si="49"/>
        <v>75</v>
      </c>
      <c r="Z54" s="1">
        <v>20</v>
      </c>
      <c r="AA54" s="63"/>
      <c r="AC54" s="82"/>
      <c r="AD54" s="82">
        <f t="shared" si="9"/>
        <v>0</v>
      </c>
    </row>
    <row r="55" spans="1:35" ht="17" x14ac:dyDescent="0.2">
      <c r="B55" s="79" t="s">
        <v>1514</v>
      </c>
      <c r="C55" s="1" t="s">
        <v>1532</v>
      </c>
      <c r="E55" s="1">
        <v>810569</v>
      </c>
      <c r="F55" s="1" t="s">
        <v>1744</v>
      </c>
      <c r="H55" s="1">
        <v>12</v>
      </c>
      <c r="J55" s="60" t="s">
        <v>742</v>
      </c>
      <c r="K55" s="248">
        <v>0.1</v>
      </c>
      <c r="L55" s="1">
        <v>99</v>
      </c>
      <c r="M55" s="1">
        <v>-25</v>
      </c>
      <c r="N55" s="118">
        <v>31</v>
      </c>
      <c r="O55" s="118">
        <v>33</v>
      </c>
      <c r="P55" s="1">
        <f t="shared" si="4"/>
        <v>32</v>
      </c>
      <c r="Q55" s="118">
        <v>7</v>
      </c>
      <c r="R55" s="118">
        <v>9</v>
      </c>
      <c r="S55" s="1">
        <f t="shared" si="5"/>
        <v>8</v>
      </c>
      <c r="T55" s="1">
        <f t="shared" si="6"/>
        <v>2</v>
      </c>
      <c r="U55" s="1">
        <f t="shared" si="7"/>
        <v>2</v>
      </c>
      <c r="V55" s="1">
        <v>101</v>
      </c>
      <c r="W55" s="1">
        <v>101</v>
      </c>
      <c r="X55" s="1">
        <f t="shared" si="48"/>
        <v>100</v>
      </c>
      <c r="Y55" s="1">
        <f t="shared" si="49"/>
        <v>100</v>
      </c>
      <c r="Z55" s="1">
        <v>20</v>
      </c>
      <c r="AA55" s="63"/>
      <c r="AC55" s="82"/>
      <c r="AD55" s="82">
        <f t="shared" si="9"/>
        <v>0</v>
      </c>
    </row>
    <row r="56" spans="1:35" ht="17" x14ac:dyDescent="0.2">
      <c r="B56" s="79" t="s">
        <v>1514</v>
      </c>
      <c r="C56" s="1" t="s">
        <v>1532</v>
      </c>
      <c r="E56" s="1">
        <v>810570</v>
      </c>
      <c r="F56" s="1" t="s">
        <v>1744</v>
      </c>
      <c r="H56" s="1">
        <v>12</v>
      </c>
      <c r="J56" s="60" t="s">
        <v>742</v>
      </c>
      <c r="K56" s="248">
        <v>0.1</v>
      </c>
      <c r="L56" s="1">
        <v>99</v>
      </c>
      <c r="M56" s="1">
        <v>-25</v>
      </c>
      <c r="N56" s="118">
        <v>33</v>
      </c>
      <c r="O56" s="118">
        <v>34.5</v>
      </c>
      <c r="P56" s="1">
        <f t="shared" si="4"/>
        <v>33.75</v>
      </c>
      <c r="Q56" s="118">
        <v>7</v>
      </c>
      <c r="R56" s="118">
        <v>9</v>
      </c>
      <c r="S56" s="1">
        <f t="shared" si="5"/>
        <v>8</v>
      </c>
      <c r="T56" s="1">
        <f t="shared" ref="T56:T68" si="50">O56-N56</f>
        <v>1.5</v>
      </c>
      <c r="U56" s="1">
        <f t="shared" ref="U56:U67" si="51">R56-Q56</f>
        <v>2</v>
      </c>
      <c r="V56" s="1">
        <v>76</v>
      </c>
      <c r="W56" s="1">
        <v>101</v>
      </c>
      <c r="X56" s="1">
        <f t="shared" si="48"/>
        <v>75</v>
      </c>
      <c r="Y56" s="1">
        <f t="shared" si="49"/>
        <v>100</v>
      </c>
      <c r="Z56" s="1">
        <v>20</v>
      </c>
      <c r="AA56" s="63"/>
      <c r="AC56" s="82"/>
      <c r="AD56" s="82">
        <f t="shared" si="9"/>
        <v>0</v>
      </c>
      <c r="AI56" s="79"/>
    </row>
    <row r="57" spans="1:35" ht="17" x14ac:dyDescent="0.2">
      <c r="B57" s="79" t="s">
        <v>1514</v>
      </c>
      <c r="C57" s="1" t="s">
        <v>1532</v>
      </c>
      <c r="E57" s="1">
        <v>810571</v>
      </c>
      <c r="F57" s="1" t="s">
        <v>1744</v>
      </c>
      <c r="H57" s="1">
        <v>12</v>
      </c>
      <c r="J57" s="60" t="s">
        <v>742</v>
      </c>
      <c r="K57" s="248">
        <v>0.1</v>
      </c>
      <c r="L57" s="1">
        <v>99</v>
      </c>
      <c r="M57" s="1">
        <v>-25</v>
      </c>
      <c r="N57" s="118">
        <v>31</v>
      </c>
      <c r="O57" s="118">
        <v>33</v>
      </c>
      <c r="P57" s="1">
        <f t="shared" si="4"/>
        <v>32</v>
      </c>
      <c r="Q57" s="118">
        <v>9</v>
      </c>
      <c r="R57" s="118">
        <v>11</v>
      </c>
      <c r="S57" s="1">
        <f t="shared" si="5"/>
        <v>10</v>
      </c>
      <c r="T57" s="1">
        <f t="shared" si="50"/>
        <v>2</v>
      </c>
      <c r="U57" s="1">
        <f t="shared" si="51"/>
        <v>2</v>
      </c>
      <c r="V57" s="1">
        <v>101</v>
      </c>
      <c r="W57" s="1">
        <v>101</v>
      </c>
      <c r="X57" s="1">
        <f t="shared" ref="X57:X69" si="52">T57/(Z57/1000)</f>
        <v>100</v>
      </c>
      <c r="Y57" s="1">
        <f t="shared" ref="Y57:Y69" si="53">U57/(Z57/1000)</f>
        <v>100</v>
      </c>
      <c r="Z57" s="1">
        <v>20</v>
      </c>
      <c r="AA57" s="63"/>
      <c r="AC57" s="82"/>
      <c r="AD57" s="82"/>
      <c r="AI57" s="79"/>
    </row>
    <row r="58" spans="1:35" ht="17" x14ac:dyDescent="0.2">
      <c r="B58" s="79" t="s">
        <v>1514</v>
      </c>
      <c r="C58" s="1" t="s">
        <v>1532</v>
      </c>
      <c r="E58" s="1">
        <v>810572</v>
      </c>
      <c r="F58" s="1" t="s">
        <v>1744</v>
      </c>
      <c r="H58" s="1">
        <v>12</v>
      </c>
      <c r="J58" s="60" t="s">
        <v>742</v>
      </c>
      <c r="K58" s="248">
        <v>0.1</v>
      </c>
      <c r="L58" s="1">
        <v>99</v>
      </c>
      <c r="M58" s="1">
        <v>-25</v>
      </c>
      <c r="N58" s="118">
        <v>33</v>
      </c>
      <c r="O58" s="118">
        <v>35</v>
      </c>
      <c r="P58" s="1">
        <f t="shared" si="4"/>
        <v>34</v>
      </c>
      <c r="Q58" s="118">
        <v>9</v>
      </c>
      <c r="R58" s="118">
        <v>11</v>
      </c>
      <c r="S58" s="1">
        <f t="shared" si="5"/>
        <v>10</v>
      </c>
      <c r="T58" s="1">
        <f t="shared" si="50"/>
        <v>2</v>
      </c>
      <c r="U58" s="1">
        <f t="shared" si="51"/>
        <v>2</v>
      </c>
      <c r="V58" s="1">
        <v>101</v>
      </c>
      <c r="W58" s="1">
        <v>101</v>
      </c>
      <c r="X58" s="1">
        <f t="shared" si="52"/>
        <v>100</v>
      </c>
      <c r="Y58" s="1">
        <f t="shared" si="53"/>
        <v>100</v>
      </c>
      <c r="Z58" s="1">
        <v>20</v>
      </c>
      <c r="AA58" s="63"/>
      <c r="AC58" s="82"/>
      <c r="AD58" s="82"/>
      <c r="AI58" s="79"/>
    </row>
    <row r="59" spans="1:35" ht="17" x14ac:dyDescent="0.2">
      <c r="B59" s="79" t="s">
        <v>1515</v>
      </c>
      <c r="C59" s="1" t="s">
        <v>1532</v>
      </c>
      <c r="E59" s="1">
        <v>810573</v>
      </c>
      <c r="F59" s="1" t="s">
        <v>1744</v>
      </c>
      <c r="H59" s="1">
        <v>12</v>
      </c>
      <c r="J59" s="60" t="s">
        <v>742</v>
      </c>
      <c r="K59" s="248">
        <v>0.1</v>
      </c>
      <c r="L59" s="1">
        <v>99</v>
      </c>
      <c r="M59" s="1">
        <v>-25</v>
      </c>
      <c r="N59" s="118">
        <v>61</v>
      </c>
      <c r="O59" s="118">
        <v>63</v>
      </c>
      <c r="P59" s="1">
        <f t="shared" si="4"/>
        <v>62</v>
      </c>
      <c r="Q59" s="118">
        <v>3</v>
      </c>
      <c r="R59" s="118">
        <v>5</v>
      </c>
      <c r="S59" s="1">
        <f t="shared" si="5"/>
        <v>4</v>
      </c>
      <c r="T59" s="1">
        <f t="shared" si="50"/>
        <v>2</v>
      </c>
      <c r="U59" s="1">
        <f t="shared" si="51"/>
        <v>2</v>
      </c>
      <c r="V59" s="1">
        <v>101</v>
      </c>
      <c r="W59" s="1">
        <v>101</v>
      </c>
      <c r="X59" s="1">
        <f t="shared" si="52"/>
        <v>100</v>
      </c>
      <c r="Y59" s="1">
        <f t="shared" si="53"/>
        <v>100</v>
      </c>
      <c r="Z59" s="1">
        <v>20</v>
      </c>
      <c r="AA59" s="63"/>
      <c r="AC59" s="82"/>
      <c r="AD59" s="82"/>
      <c r="AI59" s="79"/>
    </row>
    <row r="60" spans="1:35" ht="17" x14ac:dyDescent="0.2">
      <c r="B60" s="79" t="s">
        <v>1515</v>
      </c>
      <c r="C60" s="1" t="s">
        <v>1532</v>
      </c>
      <c r="E60" s="1">
        <v>810574</v>
      </c>
      <c r="F60" s="1" t="s">
        <v>1744</v>
      </c>
      <c r="H60" s="1">
        <v>12</v>
      </c>
      <c r="J60" s="60" t="s">
        <v>742</v>
      </c>
      <c r="K60" s="248">
        <v>0.1</v>
      </c>
      <c r="L60" s="1">
        <v>99</v>
      </c>
      <c r="M60" s="1">
        <v>-25</v>
      </c>
      <c r="N60" s="118">
        <v>62</v>
      </c>
      <c r="O60" s="118">
        <v>64</v>
      </c>
      <c r="P60" s="1">
        <f t="shared" si="4"/>
        <v>63</v>
      </c>
      <c r="Q60" s="118">
        <v>5</v>
      </c>
      <c r="R60" s="118">
        <v>7</v>
      </c>
      <c r="S60" s="1">
        <f t="shared" si="5"/>
        <v>6</v>
      </c>
      <c r="T60" s="1">
        <f t="shared" si="50"/>
        <v>2</v>
      </c>
      <c r="U60" s="1">
        <f t="shared" si="51"/>
        <v>2</v>
      </c>
      <c r="V60" s="1">
        <v>101</v>
      </c>
      <c r="W60" s="1">
        <v>101</v>
      </c>
      <c r="X60" s="1">
        <f t="shared" si="52"/>
        <v>100</v>
      </c>
      <c r="Y60" s="1">
        <f t="shared" si="53"/>
        <v>100</v>
      </c>
      <c r="Z60" s="1">
        <v>20</v>
      </c>
      <c r="AA60" s="63"/>
      <c r="AC60" s="82"/>
      <c r="AD60" s="82"/>
      <c r="AI60" s="79"/>
    </row>
    <row r="61" spans="1:35" ht="15.75" customHeight="1" x14ac:dyDescent="0.2">
      <c r="B61" s="79" t="s">
        <v>1506</v>
      </c>
      <c r="C61" s="1" t="s">
        <v>2184</v>
      </c>
      <c r="E61" s="1">
        <v>810575</v>
      </c>
      <c r="F61" s="1" t="s">
        <v>1744</v>
      </c>
      <c r="H61" s="1">
        <v>12</v>
      </c>
      <c r="J61" s="60" t="s">
        <v>742</v>
      </c>
      <c r="K61" s="248">
        <v>0.1</v>
      </c>
      <c r="L61" s="1">
        <v>99</v>
      </c>
      <c r="M61" s="1">
        <v>-25</v>
      </c>
      <c r="N61" s="118">
        <v>93</v>
      </c>
      <c r="O61" s="118">
        <v>95</v>
      </c>
      <c r="P61" s="1">
        <f t="shared" si="4"/>
        <v>94</v>
      </c>
      <c r="Q61" s="118">
        <v>0.5</v>
      </c>
      <c r="R61" s="118">
        <v>2</v>
      </c>
      <c r="S61" s="1">
        <f t="shared" si="5"/>
        <v>1.25</v>
      </c>
      <c r="T61" s="1">
        <f t="shared" si="50"/>
        <v>2</v>
      </c>
      <c r="U61" s="1">
        <f t="shared" si="51"/>
        <v>1.5</v>
      </c>
      <c r="V61" s="1">
        <v>76</v>
      </c>
      <c r="W61" s="1">
        <v>101</v>
      </c>
      <c r="X61" s="1">
        <f t="shared" si="52"/>
        <v>100</v>
      </c>
      <c r="Y61" s="1">
        <f t="shared" si="53"/>
        <v>75</v>
      </c>
      <c r="Z61" s="1">
        <v>20</v>
      </c>
      <c r="AA61" s="63"/>
      <c r="AC61" s="82"/>
      <c r="AD61" s="82"/>
      <c r="AI61" s="79"/>
    </row>
    <row r="62" spans="1:35" ht="17" x14ac:dyDescent="0.2">
      <c r="B62" s="79" t="s">
        <v>1506</v>
      </c>
      <c r="C62" s="1" t="s">
        <v>2184</v>
      </c>
      <c r="E62" s="1">
        <v>810576</v>
      </c>
      <c r="F62" s="1" t="s">
        <v>1744</v>
      </c>
      <c r="H62" s="1">
        <v>12</v>
      </c>
      <c r="J62" s="60" t="s">
        <v>742</v>
      </c>
      <c r="K62" s="248">
        <v>0.1</v>
      </c>
      <c r="L62" s="1">
        <v>99</v>
      </c>
      <c r="M62" s="1">
        <v>-25</v>
      </c>
      <c r="N62" s="118">
        <v>95</v>
      </c>
      <c r="O62" s="118">
        <v>97</v>
      </c>
      <c r="P62" s="1">
        <f t="shared" si="4"/>
        <v>96</v>
      </c>
      <c r="Q62" s="118">
        <v>0.5</v>
      </c>
      <c r="R62" s="118">
        <v>2</v>
      </c>
      <c r="S62" s="1">
        <f t="shared" si="5"/>
        <v>1.25</v>
      </c>
      <c r="T62" s="1">
        <f t="shared" si="50"/>
        <v>2</v>
      </c>
      <c r="U62" s="1">
        <f t="shared" si="51"/>
        <v>1.5</v>
      </c>
      <c r="V62" s="1">
        <v>76</v>
      </c>
      <c r="W62" s="1">
        <v>101</v>
      </c>
      <c r="X62" s="1">
        <f t="shared" si="52"/>
        <v>100</v>
      </c>
      <c r="Y62" s="1">
        <f t="shared" si="53"/>
        <v>75</v>
      </c>
      <c r="Z62" s="1">
        <v>20</v>
      </c>
      <c r="AA62" s="63"/>
      <c r="AC62" s="82"/>
      <c r="AD62" s="82"/>
      <c r="AI62" s="79"/>
    </row>
    <row r="63" spans="1:35" ht="17" x14ac:dyDescent="0.2">
      <c r="B63" s="79" t="s">
        <v>1506</v>
      </c>
      <c r="C63" s="1" t="s">
        <v>2184</v>
      </c>
      <c r="E63" s="1">
        <v>810577</v>
      </c>
      <c r="F63" s="1" t="s">
        <v>1744</v>
      </c>
      <c r="H63" s="1">
        <v>12</v>
      </c>
      <c r="J63" s="60" t="s">
        <v>742</v>
      </c>
      <c r="K63" s="248">
        <v>0.1</v>
      </c>
      <c r="L63" s="1">
        <v>99</v>
      </c>
      <c r="M63" s="1">
        <v>-25</v>
      </c>
      <c r="N63" s="118">
        <v>93</v>
      </c>
      <c r="O63" s="118">
        <v>95</v>
      </c>
      <c r="P63" s="1">
        <f t="shared" si="4"/>
        <v>94</v>
      </c>
      <c r="Q63" s="118">
        <v>2</v>
      </c>
      <c r="R63" s="118">
        <v>3.5</v>
      </c>
      <c r="S63" s="1">
        <f t="shared" si="5"/>
        <v>2.75</v>
      </c>
      <c r="T63" s="1">
        <f t="shared" si="50"/>
        <v>2</v>
      </c>
      <c r="U63" s="1">
        <f t="shared" si="51"/>
        <v>1.5</v>
      </c>
      <c r="V63" s="1">
        <v>76</v>
      </c>
      <c r="W63" s="1">
        <v>101</v>
      </c>
      <c r="X63" s="1">
        <f t="shared" si="52"/>
        <v>100</v>
      </c>
      <c r="Y63" s="1">
        <f t="shared" si="53"/>
        <v>75</v>
      </c>
      <c r="Z63" s="1">
        <v>20</v>
      </c>
      <c r="AA63" s="63"/>
      <c r="AC63" s="82"/>
      <c r="AD63" s="82"/>
      <c r="AI63" s="79"/>
    </row>
    <row r="64" spans="1:35" ht="17" x14ac:dyDescent="0.2">
      <c r="B64" s="79" t="s">
        <v>1506</v>
      </c>
      <c r="C64" s="1" t="s">
        <v>2184</v>
      </c>
      <c r="E64" s="1">
        <v>810578</v>
      </c>
      <c r="F64" s="1" t="s">
        <v>1744</v>
      </c>
      <c r="H64" s="1">
        <v>12</v>
      </c>
      <c r="J64" s="60" t="s">
        <v>742</v>
      </c>
      <c r="K64" s="248">
        <v>0.1</v>
      </c>
      <c r="L64" s="1">
        <v>99</v>
      </c>
      <c r="M64" s="1">
        <v>-25</v>
      </c>
      <c r="N64" s="118">
        <v>95</v>
      </c>
      <c r="O64" s="118">
        <v>97</v>
      </c>
      <c r="P64" s="1">
        <f t="shared" si="4"/>
        <v>96</v>
      </c>
      <c r="Q64" s="118">
        <v>2</v>
      </c>
      <c r="R64" s="118">
        <v>3.5</v>
      </c>
      <c r="S64" s="1">
        <f t="shared" si="5"/>
        <v>2.75</v>
      </c>
      <c r="T64" s="1">
        <f t="shared" si="50"/>
        <v>2</v>
      </c>
      <c r="U64" s="1">
        <f t="shared" si="51"/>
        <v>1.5</v>
      </c>
      <c r="V64" s="1">
        <v>76</v>
      </c>
      <c r="W64" s="1">
        <v>101</v>
      </c>
      <c r="X64" s="1">
        <f t="shared" si="52"/>
        <v>100</v>
      </c>
      <c r="Y64" s="1">
        <f t="shared" si="53"/>
        <v>75</v>
      </c>
      <c r="Z64" s="1">
        <v>20</v>
      </c>
      <c r="AA64" s="63"/>
      <c r="AC64" s="82"/>
      <c r="AD64" s="82"/>
      <c r="AI64" s="79"/>
    </row>
    <row r="65" spans="1:35" ht="17" x14ac:dyDescent="0.2">
      <c r="B65" s="79" t="s">
        <v>1745</v>
      </c>
      <c r="E65" s="1">
        <v>810579</v>
      </c>
      <c r="J65" s="60"/>
      <c r="K65" s="248"/>
      <c r="N65" s="118"/>
      <c r="O65" s="118"/>
      <c r="Q65" s="118"/>
      <c r="R65" s="118"/>
      <c r="S65" s="1">
        <f t="shared" si="5"/>
        <v>0</v>
      </c>
      <c r="T65" s="1">
        <f t="shared" si="50"/>
        <v>0</v>
      </c>
      <c r="U65" s="1">
        <f t="shared" si="51"/>
        <v>0</v>
      </c>
      <c r="V65" s="1">
        <v>76</v>
      </c>
      <c r="W65" s="1">
        <v>61</v>
      </c>
      <c r="X65" s="1" t="e">
        <f t="shared" si="52"/>
        <v>#DIV/0!</v>
      </c>
      <c r="Y65" s="1" t="e">
        <f t="shared" si="53"/>
        <v>#DIV/0!</v>
      </c>
      <c r="AA65" s="63"/>
      <c r="AC65" s="82"/>
      <c r="AD65" s="82"/>
      <c r="AI65" s="79"/>
    </row>
    <row r="66" spans="1:35" ht="17" x14ac:dyDescent="0.2">
      <c r="B66" s="79" t="s">
        <v>1746</v>
      </c>
      <c r="E66" s="1">
        <v>810580</v>
      </c>
      <c r="J66" s="60"/>
      <c r="K66" s="248"/>
      <c r="N66" s="118"/>
      <c r="O66" s="118"/>
      <c r="Q66" s="118"/>
      <c r="R66" s="118"/>
      <c r="S66" s="1">
        <f t="shared" si="5"/>
        <v>0</v>
      </c>
      <c r="T66" s="1">
        <f t="shared" si="50"/>
        <v>0</v>
      </c>
      <c r="U66" s="1">
        <f t="shared" si="51"/>
        <v>0</v>
      </c>
      <c r="V66" s="1">
        <v>76</v>
      </c>
      <c r="W66" s="1">
        <v>61</v>
      </c>
      <c r="X66" s="1" t="e">
        <f t="shared" si="52"/>
        <v>#DIV/0!</v>
      </c>
      <c r="Y66" s="1" t="e">
        <f t="shared" si="53"/>
        <v>#DIV/0!</v>
      </c>
      <c r="AA66" s="63"/>
      <c r="AC66" s="82"/>
      <c r="AD66" s="82"/>
      <c r="AI66" s="79"/>
    </row>
    <row r="67" spans="1:35" ht="17" x14ac:dyDescent="0.2">
      <c r="B67" s="79" t="s">
        <v>1747</v>
      </c>
      <c r="E67" s="1">
        <v>810581</v>
      </c>
      <c r="J67" s="60"/>
      <c r="K67" s="248"/>
      <c r="N67" s="118"/>
      <c r="O67" s="118"/>
      <c r="Q67" s="118"/>
      <c r="R67" s="118"/>
      <c r="S67" s="1">
        <f t="shared" si="5"/>
        <v>0</v>
      </c>
      <c r="T67" s="1">
        <f t="shared" si="50"/>
        <v>0</v>
      </c>
      <c r="U67" s="1">
        <f t="shared" si="51"/>
        <v>0</v>
      </c>
      <c r="V67" s="1">
        <v>76</v>
      </c>
      <c r="W67" s="1">
        <v>61</v>
      </c>
      <c r="X67" s="1" t="e">
        <f t="shared" si="52"/>
        <v>#DIV/0!</v>
      </c>
      <c r="Y67" s="1" t="e">
        <f t="shared" si="53"/>
        <v>#DIV/0!</v>
      </c>
      <c r="AA67" s="63"/>
      <c r="AC67" s="82"/>
      <c r="AD67" s="82"/>
      <c r="AI67" s="79"/>
    </row>
    <row r="68" spans="1:35" ht="17" x14ac:dyDescent="0.2">
      <c r="A68" s="1">
        <v>1</v>
      </c>
      <c r="B68" s="79" t="s">
        <v>887</v>
      </c>
      <c r="C68" s="1" t="s">
        <v>888</v>
      </c>
      <c r="E68" s="1">
        <v>810583</v>
      </c>
      <c r="F68" s="1" t="s">
        <v>1744</v>
      </c>
      <c r="H68" s="1" t="s">
        <v>710</v>
      </c>
      <c r="I68" s="1" t="s">
        <v>2185</v>
      </c>
      <c r="J68" s="60" t="s">
        <v>742</v>
      </c>
      <c r="K68" s="248">
        <v>0.5</v>
      </c>
      <c r="L68" s="1">
        <v>57.35</v>
      </c>
      <c r="M68" s="1">
        <v>25</v>
      </c>
      <c r="N68" s="118">
        <v>50.531999999999996</v>
      </c>
      <c r="O68" s="118">
        <v>51.531999999999996</v>
      </c>
      <c r="P68" s="1">
        <f t="shared" si="4"/>
        <v>51.031999999999996</v>
      </c>
      <c r="Q68" s="118">
        <v>4.1340000000000003</v>
      </c>
      <c r="R68" s="118">
        <v>5.1340000000000003</v>
      </c>
      <c r="S68" s="1">
        <f t="shared" si="5"/>
        <v>4.6340000000000003</v>
      </c>
      <c r="T68" s="1">
        <f t="shared" si="50"/>
        <v>1</v>
      </c>
      <c r="U68" s="1">
        <f>R68-Q68</f>
        <v>1</v>
      </c>
      <c r="V68" s="1">
        <v>11</v>
      </c>
      <c r="W68" s="1">
        <v>11</v>
      </c>
      <c r="X68" s="1">
        <f t="shared" si="52"/>
        <v>10</v>
      </c>
      <c r="Y68" s="1">
        <f t="shared" si="53"/>
        <v>10</v>
      </c>
      <c r="Z68" s="1">
        <v>100</v>
      </c>
      <c r="AA68" s="63"/>
      <c r="AC68" s="82"/>
      <c r="AD68" s="82"/>
      <c r="AI68" s="79"/>
    </row>
    <row r="69" spans="1:35" ht="17" x14ac:dyDescent="0.2">
      <c r="A69" s="1">
        <v>2</v>
      </c>
      <c r="B69" s="79" t="s">
        <v>887</v>
      </c>
      <c r="C69" s="1" t="s">
        <v>888</v>
      </c>
      <c r="E69" s="1">
        <v>810584</v>
      </c>
      <c r="F69" s="1" t="s">
        <v>1744</v>
      </c>
      <c r="H69" s="1" t="s">
        <v>710</v>
      </c>
      <c r="I69" s="1" t="s">
        <v>2186</v>
      </c>
      <c r="J69" s="60" t="s">
        <v>742</v>
      </c>
      <c r="K69" s="248">
        <v>0.5</v>
      </c>
      <c r="L69" s="1">
        <v>57.35</v>
      </c>
      <c r="M69" s="1">
        <v>25</v>
      </c>
      <c r="N69" s="118">
        <v>49.905000000000001</v>
      </c>
      <c r="O69" s="118">
        <v>53.463999999999999</v>
      </c>
      <c r="P69" s="1">
        <f t="shared" si="4"/>
        <v>51.6845</v>
      </c>
      <c r="Q69" s="118">
        <v>1.897</v>
      </c>
      <c r="R69" s="118">
        <v>2.8969999999999998</v>
      </c>
      <c r="S69" s="1">
        <f t="shared" ref="S69" si="54">(R69+Q69)/2</f>
        <v>2.3969999999999998</v>
      </c>
      <c r="T69" s="1">
        <f t="shared" ref="T69" si="55">O69-N69</f>
        <v>3.5589999999999975</v>
      </c>
      <c r="U69" s="1">
        <f t="shared" ref="U69" si="56">R69-Q69</f>
        <v>0.99999999999999978</v>
      </c>
      <c r="V69" s="1">
        <v>11</v>
      </c>
      <c r="W69" s="1">
        <v>36</v>
      </c>
      <c r="X69" s="1">
        <f t="shared" si="52"/>
        <v>35.589999999999975</v>
      </c>
      <c r="Y69" s="1">
        <f t="shared" si="53"/>
        <v>9.9999999999999964</v>
      </c>
      <c r="Z69" s="1">
        <v>100</v>
      </c>
      <c r="AA69" s="63">
        <v>396</v>
      </c>
      <c r="AC69" s="82">
        <v>2.0833333333333333E-3</v>
      </c>
      <c r="AD69" s="82"/>
      <c r="AI69" s="79"/>
    </row>
    <row r="70" spans="1:35" ht="17" x14ac:dyDescent="0.2">
      <c r="A70" s="1">
        <v>3</v>
      </c>
      <c r="B70" s="79" t="s">
        <v>887</v>
      </c>
      <c r="C70" s="1" t="s">
        <v>888</v>
      </c>
      <c r="E70" s="1">
        <v>810585</v>
      </c>
      <c r="F70" s="1" t="s">
        <v>1744</v>
      </c>
      <c r="H70" s="1" t="s">
        <v>710</v>
      </c>
      <c r="I70" s="1" t="s">
        <v>2187</v>
      </c>
      <c r="J70" s="60" t="s">
        <v>742</v>
      </c>
      <c r="K70" s="248">
        <v>1</v>
      </c>
      <c r="L70" s="1">
        <v>57.35</v>
      </c>
      <c r="M70" s="1">
        <v>25</v>
      </c>
      <c r="N70" s="118">
        <v>49.765999999999998</v>
      </c>
      <c r="O70" s="118">
        <v>53.323999999999998</v>
      </c>
      <c r="P70" s="1">
        <f t="shared" ref="P70" si="57">(O70+N70)/2</f>
        <v>51.545000000000002</v>
      </c>
      <c r="Q70" s="118">
        <v>3.4319999999999999</v>
      </c>
      <c r="R70" s="118">
        <v>4.4320000000000004</v>
      </c>
      <c r="S70" s="1">
        <f t="shared" ref="S70" si="58">(R70+Q70)/2</f>
        <v>3.9320000000000004</v>
      </c>
      <c r="T70" s="1">
        <f t="shared" ref="T70" si="59">O70-N70</f>
        <v>3.5579999999999998</v>
      </c>
      <c r="U70" s="1">
        <f t="shared" ref="U70" si="60">R70-Q70</f>
        <v>1.0000000000000004</v>
      </c>
      <c r="V70" s="1">
        <v>11</v>
      </c>
      <c r="W70" s="1">
        <v>36</v>
      </c>
      <c r="X70" s="1">
        <f t="shared" ref="X70" si="61">T70/(Z70/1000)</f>
        <v>35.58</v>
      </c>
      <c r="Y70" s="1">
        <f t="shared" ref="Y70" si="62">U70/(Z70/1000)</f>
        <v>10.000000000000004</v>
      </c>
      <c r="Z70" s="1">
        <v>100</v>
      </c>
      <c r="AA70" s="63">
        <v>396</v>
      </c>
      <c r="AC70" s="82">
        <v>4.8611111111111112E-3</v>
      </c>
      <c r="AD70" s="82"/>
      <c r="AI70" s="79"/>
    </row>
    <row r="71" spans="1:35" ht="17" x14ac:dyDescent="0.2">
      <c r="A71" s="1">
        <v>4</v>
      </c>
      <c r="B71" s="79" t="s">
        <v>887</v>
      </c>
      <c r="C71" s="1" t="s">
        <v>888</v>
      </c>
      <c r="E71" s="1">
        <v>810586</v>
      </c>
      <c r="F71" s="1" t="s">
        <v>1744</v>
      </c>
      <c r="H71" s="1" t="s">
        <v>710</v>
      </c>
      <c r="I71" s="1" t="s">
        <v>2187</v>
      </c>
      <c r="J71" s="60" t="s">
        <v>742</v>
      </c>
      <c r="K71" s="248">
        <v>1</v>
      </c>
      <c r="L71" s="1">
        <v>57.35</v>
      </c>
      <c r="M71" s="1">
        <v>25</v>
      </c>
      <c r="N71" s="118">
        <v>49.588999999999999</v>
      </c>
      <c r="O71" s="118">
        <v>53.146999999999998</v>
      </c>
      <c r="P71" s="1">
        <f t="shared" ref="P71" si="63">(O71+N71)/2</f>
        <v>51.367999999999995</v>
      </c>
      <c r="Q71" s="118">
        <v>5.7270000000000003</v>
      </c>
      <c r="R71" s="118">
        <v>6.9969999999999999</v>
      </c>
      <c r="S71" s="1">
        <f t="shared" ref="S71" si="64">(R71+Q71)/2</f>
        <v>6.3620000000000001</v>
      </c>
      <c r="T71" s="1">
        <f t="shared" ref="T71" si="65">O71-N71</f>
        <v>3.5579999999999998</v>
      </c>
      <c r="U71" s="1">
        <f t="shared" ref="U71" si="66">R71-Q71</f>
        <v>1.2699999999999996</v>
      </c>
      <c r="V71" s="1">
        <v>13</v>
      </c>
      <c r="W71" s="1">
        <v>36</v>
      </c>
      <c r="X71" s="1">
        <f t="shared" ref="X71" si="67">T71/(Z71/1000)</f>
        <v>35.58</v>
      </c>
      <c r="Y71" s="1">
        <f t="shared" ref="Y71" si="68">U71/(Z71/1000)</f>
        <v>12.699999999999996</v>
      </c>
      <c r="Z71" s="1">
        <v>100</v>
      </c>
      <c r="AA71" s="63">
        <v>468</v>
      </c>
      <c r="AC71" s="82">
        <v>5.5555555555555558E-3</v>
      </c>
      <c r="AD71" s="82"/>
      <c r="AI71" s="79"/>
    </row>
    <row r="72" spans="1:35" ht="17" x14ac:dyDescent="0.2">
      <c r="A72" s="1" t="s">
        <v>1748</v>
      </c>
      <c r="B72" s="79"/>
      <c r="E72" s="1">
        <v>810587</v>
      </c>
      <c r="F72" s="1" t="s">
        <v>1744</v>
      </c>
      <c r="H72" s="1" t="s">
        <v>710</v>
      </c>
      <c r="I72" s="1" t="s">
        <v>2188</v>
      </c>
      <c r="J72" s="60" t="s">
        <v>742</v>
      </c>
      <c r="K72" s="248">
        <v>1</v>
      </c>
      <c r="L72" s="1">
        <v>57.35</v>
      </c>
      <c r="M72" s="1">
        <v>25</v>
      </c>
      <c r="N72" s="118">
        <v>46.868000000000002</v>
      </c>
      <c r="O72" s="118">
        <v>49.095999999999997</v>
      </c>
      <c r="P72" s="1">
        <f t="shared" ref="P72:P73" si="69">(O72+N72)/2</f>
        <v>47.981999999999999</v>
      </c>
      <c r="Q72" s="118">
        <v>0.871</v>
      </c>
      <c r="R72" s="118">
        <v>1.871</v>
      </c>
      <c r="S72" s="1">
        <f t="shared" ref="S72:S73" si="70">(R72+Q72)/2</f>
        <v>1.371</v>
      </c>
      <c r="T72" s="1">
        <f t="shared" ref="T72:T73" si="71">O72-N72</f>
        <v>2.2279999999999944</v>
      </c>
      <c r="U72" s="1">
        <f t="shared" ref="U72:U73" si="72">R72-Q72</f>
        <v>1</v>
      </c>
      <c r="V72" s="1">
        <v>11</v>
      </c>
      <c r="W72" s="1">
        <v>23</v>
      </c>
      <c r="X72" s="1">
        <f t="shared" ref="X72" si="73">T72/(Z72/1000)</f>
        <v>22.279999999999944</v>
      </c>
      <c r="Y72" s="1">
        <f t="shared" ref="Y72:Y73" si="74">U72/(Z72/1000)</f>
        <v>10</v>
      </c>
      <c r="Z72" s="1">
        <v>100</v>
      </c>
      <c r="AA72" s="63">
        <v>253</v>
      </c>
      <c r="AC72" s="82">
        <v>2.7777777777777779E-3</v>
      </c>
      <c r="AD72" s="82"/>
      <c r="AI72" s="79"/>
    </row>
    <row r="73" spans="1:35" ht="17" x14ac:dyDescent="0.2">
      <c r="A73" s="1">
        <v>5</v>
      </c>
      <c r="B73" s="79" t="s">
        <v>887</v>
      </c>
      <c r="C73" s="1" t="s">
        <v>2189</v>
      </c>
      <c r="E73" s="1">
        <v>810588</v>
      </c>
      <c r="F73" s="1" t="s">
        <v>1744</v>
      </c>
      <c r="H73" s="1" t="s">
        <v>710</v>
      </c>
      <c r="J73" s="60" t="s">
        <v>742</v>
      </c>
      <c r="K73" s="248">
        <v>0.5</v>
      </c>
      <c r="L73" s="1">
        <v>57.35</v>
      </c>
      <c r="M73" s="1">
        <v>25</v>
      </c>
      <c r="N73" s="118">
        <v>52.628</v>
      </c>
      <c r="O73" s="118">
        <v>55.228999999999999</v>
      </c>
      <c r="P73" s="1">
        <f t="shared" si="69"/>
        <v>53.9285</v>
      </c>
      <c r="Q73" s="118">
        <v>0.45300000000000001</v>
      </c>
      <c r="R73" s="118">
        <v>1.786</v>
      </c>
      <c r="S73" s="1">
        <f t="shared" si="70"/>
        <v>1.1194999999999999</v>
      </c>
      <c r="T73" s="1">
        <f t="shared" si="71"/>
        <v>2.6009999999999991</v>
      </c>
      <c r="U73" s="1">
        <f t="shared" si="72"/>
        <v>1.333</v>
      </c>
      <c r="V73" s="1">
        <v>14</v>
      </c>
      <c r="W73" s="1">
        <v>27</v>
      </c>
      <c r="X73" s="1">
        <f>T73/(Z73/1000)</f>
        <v>26.009999999999991</v>
      </c>
      <c r="Y73" s="1">
        <f t="shared" si="74"/>
        <v>13.329999999999998</v>
      </c>
      <c r="Z73" s="1">
        <v>100</v>
      </c>
      <c r="AA73" s="63">
        <v>378</v>
      </c>
      <c r="AC73" s="82">
        <v>2.0833333333333333E-3</v>
      </c>
      <c r="AD73" s="82"/>
      <c r="AI73" s="79"/>
    </row>
    <row r="74" spans="1:35" ht="17" x14ac:dyDescent="0.2">
      <c r="A74" s="1">
        <v>6</v>
      </c>
      <c r="B74" s="79" t="s">
        <v>887</v>
      </c>
      <c r="C74" s="1" t="s">
        <v>2189</v>
      </c>
      <c r="E74" s="1">
        <v>810589</v>
      </c>
      <c r="F74" s="1" t="s">
        <v>1744</v>
      </c>
      <c r="H74" s="1" t="s">
        <v>710</v>
      </c>
      <c r="I74" s="1" t="s">
        <v>2190</v>
      </c>
      <c r="J74" s="60" t="s">
        <v>742</v>
      </c>
      <c r="K74" s="248">
        <v>1</v>
      </c>
      <c r="L74" s="1">
        <v>57.35</v>
      </c>
      <c r="M74" s="1">
        <v>25</v>
      </c>
      <c r="N74" s="118">
        <v>52.725000000000001</v>
      </c>
      <c r="O74" s="118">
        <v>55.326000000000001</v>
      </c>
      <c r="P74" s="1">
        <f t="shared" ref="P74" si="75">(O74+N74)/2</f>
        <v>54.025500000000001</v>
      </c>
      <c r="Q74" s="118">
        <v>1.5920000000000001</v>
      </c>
      <c r="R74" s="118">
        <v>2.9249999999999998</v>
      </c>
      <c r="S74" s="1">
        <f t="shared" ref="S74" si="76">(R74+Q74)/2</f>
        <v>2.2584999999999997</v>
      </c>
      <c r="T74" s="1">
        <f t="shared" ref="T74" si="77">O74-N74</f>
        <v>2.6009999999999991</v>
      </c>
      <c r="U74" s="1">
        <f t="shared" ref="U74" si="78">R74-Q74</f>
        <v>1.3329999999999997</v>
      </c>
      <c r="V74" s="1">
        <v>14</v>
      </c>
      <c r="W74" s="1">
        <v>27</v>
      </c>
      <c r="X74" s="1">
        <f>T74/(Z74/1000)</f>
        <v>26.009999999999991</v>
      </c>
      <c r="Y74" s="1">
        <f t="shared" ref="Y74" si="79">U74/(Z74/1000)</f>
        <v>13.329999999999997</v>
      </c>
      <c r="Z74" s="1">
        <v>100</v>
      </c>
      <c r="AA74" s="63">
        <v>378</v>
      </c>
      <c r="AC74" s="82">
        <v>2.0833333333333333E-3</v>
      </c>
      <c r="AD74" s="82"/>
      <c r="AI74" s="79"/>
    </row>
    <row r="75" spans="1:35" ht="17" x14ac:dyDescent="0.2">
      <c r="A75" s="1">
        <v>7</v>
      </c>
      <c r="B75" s="79" t="s">
        <v>887</v>
      </c>
      <c r="C75" s="1" t="s">
        <v>2189</v>
      </c>
      <c r="D75" s="1" t="s">
        <v>2191</v>
      </c>
      <c r="E75" s="1">
        <v>810590</v>
      </c>
      <c r="F75" s="1" t="s">
        <v>1744</v>
      </c>
      <c r="H75" s="1" t="s">
        <v>710</v>
      </c>
      <c r="I75" s="1" t="s">
        <v>2190</v>
      </c>
      <c r="J75" s="60" t="s">
        <v>742</v>
      </c>
      <c r="K75" s="248">
        <v>1</v>
      </c>
      <c r="L75" s="1">
        <v>57.35</v>
      </c>
      <c r="M75" s="1">
        <v>25</v>
      </c>
      <c r="N75" s="118">
        <v>52.725000000000001</v>
      </c>
      <c r="O75" s="118">
        <v>55.326000000000001</v>
      </c>
      <c r="P75" s="1">
        <f t="shared" ref="P75" si="80">(O75+N75)/2</f>
        <v>54.025500000000001</v>
      </c>
      <c r="Q75" s="118">
        <v>5</v>
      </c>
      <c r="R75" s="118">
        <v>6</v>
      </c>
      <c r="S75" s="1">
        <f t="shared" ref="S75" si="81">(R75+Q75)/2</f>
        <v>5.5</v>
      </c>
      <c r="T75" s="1">
        <f t="shared" ref="T75" si="82">O75-N75</f>
        <v>2.6009999999999991</v>
      </c>
      <c r="U75" s="1">
        <f t="shared" ref="U75" si="83">R75-Q75</f>
        <v>1</v>
      </c>
      <c r="V75" s="1">
        <v>11</v>
      </c>
      <c r="W75" s="1">
        <v>27</v>
      </c>
      <c r="X75" s="1">
        <f>T75/(Z75/1000)</f>
        <v>26.009999999999991</v>
      </c>
      <c r="Y75" s="1">
        <f t="shared" ref="Y75" si="84">U75/(Z75/1000)</f>
        <v>10</v>
      </c>
      <c r="Z75" s="1">
        <v>100</v>
      </c>
      <c r="AA75" s="63">
        <v>297</v>
      </c>
      <c r="AC75" s="82">
        <v>3.472222222222222E-3</v>
      </c>
      <c r="AD75" s="82"/>
      <c r="AI75" s="79"/>
    </row>
    <row r="76" spans="1:35" ht="17" x14ac:dyDescent="0.2">
      <c r="A76" s="1">
        <v>7</v>
      </c>
      <c r="B76" s="79" t="s">
        <v>887</v>
      </c>
      <c r="C76" s="1" t="s">
        <v>2189</v>
      </c>
      <c r="D76" s="1" t="s">
        <v>2191</v>
      </c>
      <c r="E76" s="1">
        <v>810591</v>
      </c>
      <c r="F76" s="1" t="s">
        <v>1744</v>
      </c>
      <c r="H76" s="1" t="s">
        <v>710</v>
      </c>
      <c r="I76" s="1" t="s">
        <v>2190</v>
      </c>
      <c r="J76" s="60" t="s">
        <v>742</v>
      </c>
      <c r="K76" s="248">
        <v>0.5</v>
      </c>
      <c r="L76" s="1">
        <v>57.35</v>
      </c>
      <c r="M76" s="1">
        <v>25</v>
      </c>
      <c r="N76" s="118">
        <v>52.725000000000001</v>
      </c>
      <c r="O76" s="118">
        <v>55.326000000000001</v>
      </c>
      <c r="P76" s="1">
        <f t="shared" ref="P76:P123" si="85">(O76+N76)/2</f>
        <v>54.025500000000001</v>
      </c>
      <c r="Q76" s="118">
        <v>8</v>
      </c>
      <c r="R76" s="118">
        <v>9</v>
      </c>
      <c r="S76" s="1">
        <f t="shared" ref="S76:S77" si="86">(R76+Q76)/2</f>
        <v>8.5</v>
      </c>
      <c r="T76" s="1">
        <f t="shared" ref="T76:T77" si="87">O76-N76</f>
        <v>2.6009999999999991</v>
      </c>
      <c r="U76" s="1">
        <f t="shared" ref="U76" si="88">R76-Q76</f>
        <v>1</v>
      </c>
      <c r="V76" s="1">
        <v>11</v>
      </c>
      <c r="W76" s="1">
        <v>27</v>
      </c>
      <c r="X76" s="1">
        <f>T76/(Z76/1000)</f>
        <v>26.009999999999991</v>
      </c>
      <c r="Y76" s="1">
        <f t="shared" ref="Y76:Y77" si="89">U76/(Z76/1000)</f>
        <v>10</v>
      </c>
      <c r="Z76" s="1">
        <v>100</v>
      </c>
      <c r="AA76" s="63">
        <v>297</v>
      </c>
      <c r="AC76" s="82">
        <v>3.472222222222222E-3</v>
      </c>
      <c r="AD76" s="82"/>
      <c r="AI76" s="79"/>
    </row>
    <row r="77" spans="1:35" ht="17" x14ac:dyDescent="0.2">
      <c r="A77" s="1">
        <v>8</v>
      </c>
      <c r="B77" s="79" t="s">
        <v>887</v>
      </c>
      <c r="C77" s="1" t="s">
        <v>888</v>
      </c>
      <c r="D77" s="1" t="s">
        <v>2191</v>
      </c>
      <c r="E77" s="1">
        <v>810592</v>
      </c>
      <c r="F77" s="1" t="s">
        <v>1744</v>
      </c>
      <c r="H77" s="1" t="s">
        <v>710</v>
      </c>
      <c r="I77" s="1" t="s">
        <v>2187</v>
      </c>
      <c r="J77" s="60" t="s">
        <v>742</v>
      </c>
      <c r="K77" s="248">
        <v>0.5</v>
      </c>
      <c r="L77" s="1">
        <v>57.35</v>
      </c>
      <c r="M77" s="1">
        <v>25</v>
      </c>
      <c r="N77" s="118">
        <v>50.652999999999999</v>
      </c>
      <c r="O77" s="118">
        <v>53.289000000000001</v>
      </c>
      <c r="P77" s="1">
        <f t="shared" si="85"/>
        <v>51.971000000000004</v>
      </c>
      <c r="Q77" s="118">
        <v>6.093</v>
      </c>
      <c r="R77" s="118">
        <v>7.093</v>
      </c>
      <c r="S77" s="1">
        <f t="shared" si="86"/>
        <v>6.593</v>
      </c>
      <c r="T77" s="1">
        <f t="shared" si="87"/>
        <v>2.6360000000000028</v>
      </c>
      <c r="U77" s="1">
        <f>R77-Q77</f>
        <v>1</v>
      </c>
      <c r="V77" s="1">
        <v>11</v>
      </c>
      <c r="W77" s="1">
        <v>27</v>
      </c>
      <c r="X77" s="1">
        <f t="shared" ref="X77" si="90">T77/(Z77/1000)</f>
        <v>26.360000000000028</v>
      </c>
      <c r="Y77" s="1">
        <f t="shared" si="89"/>
        <v>10</v>
      </c>
      <c r="Z77" s="1">
        <v>100</v>
      </c>
      <c r="AA77" s="63">
        <v>297</v>
      </c>
      <c r="AC77" s="82"/>
      <c r="AD77" s="82"/>
      <c r="AI77" s="79"/>
    </row>
    <row r="78" spans="1:35" ht="17" x14ac:dyDescent="0.2">
      <c r="A78" s="1">
        <v>9</v>
      </c>
      <c r="B78" s="79" t="s">
        <v>887</v>
      </c>
      <c r="C78" s="1" t="s">
        <v>888</v>
      </c>
      <c r="D78" s="1" t="s">
        <v>2191</v>
      </c>
      <c r="E78" s="1">
        <v>810593</v>
      </c>
      <c r="F78" s="1" t="s">
        <v>1744</v>
      </c>
      <c r="H78" s="1" t="s">
        <v>710</v>
      </c>
      <c r="I78" s="1" t="s">
        <v>2187</v>
      </c>
      <c r="J78" s="60" t="s">
        <v>742</v>
      </c>
      <c r="K78" s="248">
        <v>0.5</v>
      </c>
      <c r="L78" s="1">
        <v>57.35</v>
      </c>
      <c r="M78" s="1">
        <v>25</v>
      </c>
      <c r="N78" s="118">
        <v>50.677</v>
      </c>
      <c r="O78" s="118">
        <v>53.311999999999998</v>
      </c>
      <c r="P78" s="1">
        <f t="shared" ref="P78" si="91">(O78+N78)/2</f>
        <v>51.994500000000002</v>
      </c>
      <c r="Q78" s="118">
        <v>7.508</v>
      </c>
      <c r="R78" s="118">
        <v>8.5079999999999991</v>
      </c>
      <c r="S78" s="1">
        <f t="shared" ref="S78:S81" si="92">(R78+Q78)/2</f>
        <v>8.0079999999999991</v>
      </c>
      <c r="T78" s="1">
        <f t="shared" ref="T78:T81" si="93">O78-N78</f>
        <v>2.634999999999998</v>
      </c>
      <c r="U78" s="1">
        <f>R78-Q78</f>
        <v>0.99999999999999911</v>
      </c>
      <c r="V78" s="1">
        <v>11</v>
      </c>
      <c r="W78" s="1">
        <v>27</v>
      </c>
      <c r="X78" s="1">
        <f t="shared" ref="X78:X79" si="94">T78/(Z78/1000)</f>
        <v>26.34999999999998</v>
      </c>
      <c r="Y78" s="1">
        <f t="shared" ref="Y78:Y79" si="95">U78/(Z78/1000)</f>
        <v>9.9999999999999911</v>
      </c>
      <c r="Z78" s="1">
        <v>100</v>
      </c>
      <c r="AA78" s="63">
        <v>297</v>
      </c>
      <c r="AC78" s="82"/>
      <c r="AD78" s="82"/>
      <c r="AI78" s="79"/>
    </row>
    <row r="79" spans="1:35" ht="17" x14ac:dyDescent="0.2">
      <c r="A79" s="1">
        <v>1</v>
      </c>
      <c r="B79" s="79" t="s">
        <v>1521</v>
      </c>
      <c r="C79" s="1" t="s">
        <v>2192</v>
      </c>
      <c r="E79" s="1">
        <v>810594</v>
      </c>
      <c r="F79" s="1" t="s">
        <v>1744</v>
      </c>
      <c r="H79" s="1">
        <v>500</v>
      </c>
      <c r="J79" s="60" t="s">
        <v>742</v>
      </c>
      <c r="K79" s="248">
        <v>0.5</v>
      </c>
      <c r="L79" s="1">
        <v>57.35</v>
      </c>
      <c r="M79" s="1">
        <v>25</v>
      </c>
      <c r="N79" s="118">
        <v>52.207000000000001</v>
      </c>
      <c r="O79" s="118">
        <v>53.42</v>
      </c>
      <c r="P79" s="1">
        <f t="shared" si="85"/>
        <v>52.813500000000005</v>
      </c>
      <c r="Q79" s="118">
        <v>5.907</v>
      </c>
      <c r="R79" s="118">
        <v>6.6980000000000004</v>
      </c>
      <c r="S79" s="1">
        <f t="shared" si="92"/>
        <v>6.3025000000000002</v>
      </c>
      <c r="T79" s="1">
        <f t="shared" si="93"/>
        <v>1.213000000000001</v>
      </c>
      <c r="U79" s="1">
        <f t="shared" ref="U79:U89" si="96">R79-Q79</f>
        <v>0.79100000000000037</v>
      </c>
      <c r="V79" s="1">
        <v>40</v>
      </c>
      <c r="W79" s="1">
        <v>61</v>
      </c>
      <c r="X79" s="1">
        <f t="shared" si="94"/>
        <v>60.650000000000048</v>
      </c>
      <c r="Y79" s="1">
        <f t="shared" si="95"/>
        <v>39.550000000000018</v>
      </c>
      <c r="Z79" s="1">
        <v>20</v>
      </c>
      <c r="AA79" s="63">
        <v>2440</v>
      </c>
      <c r="AB79" s="82">
        <v>0.70277777777777772</v>
      </c>
      <c r="AC79" s="82">
        <v>1.3888888888888888E-2</v>
      </c>
      <c r="AD79" s="82">
        <f t="shared" ref="AD79:AD83" si="97">AB79+AC79</f>
        <v>0.71666666666666656</v>
      </c>
      <c r="AI79" s="79"/>
    </row>
    <row r="80" spans="1:35" x14ac:dyDescent="0.2">
      <c r="A80" s="1">
        <v>1</v>
      </c>
      <c r="B80" s="79"/>
      <c r="J80" s="60"/>
      <c r="K80" s="248"/>
      <c r="L80" s="1" t="s">
        <v>2193</v>
      </c>
      <c r="M80" s="1" t="s">
        <v>2194</v>
      </c>
      <c r="N80" s="118"/>
      <c r="O80" s="118"/>
      <c r="Q80" s="118"/>
      <c r="R80" s="118"/>
      <c r="AA80" s="63"/>
      <c r="AC80" s="82"/>
      <c r="AD80" s="82"/>
      <c r="AI80" s="79"/>
    </row>
    <row r="81" spans="1:35" ht="17" x14ac:dyDescent="0.2">
      <c r="A81" s="1">
        <v>1</v>
      </c>
      <c r="B81" s="79" t="s">
        <v>1521</v>
      </c>
      <c r="C81" s="1" t="s">
        <v>2195</v>
      </c>
      <c r="E81" s="1">
        <v>810595</v>
      </c>
      <c r="F81" s="1" t="s">
        <v>1744</v>
      </c>
      <c r="H81" s="1">
        <v>500</v>
      </c>
      <c r="J81" s="60" t="s">
        <v>742</v>
      </c>
      <c r="K81" s="248">
        <v>0.5</v>
      </c>
      <c r="L81" s="1">
        <v>57.35</v>
      </c>
      <c r="M81" s="1">
        <v>25</v>
      </c>
      <c r="N81" s="118">
        <v>52.207000000000001</v>
      </c>
      <c r="O81" s="118">
        <v>53.42</v>
      </c>
      <c r="P81" s="1">
        <f t="shared" si="85"/>
        <v>52.813500000000005</v>
      </c>
      <c r="Q81" s="118">
        <v>6.6980000000000004</v>
      </c>
      <c r="R81" s="118">
        <v>7.4889999999999999</v>
      </c>
      <c r="S81" s="1">
        <f t="shared" si="92"/>
        <v>7.0935000000000006</v>
      </c>
      <c r="T81" s="1">
        <f t="shared" si="93"/>
        <v>1.213000000000001</v>
      </c>
      <c r="U81" s="1">
        <f t="shared" si="96"/>
        <v>0.79099999999999948</v>
      </c>
      <c r="V81" s="1">
        <v>40</v>
      </c>
      <c r="W81" s="1">
        <v>61</v>
      </c>
      <c r="X81" s="1">
        <f t="shared" ref="X81:X89" si="98">T81/(Z81/1000)</f>
        <v>60.650000000000048</v>
      </c>
      <c r="Y81" s="1">
        <f t="shared" ref="Y81:Y89" si="99">U81/(Z81/1000)</f>
        <v>39.549999999999976</v>
      </c>
      <c r="Z81" s="1">
        <v>20</v>
      </c>
      <c r="AA81" s="63">
        <v>2440</v>
      </c>
      <c r="AB81" s="82">
        <v>0.72361111111111109</v>
      </c>
      <c r="AC81" s="82">
        <v>1.3888888888888888E-2</v>
      </c>
      <c r="AD81" s="82">
        <f t="shared" si="97"/>
        <v>0.73749999999999993</v>
      </c>
      <c r="AI81" s="79"/>
    </row>
    <row r="82" spans="1:35" x14ac:dyDescent="0.2">
      <c r="A82" s="1">
        <v>1</v>
      </c>
      <c r="B82" s="79"/>
      <c r="J82" s="60"/>
      <c r="K82" s="248"/>
      <c r="L82" s="1" t="s">
        <v>2193</v>
      </c>
      <c r="M82" s="1" t="s">
        <v>2196</v>
      </c>
      <c r="N82" s="118"/>
      <c r="O82" s="118"/>
      <c r="Q82" s="118"/>
      <c r="R82" s="118"/>
      <c r="AA82" s="63"/>
      <c r="AC82" s="82"/>
      <c r="AD82" s="82"/>
      <c r="AI82" s="79"/>
    </row>
    <row r="83" spans="1:35" ht="17" x14ac:dyDescent="0.2">
      <c r="A83" s="1">
        <v>1</v>
      </c>
      <c r="B83" s="79" t="s">
        <v>1521</v>
      </c>
      <c r="C83" s="1" t="s">
        <v>2197</v>
      </c>
      <c r="E83" s="1">
        <v>810596</v>
      </c>
      <c r="F83" s="1" t="s">
        <v>1744</v>
      </c>
      <c r="H83" s="1">
        <v>500</v>
      </c>
      <c r="J83" s="60" t="s">
        <v>742</v>
      </c>
      <c r="K83" s="248">
        <v>0.5</v>
      </c>
      <c r="L83" s="1">
        <v>57.35</v>
      </c>
      <c r="M83" s="1">
        <v>25</v>
      </c>
      <c r="N83" s="118">
        <v>52.207000000000001</v>
      </c>
      <c r="O83" s="118">
        <v>53.42</v>
      </c>
      <c r="P83" s="1">
        <f t="shared" si="85"/>
        <v>52.813500000000005</v>
      </c>
      <c r="Q83" s="118">
        <v>7.4889999999999999</v>
      </c>
      <c r="R83" s="118">
        <f>Q83+(R81-Q81)</f>
        <v>8.2799999999999994</v>
      </c>
      <c r="S83" s="1">
        <f t="shared" ref="S83:S101" si="100">(R83+Q83)/2</f>
        <v>7.8844999999999992</v>
      </c>
      <c r="T83" s="1">
        <f t="shared" ref="T83:T89" si="101">O83-N83</f>
        <v>1.213000000000001</v>
      </c>
      <c r="U83" s="1">
        <f t="shared" si="96"/>
        <v>0.79099999999999948</v>
      </c>
      <c r="V83" s="1">
        <v>40</v>
      </c>
      <c r="W83" s="1">
        <v>61</v>
      </c>
      <c r="X83" s="1">
        <f t="shared" si="98"/>
        <v>60.650000000000048</v>
      </c>
      <c r="Y83" s="1">
        <f t="shared" si="99"/>
        <v>39.549999999999976</v>
      </c>
      <c r="Z83" s="1">
        <v>20</v>
      </c>
      <c r="AA83" s="63">
        <v>2440</v>
      </c>
      <c r="AB83" s="82">
        <v>0.74375000000000002</v>
      </c>
      <c r="AC83" s="82">
        <v>1.3888888888888888E-2</v>
      </c>
      <c r="AD83" s="82">
        <f t="shared" si="97"/>
        <v>0.75763888888888886</v>
      </c>
      <c r="AI83" s="79"/>
    </row>
    <row r="84" spans="1:35" x14ac:dyDescent="0.2">
      <c r="A84" s="1">
        <v>1</v>
      </c>
      <c r="B84" s="79"/>
      <c r="J84" s="60"/>
      <c r="K84" s="248"/>
      <c r="L84" s="1" t="s">
        <v>2198</v>
      </c>
      <c r="M84" s="1" t="s">
        <v>2199</v>
      </c>
      <c r="N84" s="118"/>
      <c r="O84" s="118"/>
      <c r="Q84" s="118"/>
      <c r="R84" s="118"/>
      <c r="AA84" s="63"/>
      <c r="AC84" s="82"/>
      <c r="AD84" s="82"/>
      <c r="AI84" s="79"/>
    </row>
    <row r="85" spans="1:35" ht="17" x14ac:dyDescent="0.2">
      <c r="A85" s="1">
        <v>2</v>
      </c>
      <c r="B85" s="79" t="s">
        <v>1524</v>
      </c>
      <c r="C85" s="1" t="s">
        <v>2200</v>
      </c>
      <c r="E85" s="1">
        <v>810597</v>
      </c>
      <c r="F85" s="1" t="s">
        <v>1744</v>
      </c>
      <c r="H85" s="1">
        <v>500</v>
      </c>
      <c r="J85" s="60" t="s">
        <v>742</v>
      </c>
      <c r="K85" s="248">
        <v>0.5</v>
      </c>
      <c r="L85" s="1">
        <v>57.35</v>
      </c>
      <c r="M85" s="1">
        <v>25</v>
      </c>
      <c r="N85" s="118">
        <v>51.048000000000002</v>
      </c>
      <c r="O85" s="118">
        <v>52.261000000000003</v>
      </c>
      <c r="P85" s="1">
        <f t="shared" si="85"/>
        <v>51.654499999999999</v>
      </c>
      <c r="Q85" s="118">
        <v>5.4790000000000001</v>
      </c>
      <c r="R85" s="118">
        <v>6.27</v>
      </c>
      <c r="S85" s="1">
        <f t="shared" si="100"/>
        <v>5.8744999999999994</v>
      </c>
      <c r="T85" s="1">
        <f t="shared" si="101"/>
        <v>1.213000000000001</v>
      </c>
      <c r="U85" s="1">
        <f t="shared" si="96"/>
        <v>0.79099999999999948</v>
      </c>
      <c r="V85" s="1">
        <v>40</v>
      </c>
      <c r="W85" s="1">
        <v>61</v>
      </c>
      <c r="X85" s="1">
        <f t="shared" si="98"/>
        <v>60.650000000000048</v>
      </c>
      <c r="Y85" s="1">
        <f t="shared" si="99"/>
        <v>39.549999999999976</v>
      </c>
      <c r="Z85" s="1">
        <v>20</v>
      </c>
      <c r="AA85" s="63">
        <v>2440</v>
      </c>
      <c r="AB85" s="82">
        <v>0.80902777777777779</v>
      </c>
      <c r="AC85" s="82">
        <v>1.3888888888888888E-2</v>
      </c>
      <c r="AD85" s="82">
        <f t="shared" ref="AD85" si="102">AB85+AC85</f>
        <v>0.82291666666666663</v>
      </c>
      <c r="AI85" s="79"/>
    </row>
    <row r="86" spans="1:35" x14ac:dyDescent="0.2">
      <c r="A86" s="1">
        <v>2</v>
      </c>
      <c r="B86" s="79"/>
      <c r="J86" s="60"/>
      <c r="K86" s="248"/>
      <c r="L86" s="1" t="s">
        <v>2201</v>
      </c>
      <c r="M86" s="1" t="s">
        <v>2202</v>
      </c>
      <c r="N86" s="118"/>
      <c r="O86" s="118"/>
      <c r="Q86" s="118"/>
      <c r="R86" s="118"/>
      <c r="AA86" s="63"/>
      <c r="AC86" s="82"/>
      <c r="AD86" s="82"/>
      <c r="AI86" s="79"/>
    </row>
    <row r="87" spans="1:35" ht="17" x14ac:dyDescent="0.2">
      <c r="A87" s="1">
        <v>2</v>
      </c>
      <c r="B87" s="79" t="s">
        <v>1524</v>
      </c>
      <c r="C87" s="1" t="s">
        <v>2195</v>
      </c>
      <c r="E87" s="1">
        <v>810598</v>
      </c>
      <c r="F87" s="1" t="s">
        <v>1744</v>
      </c>
      <c r="H87" s="1">
        <v>500</v>
      </c>
      <c r="J87" s="60" t="s">
        <v>742</v>
      </c>
      <c r="K87" s="248">
        <v>0.5</v>
      </c>
      <c r="L87" s="1">
        <v>57.35</v>
      </c>
      <c r="M87" s="1">
        <v>25</v>
      </c>
      <c r="N87" s="118">
        <v>51.048000000000002</v>
      </c>
      <c r="O87" s="118">
        <v>52.261000000000003</v>
      </c>
      <c r="P87" s="1">
        <f t="shared" si="85"/>
        <v>51.654499999999999</v>
      </c>
      <c r="Q87" s="118">
        <v>6.27</v>
      </c>
      <c r="R87" s="118">
        <f>Q87+(R85-Q85)</f>
        <v>7.0609999999999991</v>
      </c>
      <c r="S87" s="1">
        <f t="shared" si="100"/>
        <v>6.6654999999999998</v>
      </c>
      <c r="T87" s="1">
        <f t="shared" si="101"/>
        <v>1.213000000000001</v>
      </c>
      <c r="U87" s="1">
        <f t="shared" si="96"/>
        <v>0.79099999999999948</v>
      </c>
      <c r="V87" s="1">
        <v>40</v>
      </c>
      <c r="W87" s="1">
        <v>61</v>
      </c>
      <c r="X87" s="1">
        <f t="shared" si="98"/>
        <v>60.650000000000048</v>
      </c>
      <c r="Y87" s="1">
        <f t="shared" si="99"/>
        <v>39.549999999999976</v>
      </c>
      <c r="Z87" s="1">
        <v>20</v>
      </c>
      <c r="AA87" s="63">
        <v>2440</v>
      </c>
      <c r="AB87" s="82">
        <v>0.8354166666666667</v>
      </c>
      <c r="AC87" s="82">
        <v>1.3888888888888888E-2</v>
      </c>
      <c r="AD87" s="82">
        <f>AB87+AC87</f>
        <v>0.84930555555555554</v>
      </c>
      <c r="AI87" s="79"/>
    </row>
    <row r="88" spans="1:35" x14ac:dyDescent="0.2">
      <c r="A88" s="1">
        <v>2</v>
      </c>
      <c r="B88" s="79"/>
      <c r="J88" s="60"/>
      <c r="K88" s="248"/>
      <c r="L88" s="1" t="s">
        <v>2203</v>
      </c>
      <c r="M88" s="1" t="s">
        <v>2204</v>
      </c>
      <c r="N88" s="118"/>
      <c r="O88" s="118"/>
      <c r="Q88" s="118"/>
      <c r="R88" s="118"/>
      <c r="AA88" s="63"/>
      <c r="AC88" s="82"/>
      <c r="AD88" s="82"/>
      <c r="AI88" s="79"/>
    </row>
    <row r="89" spans="1:35" ht="17" x14ac:dyDescent="0.2">
      <c r="A89" s="1">
        <v>2</v>
      </c>
      <c r="B89" s="79" t="s">
        <v>1524</v>
      </c>
      <c r="C89" s="1" t="s">
        <v>2197</v>
      </c>
      <c r="E89" s="1">
        <v>810599</v>
      </c>
      <c r="F89" s="1" t="s">
        <v>1744</v>
      </c>
      <c r="H89" s="1">
        <v>500</v>
      </c>
      <c r="J89" s="60" t="s">
        <v>742</v>
      </c>
      <c r="K89" s="248">
        <v>0.5</v>
      </c>
      <c r="L89" s="1">
        <v>57.35</v>
      </c>
      <c r="M89" s="1">
        <v>25</v>
      </c>
      <c r="N89" s="118">
        <v>51.048000000000002</v>
      </c>
      <c r="O89" s="118">
        <v>52.261000000000003</v>
      </c>
      <c r="P89" s="1">
        <f t="shared" si="85"/>
        <v>51.654499999999999</v>
      </c>
      <c r="Q89" s="118">
        <v>7.0609999999999999</v>
      </c>
      <c r="R89" s="118">
        <f>Q89+(R87-Q87)</f>
        <v>7.8519999999999994</v>
      </c>
      <c r="S89" s="1">
        <f t="shared" si="100"/>
        <v>7.4565000000000001</v>
      </c>
      <c r="T89" s="1">
        <f t="shared" si="101"/>
        <v>1.213000000000001</v>
      </c>
      <c r="U89" s="1">
        <f t="shared" si="96"/>
        <v>0.79099999999999948</v>
      </c>
      <c r="V89" s="1">
        <v>40</v>
      </c>
      <c r="W89" s="1">
        <v>61</v>
      </c>
      <c r="X89" s="1">
        <f t="shared" si="98"/>
        <v>60.650000000000048</v>
      </c>
      <c r="Y89" s="1">
        <f t="shared" si="99"/>
        <v>39.549999999999976</v>
      </c>
      <c r="Z89" s="1">
        <v>20</v>
      </c>
      <c r="AA89" s="63">
        <v>2440</v>
      </c>
      <c r="AB89" s="82">
        <v>0.85763888888888884</v>
      </c>
      <c r="AC89" s="82">
        <v>1.3888888888888888E-2</v>
      </c>
      <c r="AD89" s="82">
        <f>AB89+AC89</f>
        <v>0.87152777777777768</v>
      </c>
      <c r="AI89" s="79"/>
    </row>
    <row r="90" spans="1:35" x14ac:dyDescent="0.2">
      <c r="A90" s="1">
        <v>2</v>
      </c>
      <c r="B90" s="79"/>
      <c r="I90" s="1" t="s">
        <v>2205</v>
      </c>
      <c r="J90" s="60"/>
      <c r="K90" s="248"/>
      <c r="L90" s="1" t="s">
        <v>2206</v>
      </c>
      <c r="M90" s="1" t="s">
        <v>2207</v>
      </c>
      <c r="N90" s="118"/>
      <c r="O90" s="118"/>
      <c r="Q90" s="118"/>
      <c r="R90" s="118"/>
      <c r="AA90" s="63"/>
      <c r="AC90" s="82"/>
      <c r="AD90" s="82"/>
      <c r="AI90" s="79"/>
    </row>
    <row r="91" spans="1:35" ht="17" x14ac:dyDescent="0.2">
      <c r="A91" s="1">
        <v>3</v>
      </c>
      <c r="B91" s="79" t="s">
        <v>1525</v>
      </c>
      <c r="C91" s="1" t="s">
        <v>2200</v>
      </c>
      <c r="E91" s="1">
        <v>810600</v>
      </c>
      <c r="F91" s="1" t="s">
        <v>1744</v>
      </c>
      <c r="H91" s="1">
        <v>500</v>
      </c>
      <c r="J91" s="60" t="s">
        <v>742</v>
      </c>
      <c r="K91" s="248">
        <v>0.5</v>
      </c>
      <c r="L91" s="1">
        <v>57.35</v>
      </c>
      <c r="M91" s="1">
        <v>25</v>
      </c>
      <c r="N91" s="118">
        <v>51.673999999999999</v>
      </c>
      <c r="O91" s="118">
        <v>52.887</v>
      </c>
      <c r="P91" s="1">
        <f t="shared" si="85"/>
        <v>52.280500000000004</v>
      </c>
      <c r="Q91" s="118">
        <v>6.4969999999999999</v>
      </c>
      <c r="R91" s="118">
        <v>7.2880000000000003</v>
      </c>
      <c r="S91" s="1">
        <f t="shared" si="100"/>
        <v>6.8925000000000001</v>
      </c>
      <c r="T91" s="1">
        <f t="shared" ref="T91" si="103">O91-N91</f>
        <v>1.213000000000001</v>
      </c>
      <c r="U91" s="1">
        <f t="shared" ref="U91" si="104">R91-Q91</f>
        <v>0.79100000000000037</v>
      </c>
      <c r="V91" s="1">
        <v>40</v>
      </c>
      <c r="W91" s="1">
        <v>61</v>
      </c>
      <c r="X91" s="1">
        <f t="shared" ref="X91" si="105">T91/(Z91/1000)</f>
        <v>60.650000000000048</v>
      </c>
      <c r="Y91" s="1">
        <f t="shared" ref="Y91" si="106">U91/(Z91/1000)</f>
        <v>39.550000000000018</v>
      </c>
      <c r="Z91" s="1">
        <v>20</v>
      </c>
      <c r="AA91" s="63">
        <v>2440</v>
      </c>
      <c r="AB91" s="82">
        <v>0.88055555555555554</v>
      </c>
      <c r="AC91" s="82">
        <v>1.3888888888888888E-2</v>
      </c>
      <c r="AD91" s="82">
        <f>AB91+AC91</f>
        <v>0.89444444444444438</v>
      </c>
      <c r="AI91" s="79"/>
    </row>
    <row r="92" spans="1:35" x14ac:dyDescent="0.2">
      <c r="A92" s="1">
        <v>3</v>
      </c>
      <c r="B92" s="79"/>
      <c r="J92" s="60"/>
      <c r="K92" s="248"/>
      <c r="L92" s="1" t="s">
        <v>2208</v>
      </c>
      <c r="M92" s="1" t="s">
        <v>2209</v>
      </c>
      <c r="N92" s="118"/>
      <c r="O92" s="118"/>
      <c r="Q92" s="118"/>
      <c r="R92" s="118"/>
      <c r="AA92" s="63"/>
      <c r="AC92" s="82"/>
      <c r="AD92" s="82"/>
      <c r="AI92" s="79"/>
    </row>
    <row r="93" spans="1:35" ht="17" x14ac:dyDescent="0.2">
      <c r="A93" s="1">
        <v>3</v>
      </c>
      <c r="B93" s="79" t="s">
        <v>1525</v>
      </c>
      <c r="C93" s="1" t="s">
        <v>2195</v>
      </c>
      <c r="E93" s="1">
        <v>810601</v>
      </c>
      <c r="F93" s="1" t="s">
        <v>1744</v>
      </c>
      <c r="H93" s="1">
        <v>500</v>
      </c>
      <c r="J93" s="60" t="s">
        <v>742</v>
      </c>
      <c r="K93" s="248">
        <v>0.5</v>
      </c>
      <c r="L93" s="1">
        <v>57.35</v>
      </c>
      <c r="M93" s="1">
        <v>25</v>
      </c>
      <c r="N93" s="118">
        <v>51.215000000000003</v>
      </c>
      <c r="O93" s="118">
        <v>52.427999999999997</v>
      </c>
      <c r="P93" s="1">
        <f t="shared" si="85"/>
        <v>51.8215</v>
      </c>
      <c r="Q93" s="118">
        <v>7.2880000000000003</v>
      </c>
      <c r="R93" s="118">
        <f>Q93+(R91-Q91)</f>
        <v>8.0790000000000006</v>
      </c>
      <c r="S93" s="1">
        <f t="shared" si="100"/>
        <v>7.6835000000000004</v>
      </c>
      <c r="T93" s="1">
        <f t="shared" ref="T93" si="107">O93-N93</f>
        <v>1.2129999999999939</v>
      </c>
      <c r="U93" s="1">
        <f t="shared" ref="U93" si="108">R93-Q93</f>
        <v>0.79100000000000037</v>
      </c>
      <c r="V93" s="1">
        <v>40</v>
      </c>
      <c r="W93" s="1">
        <v>61</v>
      </c>
      <c r="X93" s="1">
        <f t="shared" ref="X93" si="109">T93/(Z93/1000)</f>
        <v>60.649999999999693</v>
      </c>
      <c r="Y93" s="1">
        <f t="shared" ref="Y93" si="110">U93/(Z93/1000)</f>
        <v>39.550000000000018</v>
      </c>
      <c r="Z93" s="1">
        <v>20</v>
      </c>
      <c r="AA93" s="63">
        <v>2440</v>
      </c>
      <c r="AB93" s="82">
        <v>0.90138888888888891</v>
      </c>
      <c r="AC93" s="82">
        <v>1.3888888888888888E-2</v>
      </c>
      <c r="AD93" s="82">
        <f>AB93+AC93</f>
        <v>0.91527777777777775</v>
      </c>
      <c r="AI93" s="79"/>
    </row>
    <row r="94" spans="1:35" x14ac:dyDescent="0.2">
      <c r="A94" s="1">
        <v>3</v>
      </c>
      <c r="B94" s="79"/>
      <c r="J94" s="60"/>
      <c r="K94" s="248"/>
      <c r="L94" s="1" t="s">
        <v>2210</v>
      </c>
      <c r="M94" s="1" t="s">
        <v>2211</v>
      </c>
      <c r="N94" s="118"/>
      <c r="O94" s="118"/>
      <c r="Q94" s="118"/>
      <c r="R94" s="118"/>
      <c r="AA94" s="63"/>
      <c r="AC94" s="82"/>
      <c r="AD94" s="82"/>
      <c r="AI94" s="79"/>
    </row>
    <row r="95" spans="1:35" ht="17" x14ac:dyDescent="0.2">
      <c r="A95" s="1">
        <v>3</v>
      </c>
      <c r="B95" s="79" t="s">
        <v>1525</v>
      </c>
      <c r="C95" s="1" t="s">
        <v>2197</v>
      </c>
      <c r="E95" s="1">
        <v>810602</v>
      </c>
      <c r="F95" s="1" t="s">
        <v>1744</v>
      </c>
      <c r="H95" s="1">
        <v>500</v>
      </c>
      <c r="J95" s="60" t="s">
        <v>742</v>
      </c>
      <c r="K95" s="248">
        <v>0.5</v>
      </c>
      <c r="L95" s="1">
        <v>57.35</v>
      </c>
      <c r="M95" s="1">
        <v>25</v>
      </c>
      <c r="N95" s="118">
        <v>51.215000000000003</v>
      </c>
      <c r="O95" s="118">
        <v>52.427999999999997</v>
      </c>
      <c r="P95" s="1">
        <f t="shared" si="85"/>
        <v>51.8215</v>
      </c>
      <c r="Q95" s="118">
        <v>8.0790000000000006</v>
      </c>
      <c r="R95" s="118">
        <f>Q95+(R93-Q93)</f>
        <v>8.870000000000001</v>
      </c>
      <c r="S95" s="1">
        <f t="shared" si="100"/>
        <v>8.4745000000000008</v>
      </c>
      <c r="T95" s="1">
        <f t="shared" ref="T95" si="111">O95-N95</f>
        <v>1.2129999999999939</v>
      </c>
      <c r="U95" s="1">
        <f t="shared" ref="U95" si="112">R95-Q95</f>
        <v>0.79100000000000037</v>
      </c>
      <c r="V95" s="1">
        <v>40</v>
      </c>
      <c r="W95" s="1">
        <v>61</v>
      </c>
      <c r="X95" s="1">
        <f t="shared" ref="X95" si="113">T95/(Z95/1000)</f>
        <v>60.649999999999693</v>
      </c>
      <c r="Y95" s="1">
        <f t="shared" ref="Y95" si="114">U95/(Z95/1000)</f>
        <v>39.550000000000018</v>
      </c>
      <c r="Z95" s="1">
        <v>20</v>
      </c>
      <c r="AA95" s="63">
        <v>2440</v>
      </c>
      <c r="AB95" s="82">
        <v>0.92222222222222228</v>
      </c>
      <c r="AC95" s="82">
        <v>1.3888888888888888E-2</v>
      </c>
      <c r="AD95" s="82">
        <f>AB95+AC95</f>
        <v>0.93611111111111112</v>
      </c>
      <c r="AI95" s="79"/>
    </row>
    <row r="96" spans="1:35" x14ac:dyDescent="0.2">
      <c r="A96" s="1">
        <v>3</v>
      </c>
      <c r="B96" s="79"/>
      <c r="J96" s="60"/>
      <c r="K96" s="248"/>
      <c r="L96" s="1" t="s">
        <v>2212</v>
      </c>
      <c r="M96" s="1" t="s">
        <v>2213</v>
      </c>
      <c r="N96" s="118"/>
      <c r="O96" s="118"/>
      <c r="Q96" s="118"/>
      <c r="R96" s="118"/>
      <c r="AA96" s="63"/>
      <c r="AC96" s="82"/>
      <c r="AD96" s="82"/>
      <c r="AI96" s="79"/>
    </row>
    <row r="97" spans="1:35" ht="17" x14ac:dyDescent="0.2">
      <c r="A97" s="1">
        <v>4</v>
      </c>
      <c r="B97" s="79" t="s">
        <v>1526</v>
      </c>
      <c r="C97" s="1" t="s">
        <v>2200</v>
      </c>
      <c r="E97" s="1">
        <v>810604</v>
      </c>
      <c r="F97" s="1" t="s">
        <v>1744</v>
      </c>
      <c r="H97" s="1">
        <v>500</v>
      </c>
      <c r="J97" s="60" t="s">
        <v>742</v>
      </c>
      <c r="K97" s="248">
        <v>0.5</v>
      </c>
      <c r="L97" s="1">
        <v>57.35</v>
      </c>
      <c r="M97" s="1">
        <v>25</v>
      </c>
      <c r="N97" s="118">
        <v>52.996000000000002</v>
      </c>
      <c r="O97" s="118">
        <v>54.209000000000003</v>
      </c>
      <c r="P97" s="1">
        <f t="shared" si="85"/>
        <v>53.602500000000006</v>
      </c>
      <c r="Q97" s="118">
        <v>5.4349999999999996</v>
      </c>
      <c r="R97" s="118">
        <v>6.226</v>
      </c>
      <c r="S97" s="1">
        <f t="shared" si="100"/>
        <v>5.8304999999999998</v>
      </c>
      <c r="T97" s="1">
        <f t="shared" ref="T97" si="115">O97-N97</f>
        <v>1.213000000000001</v>
      </c>
      <c r="U97" s="1">
        <f t="shared" ref="U97" si="116">R97-Q97</f>
        <v>0.79100000000000037</v>
      </c>
      <c r="V97" s="1">
        <v>40</v>
      </c>
      <c r="W97" s="1">
        <v>61</v>
      </c>
      <c r="X97" s="1">
        <f t="shared" ref="X97" si="117">T97/(Z97/1000)</f>
        <v>60.650000000000048</v>
      </c>
      <c r="Y97" s="1">
        <f t="shared" ref="Y97" si="118">U97/(Z97/1000)</f>
        <v>39.550000000000018</v>
      </c>
      <c r="Z97" s="1">
        <v>20</v>
      </c>
      <c r="AA97" s="63">
        <v>2440</v>
      </c>
      <c r="AB97" s="82">
        <v>0.94305555555555554</v>
      </c>
      <c r="AC97" s="82">
        <v>1.3888888888888888E-2</v>
      </c>
      <c r="AD97" s="82">
        <f>AB97+AC97</f>
        <v>0.95694444444444438</v>
      </c>
      <c r="AI97" s="79"/>
    </row>
    <row r="98" spans="1:35" x14ac:dyDescent="0.2">
      <c r="A98" s="1">
        <v>4</v>
      </c>
      <c r="B98" s="79"/>
      <c r="J98" s="60"/>
      <c r="K98" s="248"/>
      <c r="L98" s="1" t="s">
        <v>2214</v>
      </c>
      <c r="M98" s="1" t="s">
        <v>2215</v>
      </c>
      <c r="N98" s="118"/>
      <c r="O98" s="118"/>
      <c r="Q98" s="118"/>
      <c r="R98" s="118"/>
      <c r="AA98" s="63"/>
      <c r="AC98" s="82"/>
      <c r="AD98" s="82"/>
      <c r="AI98" s="79"/>
    </row>
    <row r="99" spans="1:35" ht="17" x14ac:dyDescent="0.2">
      <c r="A99" s="1">
        <v>4</v>
      </c>
      <c r="B99" s="79" t="s">
        <v>1526</v>
      </c>
      <c r="C99" s="1" t="s">
        <v>2195</v>
      </c>
      <c r="E99" s="1">
        <v>810605</v>
      </c>
      <c r="F99" s="1" t="s">
        <v>1744</v>
      </c>
      <c r="H99" s="1">
        <v>500</v>
      </c>
      <c r="J99" s="60" t="s">
        <v>742</v>
      </c>
      <c r="K99" s="248">
        <v>0.5</v>
      </c>
      <c r="L99" s="1">
        <v>57.35</v>
      </c>
      <c r="M99" s="1">
        <v>25</v>
      </c>
      <c r="N99" s="118">
        <v>52.996000000000002</v>
      </c>
      <c r="O99" s="118">
        <v>54.209000000000003</v>
      </c>
      <c r="P99" s="1">
        <f t="shared" si="85"/>
        <v>53.602500000000006</v>
      </c>
      <c r="Q99" s="118">
        <f>R97</f>
        <v>6.226</v>
      </c>
      <c r="R99" s="118">
        <f>Q99+(R97-Q97)</f>
        <v>7.0170000000000003</v>
      </c>
      <c r="S99" s="1">
        <f t="shared" si="100"/>
        <v>6.6215000000000002</v>
      </c>
      <c r="T99" s="1">
        <f t="shared" ref="T99" si="119">O99-N99</f>
        <v>1.213000000000001</v>
      </c>
      <c r="U99" s="1">
        <f t="shared" ref="U99" si="120">R99-Q99</f>
        <v>0.79100000000000037</v>
      </c>
      <c r="V99" s="1">
        <v>40</v>
      </c>
      <c r="W99" s="1">
        <v>61</v>
      </c>
      <c r="X99" s="1">
        <f t="shared" ref="X99" si="121">T99/(Z99/1000)</f>
        <v>60.650000000000048</v>
      </c>
      <c r="Y99" s="1">
        <f t="shared" ref="Y99" si="122">U99/(Z99/1000)</f>
        <v>39.550000000000018</v>
      </c>
      <c r="Z99" s="1">
        <v>20</v>
      </c>
      <c r="AA99" s="63">
        <v>2440</v>
      </c>
      <c r="AC99" s="82">
        <v>1.3888888888888888E-2</v>
      </c>
      <c r="AD99" s="82">
        <f>AB99+AC99</f>
        <v>1.3888888888888888E-2</v>
      </c>
      <c r="AI99" s="79"/>
    </row>
    <row r="100" spans="1:35" x14ac:dyDescent="0.2">
      <c r="A100" s="1">
        <v>4</v>
      </c>
      <c r="B100" s="79"/>
      <c r="J100" s="60"/>
      <c r="K100" s="248"/>
      <c r="L100" s="1" t="s">
        <v>2216</v>
      </c>
      <c r="M100" s="1" t="s">
        <v>2217</v>
      </c>
      <c r="N100" s="118"/>
      <c r="O100" s="118"/>
      <c r="Q100" s="118"/>
      <c r="R100" s="118"/>
      <c r="AA100" s="63"/>
      <c r="AC100" s="82"/>
      <c r="AD100" s="82"/>
      <c r="AI100" s="79"/>
    </row>
    <row r="101" spans="1:35" ht="17" x14ac:dyDescent="0.2">
      <c r="A101" s="1">
        <v>4</v>
      </c>
      <c r="B101" s="79" t="s">
        <v>1526</v>
      </c>
      <c r="C101" s="1" t="s">
        <v>2197</v>
      </c>
      <c r="E101" s="1">
        <v>810606</v>
      </c>
      <c r="F101" s="1" t="s">
        <v>1744</v>
      </c>
      <c r="H101" s="1">
        <v>500</v>
      </c>
      <c r="J101" s="60" t="s">
        <v>742</v>
      </c>
      <c r="K101" s="248">
        <v>0.5</v>
      </c>
      <c r="L101" s="1">
        <v>57.35</v>
      </c>
      <c r="M101" s="1">
        <v>25</v>
      </c>
      <c r="N101" s="118">
        <v>53.165999999999997</v>
      </c>
      <c r="O101" s="118">
        <v>54.378999999999998</v>
      </c>
      <c r="P101" s="1">
        <f t="shared" si="85"/>
        <v>53.772499999999994</v>
      </c>
      <c r="Q101" s="118">
        <v>7.0460000000000003</v>
      </c>
      <c r="R101" s="118">
        <v>7.8369999999999997</v>
      </c>
      <c r="S101" s="1">
        <f t="shared" si="100"/>
        <v>7.4414999999999996</v>
      </c>
      <c r="T101" s="1">
        <f t="shared" ref="T101" si="123">O101-N101</f>
        <v>1.213000000000001</v>
      </c>
      <c r="U101" s="1">
        <f t="shared" ref="U101" si="124">R101-Q101</f>
        <v>0.79099999999999948</v>
      </c>
      <c r="V101" s="1">
        <v>40</v>
      </c>
      <c r="W101" s="1">
        <v>61</v>
      </c>
      <c r="X101" s="1">
        <f t="shared" ref="X101" si="125">T101/(Z101/1000)</f>
        <v>60.650000000000048</v>
      </c>
      <c r="Y101" s="1">
        <f t="shared" ref="Y101" si="126">U101/(Z101/1000)</f>
        <v>39.549999999999976</v>
      </c>
      <c r="Z101" s="1">
        <v>20</v>
      </c>
      <c r="AA101" s="63">
        <v>2440</v>
      </c>
      <c r="AC101" s="82">
        <v>1.3888888888888888E-2</v>
      </c>
      <c r="AD101" s="82">
        <f>AB101+AC101</f>
        <v>1.3888888888888888E-2</v>
      </c>
      <c r="AI101" s="79"/>
    </row>
    <row r="102" spans="1:35" x14ac:dyDescent="0.2">
      <c r="A102" s="1">
        <v>4</v>
      </c>
      <c r="B102" s="79"/>
      <c r="J102" s="60"/>
      <c r="K102" s="248"/>
      <c r="L102" s="1" t="s">
        <v>2218</v>
      </c>
      <c r="M102" s="1" t="s">
        <v>2219</v>
      </c>
      <c r="N102" s="118"/>
      <c r="O102" s="118"/>
      <c r="Q102" s="118"/>
      <c r="R102" s="118"/>
      <c r="AA102" s="63"/>
      <c r="AC102" s="82"/>
      <c r="AD102" s="82"/>
      <c r="AI102" s="79"/>
    </row>
    <row r="103" spans="1:35" ht="17" x14ac:dyDescent="0.2">
      <c r="A103" s="1">
        <v>421</v>
      </c>
      <c r="B103" s="1" t="s">
        <v>1527</v>
      </c>
      <c r="C103" s="1" t="s">
        <v>2181</v>
      </c>
      <c r="E103" s="1">
        <v>810607</v>
      </c>
      <c r="F103" s="1" t="s">
        <v>1749</v>
      </c>
      <c r="H103" s="1">
        <v>12</v>
      </c>
      <c r="J103" s="60" t="s">
        <v>742</v>
      </c>
      <c r="K103" s="248">
        <v>0.1</v>
      </c>
      <c r="L103" s="1">
        <v>99</v>
      </c>
      <c r="M103" s="1">
        <v>-20</v>
      </c>
      <c r="N103" s="118">
        <v>3.7</v>
      </c>
      <c r="O103" s="118">
        <v>5.7</v>
      </c>
      <c r="P103" s="1">
        <f t="shared" si="85"/>
        <v>4.7</v>
      </c>
      <c r="Q103" s="118">
        <v>4.3</v>
      </c>
      <c r="R103" s="118">
        <v>5.5</v>
      </c>
      <c r="S103" s="1">
        <f t="shared" ref="S103" si="127">(R103+Q103)/2</f>
        <v>4.9000000000000004</v>
      </c>
      <c r="T103" s="1">
        <f t="shared" ref="T103" si="128">O103-N103</f>
        <v>2</v>
      </c>
      <c r="U103" s="1">
        <f t="shared" ref="U103" si="129">R103-Q103</f>
        <v>1.2000000000000002</v>
      </c>
      <c r="V103" s="1">
        <v>61</v>
      </c>
      <c r="W103" s="1">
        <v>101</v>
      </c>
      <c r="X103" s="1">
        <f t="shared" ref="X103" si="130">T103/(Z103/1000)</f>
        <v>100</v>
      </c>
      <c r="Y103" s="1">
        <f t="shared" ref="Y103" si="131">U103/(Z103/1000)</f>
        <v>60.000000000000007</v>
      </c>
      <c r="Z103" s="1">
        <v>20</v>
      </c>
      <c r="AA103" s="63">
        <f>V103*W103</f>
        <v>6161</v>
      </c>
      <c r="AC103" s="82">
        <v>6.9444444444444441E-3</v>
      </c>
      <c r="AD103" s="82">
        <f>AB103+AC103</f>
        <v>6.9444444444444441E-3</v>
      </c>
      <c r="AI103" s="79"/>
    </row>
    <row r="104" spans="1:35" ht="17" x14ac:dyDescent="0.2">
      <c r="A104" s="1">
        <v>423</v>
      </c>
      <c r="B104" s="1" t="s">
        <v>1528</v>
      </c>
      <c r="C104" s="1" t="s">
        <v>2181</v>
      </c>
      <c r="E104" s="1">
        <v>810608</v>
      </c>
      <c r="F104" s="1" t="s">
        <v>1749</v>
      </c>
      <c r="H104" s="1">
        <v>12</v>
      </c>
      <c r="J104" s="60" t="s">
        <v>742</v>
      </c>
      <c r="K104" s="248">
        <v>0.1</v>
      </c>
      <c r="L104" s="1">
        <v>99</v>
      </c>
      <c r="M104" s="1">
        <v>-20</v>
      </c>
      <c r="N104" s="118">
        <v>35.6</v>
      </c>
      <c r="O104" s="118">
        <v>36.700000000000003</v>
      </c>
      <c r="P104" s="1">
        <f t="shared" si="85"/>
        <v>36.150000000000006</v>
      </c>
      <c r="Q104" s="118">
        <v>3.7</v>
      </c>
      <c r="R104" s="118">
        <v>5.7</v>
      </c>
      <c r="S104" s="1">
        <f t="shared" ref="S104:S113" si="132">(R104+Q104)/2</f>
        <v>4.7</v>
      </c>
      <c r="T104" s="1">
        <f t="shared" ref="T104:T113" si="133">O104-N104</f>
        <v>1.1000000000000014</v>
      </c>
      <c r="U104" s="1">
        <f t="shared" ref="U104:U113" si="134">R104-Q104</f>
        <v>2</v>
      </c>
      <c r="V104" s="1">
        <v>56</v>
      </c>
      <c r="W104" s="1">
        <v>101</v>
      </c>
      <c r="X104" s="1">
        <f t="shared" ref="X104:X113" si="135">T104/(Z104/1000)</f>
        <v>55.000000000000071</v>
      </c>
      <c r="Y104" s="1">
        <f t="shared" ref="Y104:Y113" si="136">U104/(Z104/1000)</f>
        <v>100</v>
      </c>
      <c r="Z104" s="1">
        <v>20</v>
      </c>
      <c r="AA104" s="63">
        <f t="shared" ref="AA104:AA112" si="137">V104*W104</f>
        <v>5656</v>
      </c>
      <c r="AC104" s="82"/>
      <c r="AD104" s="82">
        <f t="shared" ref="AD104:AD113" si="138">AB104+AC104</f>
        <v>0</v>
      </c>
      <c r="AI104" s="79"/>
    </row>
    <row r="105" spans="1:35" ht="17" x14ac:dyDescent="0.2">
      <c r="A105" s="1">
        <v>430</v>
      </c>
      <c r="B105" s="1" t="s">
        <v>1527</v>
      </c>
      <c r="C105" s="1" t="s">
        <v>2166</v>
      </c>
      <c r="E105" s="1">
        <v>810609</v>
      </c>
      <c r="F105" s="1" t="s">
        <v>1749</v>
      </c>
      <c r="H105" s="1">
        <v>12</v>
      </c>
      <c r="J105" s="60" t="s">
        <v>742</v>
      </c>
      <c r="K105" s="248">
        <v>0.1</v>
      </c>
      <c r="L105" s="1">
        <v>99</v>
      </c>
      <c r="M105" s="1">
        <v>-20</v>
      </c>
      <c r="N105" s="118">
        <v>67.7</v>
      </c>
      <c r="O105" s="118">
        <v>69.099999999999994</v>
      </c>
      <c r="P105" s="1">
        <f t="shared" si="85"/>
        <v>68.400000000000006</v>
      </c>
      <c r="Q105" s="118">
        <v>7.2</v>
      </c>
      <c r="R105" s="118">
        <v>9.1</v>
      </c>
      <c r="S105" s="1">
        <f t="shared" si="132"/>
        <v>8.15</v>
      </c>
      <c r="T105" s="1">
        <f t="shared" si="133"/>
        <v>1.3999999999999915</v>
      </c>
      <c r="U105" s="1">
        <f t="shared" si="134"/>
        <v>1.8999999999999995</v>
      </c>
      <c r="V105" s="1">
        <v>96</v>
      </c>
      <c r="W105" s="1">
        <v>71</v>
      </c>
      <c r="X105" s="1">
        <f t="shared" si="135"/>
        <v>69.999999999999574</v>
      </c>
      <c r="Y105" s="1">
        <f t="shared" si="136"/>
        <v>94.999999999999972</v>
      </c>
      <c r="Z105" s="1">
        <v>20</v>
      </c>
      <c r="AA105" s="63">
        <f t="shared" si="137"/>
        <v>6816</v>
      </c>
      <c r="AC105" s="82"/>
      <c r="AD105" s="82">
        <f t="shared" si="138"/>
        <v>0</v>
      </c>
      <c r="AI105" s="79"/>
    </row>
    <row r="106" spans="1:35" ht="17" x14ac:dyDescent="0.2">
      <c r="A106" s="1">
        <v>427</v>
      </c>
      <c r="B106" s="1" t="s">
        <v>1529</v>
      </c>
      <c r="C106" s="1" t="s">
        <v>2181</v>
      </c>
      <c r="E106" s="1">
        <v>810610</v>
      </c>
      <c r="F106" s="1" t="s">
        <v>1749</v>
      </c>
      <c r="H106" s="1">
        <v>12</v>
      </c>
      <c r="J106" s="60" t="s">
        <v>742</v>
      </c>
      <c r="K106" s="248">
        <v>0.1</v>
      </c>
      <c r="L106" s="1">
        <v>99</v>
      </c>
      <c r="M106" s="1">
        <v>-20</v>
      </c>
      <c r="N106" s="118">
        <v>94.2</v>
      </c>
      <c r="O106" s="118">
        <v>95.3</v>
      </c>
      <c r="P106" s="1">
        <f t="shared" si="85"/>
        <v>94.75</v>
      </c>
      <c r="Q106" s="118">
        <v>0.3</v>
      </c>
      <c r="R106" s="118">
        <v>2.8</v>
      </c>
      <c r="S106" s="1">
        <f t="shared" si="132"/>
        <v>1.5499999999999998</v>
      </c>
      <c r="T106" s="1">
        <f t="shared" si="133"/>
        <v>1.0999999999999943</v>
      </c>
      <c r="U106" s="1">
        <f t="shared" si="134"/>
        <v>2.5</v>
      </c>
      <c r="V106" s="1">
        <v>56</v>
      </c>
      <c r="W106" s="1">
        <v>121</v>
      </c>
      <c r="X106" s="1">
        <f t="shared" si="135"/>
        <v>54.999999999999716</v>
      </c>
      <c r="Y106" s="1">
        <f t="shared" si="136"/>
        <v>125</v>
      </c>
      <c r="Z106" s="1">
        <v>20</v>
      </c>
      <c r="AA106" s="63">
        <f t="shared" si="137"/>
        <v>6776</v>
      </c>
      <c r="AC106" s="82"/>
      <c r="AD106" s="82">
        <f t="shared" si="138"/>
        <v>0</v>
      </c>
      <c r="AI106" s="79"/>
    </row>
    <row r="107" spans="1:35" ht="17" x14ac:dyDescent="0.2">
      <c r="A107" s="1">
        <v>425</v>
      </c>
      <c r="B107" s="1" t="s">
        <v>1530</v>
      </c>
      <c r="C107" s="1" t="s">
        <v>2181</v>
      </c>
      <c r="E107" s="1">
        <v>810611</v>
      </c>
      <c r="F107" s="1" t="s">
        <v>1749</v>
      </c>
      <c r="H107" s="1">
        <v>12</v>
      </c>
      <c r="J107" s="60" t="s">
        <v>742</v>
      </c>
      <c r="K107" s="248">
        <v>0.1</v>
      </c>
      <c r="L107" s="1">
        <v>97</v>
      </c>
      <c r="M107" s="1">
        <v>-35</v>
      </c>
      <c r="N107" s="118">
        <v>0.8</v>
      </c>
      <c r="O107" s="118">
        <v>1.8</v>
      </c>
      <c r="P107" s="1">
        <f t="shared" si="85"/>
        <v>1.3</v>
      </c>
      <c r="Q107" s="118">
        <v>0.2</v>
      </c>
      <c r="R107" s="118">
        <v>2.2000000000000002</v>
      </c>
      <c r="S107" s="1">
        <f t="shared" si="132"/>
        <v>1.2000000000000002</v>
      </c>
      <c r="T107" s="1">
        <f t="shared" si="133"/>
        <v>1</v>
      </c>
      <c r="U107" s="1">
        <f t="shared" si="134"/>
        <v>2</v>
      </c>
      <c r="V107" s="1">
        <v>51</v>
      </c>
      <c r="W107" s="1">
        <v>101</v>
      </c>
      <c r="X107" s="1">
        <f t="shared" si="135"/>
        <v>50</v>
      </c>
      <c r="Y107" s="1">
        <f>U107/(Z107/1000)</f>
        <v>100</v>
      </c>
      <c r="Z107" s="1">
        <v>20</v>
      </c>
      <c r="AA107" s="63">
        <f t="shared" si="137"/>
        <v>5151</v>
      </c>
      <c r="AC107" s="82"/>
      <c r="AD107" s="82">
        <f t="shared" si="138"/>
        <v>0</v>
      </c>
      <c r="AI107" s="79"/>
    </row>
    <row r="108" spans="1:35" ht="17" x14ac:dyDescent="0.2">
      <c r="A108" s="1">
        <v>432</v>
      </c>
      <c r="B108" s="1" t="s">
        <v>1528</v>
      </c>
      <c r="C108" s="1" t="s">
        <v>2166</v>
      </c>
      <c r="E108" s="1">
        <v>810612</v>
      </c>
      <c r="F108" s="1" t="s">
        <v>1749</v>
      </c>
      <c r="H108" s="1">
        <v>12</v>
      </c>
      <c r="J108" s="60" t="s">
        <v>742</v>
      </c>
      <c r="K108" s="248">
        <v>0.1</v>
      </c>
      <c r="L108" s="1">
        <v>99</v>
      </c>
      <c r="M108" s="1">
        <v>-20</v>
      </c>
      <c r="N108" s="118">
        <v>34.4</v>
      </c>
      <c r="O108" s="118">
        <v>35.4</v>
      </c>
      <c r="P108" s="1">
        <f t="shared" si="85"/>
        <v>34.9</v>
      </c>
      <c r="Q108" s="118">
        <v>5.0999999999999996</v>
      </c>
      <c r="R108" s="118">
        <v>6.5</v>
      </c>
      <c r="S108" s="1">
        <f t="shared" si="132"/>
        <v>5.8</v>
      </c>
      <c r="T108" s="1">
        <f t="shared" si="133"/>
        <v>1</v>
      </c>
      <c r="U108" s="1">
        <f t="shared" si="134"/>
        <v>1.4000000000000004</v>
      </c>
      <c r="V108" s="1">
        <v>71</v>
      </c>
      <c r="W108" s="1">
        <v>51</v>
      </c>
      <c r="X108" s="1">
        <f t="shared" si="135"/>
        <v>50</v>
      </c>
      <c r="Y108" s="1">
        <f t="shared" si="136"/>
        <v>70.000000000000014</v>
      </c>
      <c r="Z108" s="1">
        <v>20</v>
      </c>
      <c r="AA108" s="63">
        <f t="shared" si="137"/>
        <v>3621</v>
      </c>
      <c r="AC108" s="82"/>
      <c r="AD108" s="82">
        <f t="shared" si="138"/>
        <v>0</v>
      </c>
      <c r="AI108" s="79"/>
    </row>
    <row r="109" spans="1:35" ht="17" x14ac:dyDescent="0.2">
      <c r="A109" s="1">
        <v>433</v>
      </c>
      <c r="B109" s="1" t="s">
        <v>1530</v>
      </c>
      <c r="C109" s="1" t="s">
        <v>2166</v>
      </c>
      <c r="E109" s="1">
        <v>810613</v>
      </c>
      <c r="F109" s="1" t="s">
        <v>1749</v>
      </c>
      <c r="H109" s="1">
        <v>12</v>
      </c>
      <c r="J109" s="60" t="s">
        <v>742</v>
      </c>
      <c r="K109" s="248">
        <v>0.1</v>
      </c>
      <c r="L109" s="1">
        <v>99</v>
      </c>
      <c r="M109" s="1">
        <v>-20</v>
      </c>
      <c r="N109" s="118">
        <v>61.2</v>
      </c>
      <c r="O109" s="118">
        <v>62.2</v>
      </c>
      <c r="P109" s="1">
        <f t="shared" si="85"/>
        <v>61.7</v>
      </c>
      <c r="Q109" s="118">
        <v>3.4</v>
      </c>
      <c r="R109" s="118">
        <v>4.5</v>
      </c>
      <c r="S109" s="1">
        <f t="shared" si="132"/>
        <v>3.95</v>
      </c>
      <c r="T109" s="1">
        <f t="shared" si="133"/>
        <v>1</v>
      </c>
      <c r="U109" s="1">
        <f t="shared" si="134"/>
        <v>1.1000000000000001</v>
      </c>
      <c r="V109" s="1">
        <v>56</v>
      </c>
      <c r="W109" s="1">
        <v>51</v>
      </c>
      <c r="X109" s="1">
        <f t="shared" si="135"/>
        <v>50</v>
      </c>
      <c r="Y109" s="1">
        <f t="shared" si="136"/>
        <v>55</v>
      </c>
      <c r="Z109" s="1">
        <v>20</v>
      </c>
      <c r="AA109" s="63">
        <f t="shared" si="137"/>
        <v>2856</v>
      </c>
      <c r="AC109" s="82"/>
      <c r="AD109" s="82">
        <f t="shared" si="138"/>
        <v>0</v>
      </c>
      <c r="AI109" s="79"/>
    </row>
    <row r="110" spans="1:35" ht="17" x14ac:dyDescent="0.2">
      <c r="A110" s="1">
        <v>435</v>
      </c>
      <c r="B110" s="1" t="s">
        <v>1529</v>
      </c>
      <c r="C110" s="1" t="s">
        <v>2166</v>
      </c>
      <c r="E110" s="1">
        <v>810614</v>
      </c>
      <c r="F110" s="1" t="s">
        <v>1749</v>
      </c>
      <c r="H110" s="1">
        <v>12</v>
      </c>
      <c r="J110" s="60" t="s">
        <v>742</v>
      </c>
      <c r="K110" s="248">
        <v>0.1</v>
      </c>
      <c r="L110" s="1">
        <v>99</v>
      </c>
      <c r="M110" s="1">
        <v>-20</v>
      </c>
      <c r="N110" s="118">
        <v>89.9</v>
      </c>
      <c r="O110" s="118">
        <v>90.9</v>
      </c>
      <c r="P110" s="1">
        <f t="shared" si="85"/>
        <v>90.4</v>
      </c>
      <c r="Q110" s="118">
        <v>3.4</v>
      </c>
      <c r="R110" s="118">
        <v>4.8</v>
      </c>
      <c r="S110" s="1">
        <f t="shared" si="132"/>
        <v>4.0999999999999996</v>
      </c>
      <c r="T110" s="1">
        <f t="shared" si="133"/>
        <v>1</v>
      </c>
      <c r="U110" s="1">
        <f t="shared" si="134"/>
        <v>1.4</v>
      </c>
      <c r="V110" s="1">
        <v>71</v>
      </c>
      <c r="W110" s="1">
        <v>51</v>
      </c>
      <c r="X110" s="1">
        <f t="shared" si="135"/>
        <v>50</v>
      </c>
      <c r="Y110" s="1">
        <f t="shared" si="136"/>
        <v>70</v>
      </c>
      <c r="Z110" s="1">
        <v>20</v>
      </c>
      <c r="AA110" s="63">
        <f t="shared" si="137"/>
        <v>3621</v>
      </c>
      <c r="AC110" s="82"/>
      <c r="AD110" s="82">
        <f t="shared" si="138"/>
        <v>0</v>
      </c>
      <c r="AI110" s="79"/>
    </row>
    <row r="111" spans="1:35" ht="17" x14ac:dyDescent="0.2">
      <c r="A111" s="1">
        <v>421</v>
      </c>
      <c r="B111" s="1" t="s">
        <v>1527</v>
      </c>
      <c r="C111" s="1" t="s">
        <v>2181</v>
      </c>
      <c r="E111" s="1">
        <v>810607</v>
      </c>
      <c r="F111" s="1" t="s">
        <v>1749</v>
      </c>
      <c r="H111" s="1">
        <v>12</v>
      </c>
      <c r="J111" s="60" t="s">
        <v>742</v>
      </c>
      <c r="K111" s="248">
        <v>0.5</v>
      </c>
      <c r="L111" s="1">
        <v>99</v>
      </c>
      <c r="M111" s="1">
        <v>-20</v>
      </c>
      <c r="N111" s="118">
        <v>4.125</v>
      </c>
      <c r="O111" s="118">
        <v>5.6609999999999996</v>
      </c>
      <c r="P111" s="1">
        <f t="shared" ref="P111:P112" si="139">(O111+N111)/2</f>
        <v>4.8929999999999998</v>
      </c>
      <c r="Q111" s="118">
        <v>5.5449999999999999</v>
      </c>
      <c r="R111" s="118">
        <v>5.9950000000000001</v>
      </c>
      <c r="S111" s="1">
        <f t="shared" si="132"/>
        <v>5.77</v>
      </c>
      <c r="T111" s="1">
        <f t="shared" si="133"/>
        <v>1.5359999999999996</v>
      </c>
      <c r="U111" s="1">
        <f t="shared" si="134"/>
        <v>0.45000000000000018</v>
      </c>
      <c r="V111" s="1">
        <v>61</v>
      </c>
      <c r="W111" s="1">
        <v>101</v>
      </c>
      <c r="X111" s="1">
        <f t="shared" si="135"/>
        <v>76.799999999999983</v>
      </c>
      <c r="Y111" s="1">
        <f t="shared" si="136"/>
        <v>22.500000000000007</v>
      </c>
      <c r="Z111" s="1">
        <v>20</v>
      </c>
      <c r="AA111" s="63">
        <f t="shared" si="137"/>
        <v>6161</v>
      </c>
      <c r="AC111" s="82">
        <v>6.9444444444444441E-3</v>
      </c>
      <c r="AD111" s="82">
        <f>AB111+AC111</f>
        <v>6.9444444444444441E-3</v>
      </c>
      <c r="AI111" s="79"/>
    </row>
    <row r="112" spans="1:35" ht="17" x14ac:dyDescent="0.2">
      <c r="A112" s="1">
        <v>423</v>
      </c>
      <c r="B112" s="1" t="s">
        <v>1528</v>
      </c>
      <c r="C112" s="1" t="s">
        <v>2181</v>
      </c>
      <c r="E112" s="1">
        <v>810608</v>
      </c>
      <c r="F112" s="1" t="s">
        <v>1749</v>
      </c>
      <c r="H112" s="1">
        <v>12</v>
      </c>
      <c r="J112" s="60" t="s">
        <v>742</v>
      </c>
      <c r="K112" s="248">
        <v>0.5</v>
      </c>
      <c r="L112" s="1">
        <v>99</v>
      </c>
      <c r="M112" s="1">
        <v>-20</v>
      </c>
      <c r="N112" s="118">
        <v>35.6</v>
      </c>
      <c r="O112" s="118">
        <v>36.700000000000003</v>
      </c>
      <c r="P112" s="1">
        <f t="shared" si="139"/>
        <v>36.150000000000006</v>
      </c>
      <c r="Q112" s="118">
        <v>3.7</v>
      </c>
      <c r="R112" s="118">
        <v>5.7</v>
      </c>
      <c r="S112" s="1">
        <f t="shared" ref="S112" si="140">(R112+Q112)/2</f>
        <v>4.7</v>
      </c>
      <c r="T112" s="1">
        <f t="shared" ref="T112" si="141">O112-N112</f>
        <v>1.1000000000000014</v>
      </c>
      <c r="U112" s="1">
        <f t="shared" ref="U112" si="142">R112-Q112</f>
        <v>2</v>
      </c>
      <c r="V112" s="1">
        <v>56</v>
      </c>
      <c r="W112" s="1">
        <v>101</v>
      </c>
      <c r="X112" s="1">
        <f t="shared" ref="X112" si="143">T112/(Z112/1000)</f>
        <v>55.000000000000071</v>
      </c>
      <c r="Y112" s="1">
        <f t="shared" ref="Y112" si="144">U112/(Z112/1000)</f>
        <v>100</v>
      </c>
      <c r="Z112" s="1">
        <v>20</v>
      </c>
      <c r="AA112" s="63">
        <f t="shared" si="137"/>
        <v>5656</v>
      </c>
      <c r="AC112" s="82"/>
      <c r="AD112" s="82">
        <f t="shared" ref="AD112" si="145">AB112+AC112</f>
        <v>0</v>
      </c>
      <c r="AI112" s="79"/>
    </row>
    <row r="113" spans="1:35" ht="17" x14ac:dyDescent="0.2">
      <c r="A113" s="1">
        <v>468</v>
      </c>
      <c r="B113" s="1" t="s">
        <v>1531</v>
      </c>
      <c r="D113" s="1">
        <v>1</v>
      </c>
      <c r="E113" s="1">
        <v>810617</v>
      </c>
      <c r="F113" s="1" t="s">
        <v>1749</v>
      </c>
      <c r="H113" s="1">
        <v>12</v>
      </c>
      <c r="J113" s="60" t="s">
        <v>742</v>
      </c>
      <c r="K113" s="248">
        <v>0.1</v>
      </c>
      <c r="L113" s="1">
        <v>99</v>
      </c>
      <c r="M113" s="1">
        <v>-22</v>
      </c>
      <c r="N113" s="118">
        <v>6</v>
      </c>
      <c r="O113" s="118">
        <v>7.9</v>
      </c>
      <c r="P113" s="1">
        <f t="shared" si="85"/>
        <v>6.95</v>
      </c>
      <c r="Q113" s="118">
        <v>5.9</v>
      </c>
      <c r="R113" s="118">
        <v>7.7</v>
      </c>
      <c r="S113" s="1">
        <f t="shared" si="132"/>
        <v>6.8000000000000007</v>
      </c>
      <c r="T113" s="1">
        <f t="shared" si="133"/>
        <v>1.9000000000000004</v>
      </c>
      <c r="U113" s="1">
        <f t="shared" si="134"/>
        <v>1.7999999999999998</v>
      </c>
      <c r="X113" s="1">
        <f t="shared" si="135"/>
        <v>95.000000000000014</v>
      </c>
      <c r="Y113" s="1">
        <f t="shared" si="136"/>
        <v>89.999999999999986</v>
      </c>
      <c r="Z113" s="1">
        <v>20</v>
      </c>
      <c r="AA113" s="63">
        <f>Y113*X113</f>
        <v>8550</v>
      </c>
      <c r="AC113" s="82"/>
      <c r="AD113" s="82">
        <f t="shared" si="138"/>
        <v>0</v>
      </c>
      <c r="AI113" s="79"/>
    </row>
    <row r="114" spans="1:35" ht="17" x14ac:dyDescent="0.2">
      <c r="A114" s="1">
        <v>468</v>
      </c>
      <c r="B114" s="1" t="s">
        <v>1531</v>
      </c>
      <c r="D114" s="1">
        <v>2</v>
      </c>
      <c r="E114" s="1">
        <v>810618</v>
      </c>
      <c r="F114" s="1" t="s">
        <v>1749</v>
      </c>
      <c r="H114" s="1">
        <v>12</v>
      </c>
      <c r="J114" s="60" t="s">
        <v>742</v>
      </c>
      <c r="K114" s="248">
        <v>0.1</v>
      </c>
      <c r="L114" s="1">
        <v>99</v>
      </c>
      <c r="M114" s="1">
        <v>-20</v>
      </c>
      <c r="N114" s="118">
        <v>7.9</v>
      </c>
      <c r="O114" s="118">
        <v>9.8000000000000007</v>
      </c>
      <c r="P114" s="1">
        <f t="shared" ref="P114:P122" si="146">(O114+N114)/2</f>
        <v>8.8500000000000014</v>
      </c>
      <c r="Q114" s="118">
        <v>5.9</v>
      </c>
      <c r="R114" s="118">
        <v>7.7</v>
      </c>
      <c r="S114" s="1">
        <f t="shared" ref="S114:S115" si="147">(R114+Q114)/2</f>
        <v>6.8000000000000007</v>
      </c>
      <c r="T114" s="1">
        <f t="shared" ref="T114:T115" si="148">O114-N114</f>
        <v>1.9000000000000004</v>
      </c>
      <c r="U114" s="1">
        <f t="shared" ref="U114:U115" si="149">R114-Q114</f>
        <v>1.7999999999999998</v>
      </c>
      <c r="X114" s="1">
        <f t="shared" ref="X114:X116" si="150">T114/(Z114/1000)</f>
        <v>95.000000000000014</v>
      </c>
      <c r="Y114" s="1">
        <f t="shared" ref="Y114:Y116" si="151">U114/(Z114/1000)</f>
        <v>89.999999999999986</v>
      </c>
      <c r="Z114" s="1">
        <v>20</v>
      </c>
      <c r="AA114" s="63">
        <f t="shared" ref="AA114:AA127" si="152">Y114*X114</f>
        <v>8550</v>
      </c>
      <c r="AC114" s="82"/>
      <c r="AD114" s="82">
        <f t="shared" ref="AD114" si="153">AB114+AC114</f>
        <v>0</v>
      </c>
    </row>
    <row r="115" spans="1:35" ht="17" x14ac:dyDescent="0.2">
      <c r="A115" s="1">
        <v>468</v>
      </c>
      <c r="B115" s="1" t="s">
        <v>1531</v>
      </c>
      <c r="D115" s="1">
        <v>3</v>
      </c>
      <c r="E115" s="1">
        <v>810623</v>
      </c>
      <c r="F115" s="1" t="s">
        <v>1749</v>
      </c>
      <c r="H115" s="1">
        <v>12</v>
      </c>
      <c r="J115" s="60" t="s">
        <v>742</v>
      </c>
      <c r="K115" s="248">
        <v>0.1</v>
      </c>
      <c r="L115" s="1">
        <v>99</v>
      </c>
      <c r="M115" s="1">
        <v>-18</v>
      </c>
      <c r="N115" s="1">
        <v>7.9</v>
      </c>
      <c r="O115" s="1">
        <v>9.8000000000000007</v>
      </c>
      <c r="P115" s="1">
        <f t="shared" si="85"/>
        <v>8.8500000000000014</v>
      </c>
      <c r="Q115" s="1">
        <v>7.7</v>
      </c>
      <c r="R115" s="1">
        <v>9.5</v>
      </c>
      <c r="S115" s="1">
        <f t="shared" si="147"/>
        <v>8.6</v>
      </c>
      <c r="T115" s="1">
        <f t="shared" si="148"/>
        <v>1.9000000000000004</v>
      </c>
      <c r="U115" s="1">
        <f t="shared" si="149"/>
        <v>1.7999999999999998</v>
      </c>
      <c r="X115" s="1">
        <f t="shared" si="150"/>
        <v>95.000000000000014</v>
      </c>
      <c r="Y115" s="1">
        <f t="shared" si="151"/>
        <v>89.999999999999986</v>
      </c>
      <c r="Z115" s="1">
        <v>20</v>
      </c>
      <c r="AA115" s="63">
        <f t="shared" si="152"/>
        <v>8550</v>
      </c>
    </row>
    <row r="116" spans="1:35" ht="17" x14ac:dyDescent="0.2">
      <c r="A116" s="1">
        <v>468</v>
      </c>
      <c r="B116" s="1" t="s">
        <v>1531</v>
      </c>
      <c r="D116" s="1">
        <v>4</v>
      </c>
      <c r="E116" s="1">
        <v>810624</v>
      </c>
      <c r="F116" s="1" t="s">
        <v>1749</v>
      </c>
      <c r="H116" s="1">
        <v>12</v>
      </c>
      <c r="J116" s="60" t="s">
        <v>742</v>
      </c>
      <c r="K116" s="248">
        <v>0.1</v>
      </c>
      <c r="L116" s="1">
        <v>99</v>
      </c>
      <c r="M116" s="1">
        <v>-16</v>
      </c>
      <c r="N116" s="1">
        <v>6</v>
      </c>
      <c r="O116" s="1">
        <v>7.9</v>
      </c>
      <c r="P116" s="1">
        <f t="shared" si="146"/>
        <v>6.95</v>
      </c>
      <c r="Q116" s="1">
        <v>7.7</v>
      </c>
      <c r="R116" s="1">
        <v>9.5</v>
      </c>
      <c r="S116" s="1">
        <f t="shared" ref="S116:S123" si="154">(R116+Q116)/2</f>
        <v>8.6</v>
      </c>
      <c r="T116" s="1">
        <f t="shared" ref="T116:T123" si="155">O116-N116</f>
        <v>1.9000000000000004</v>
      </c>
      <c r="U116" s="1">
        <f t="shared" ref="U116:U123" si="156">R116-Q116</f>
        <v>1.7999999999999998</v>
      </c>
      <c r="X116" s="1">
        <f t="shared" si="150"/>
        <v>95.000000000000014</v>
      </c>
      <c r="Y116" s="1">
        <f t="shared" si="151"/>
        <v>89.999999999999986</v>
      </c>
      <c r="Z116" s="1">
        <v>20</v>
      </c>
      <c r="AA116" s="63">
        <f t="shared" si="152"/>
        <v>8550</v>
      </c>
    </row>
    <row r="117" spans="1:35" ht="17" x14ac:dyDescent="0.2">
      <c r="A117" s="1">
        <v>465</v>
      </c>
      <c r="B117" s="1" t="s">
        <v>1533</v>
      </c>
      <c r="E117" s="1">
        <v>810625</v>
      </c>
      <c r="F117" s="1" t="s">
        <v>1749</v>
      </c>
      <c r="H117" s="1">
        <v>12</v>
      </c>
      <c r="J117" s="60" t="s">
        <v>742</v>
      </c>
      <c r="K117" s="248">
        <v>0.1</v>
      </c>
      <c r="L117" s="1">
        <v>99</v>
      </c>
      <c r="M117" s="1">
        <v>-14</v>
      </c>
      <c r="N117" s="1">
        <v>32</v>
      </c>
      <c r="O117" s="1">
        <v>34</v>
      </c>
      <c r="P117" s="1">
        <f t="shared" si="85"/>
        <v>33</v>
      </c>
      <c r="Q117" s="1">
        <v>2.2999999999999998</v>
      </c>
      <c r="R117" s="1">
        <v>5</v>
      </c>
      <c r="S117" s="1">
        <f t="shared" si="154"/>
        <v>3.65</v>
      </c>
      <c r="T117" s="1">
        <f t="shared" si="155"/>
        <v>2</v>
      </c>
      <c r="U117" s="1">
        <f t="shared" si="156"/>
        <v>2.7</v>
      </c>
      <c r="X117" s="1">
        <f t="shared" ref="X117:X123" si="157">T117/(Z117/1000)</f>
        <v>100</v>
      </c>
      <c r="Y117" s="1">
        <f t="shared" ref="Y117:Y123" si="158">U117/(Z117/1000)</f>
        <v>135</v>
      </c>
      <c r="Z117" s="1">
        <v>20</v>
      </c>
      <c r="AA117" s="63">
        <f t="shared" si="152"/>
        <v>13500</v>
      </c>
    </row>
    <row r="118" spans="1:35" ht="17" x14ac:dyDescent="0.2">
      <c r="A118" s="1">
        <v>465</v>
      </c>
      <c r="B118" s="1" t="s">
        <v>1533</v>
      </c>
      <c r="E118" s="1">
        <v>810626</v>
      </c>
      <c r="F118" s="1" t="s">
        <v>1749</v>
      </c>
      <c r="H118" s="1">
        <v>12</v>
      </c>
      <c r="J118" s="60" t="s">
        <v>742</v>
      </c>
      <c r="K118" s="248">
        <v>0.1</v>
      </c>
      <c r="L118" s="1">
        <v>99</v>
      </c>
      <c r="M118" s="1">
        <v>-12</v>
      </c>
      <c r="N118" s="1">
        <v>32</v>
      </c>
      <c r="O118" s="1">
        <v>34.4</v>
      </c>
      <c r="P118" s="1">
        <f t="shared" si="146"/>
        <v>33.200000000000003</v>
      </c>
      <c r="Q118" s="1">
        <v>4.9000000000000004</v>
      </c>
      <c r="R118" s="1">
        <v>7</v>
      </c>
      <c r="S118" s="1">
        <f t="shared" si="154"/>
        <v>5.95</v>
      </c>
      <c r="T118" s="1">
        <f t="shared" si="155"/>
        <v>2.3999999999999986</v>
      </c>
      <c r="U118" s="1">
        <f t="shared" si="156"/>
        <v>2.0999999999999996</v>
      </c>
      <c r="X118" s="1">
        <f t="shared" si="157"/>
        <v>119.99999999999993</v>
      </c>
      <c r="Y118" s="1">
        <f t="shared" si="158"/>
        <v>104.99999999999999</v>
      </c>
      <c r="Z118" s="1">
        <v>20</v>
      </c>
      <c r="AA118" s="63">
        <f t="shared" si="152"/>
        <v>12599.999999999991</v>
      </c>
    </row>
    <row r="119" spans="1:35" ht="17" x14ac:dyDescent="0.2">
      <c r="A119" s="1">
        <v>464</v>
      </c>
      <c r="B119" s="1" t="s">
        <v>1534</v>
      </c>
      <c r="E119" s="1">
        <v>810627</v>
      </c>
      <c r="F119" s="1" t="s">
        <v>1749</v>
      </c>
      <c r="H119" s="1">
        <v>12</v>
      </c>
      <c r="J119" s="60" t="s">
        <v>742</v>
      </c>
      <c r="K119" s="248">
        <v>0.1</v>
      </c>
      <c r="L119" s="1">
        <v>99</v>
      </c>
      <c r="M119" s="1">
        <v>-10</v>
      </c>
      <c r="N119" s="1">
        <v>62.1</v>
      </c>
      <c r="O119" s="1">
        <v>64.099999999999994</v>
      </c>
      <c r="P119" s="1">
        <f t="shared" si="85"/>
        <v>63.099999999999994</v>
      </c>
      <c r="Q119" s="1">
        <v>2.1</v>
      </c>
      <c r="R119" s="1">
        <v>4</v>
      </c>
      <c r="S119" s="1">
        <f t="shared" si="154"/>
        <v>3.05</v>
      </c>
      <c r="T119" s="1">
        <f t="shared" si="155"/>
        <v>1.9999999999999929</v>
      </c>
      <c r="U119" s="1">
        <f t="shared" si="156"/>
        <v>1.9</v>
      </c>
      <c r="X119" s="1">
        <f t="shared" si="157"/>
        <v>99.999999999999645</v>
      </c>
      <c r="Y119" s="1">
        <f t="shared" si="158"/>
        <v>95</v>
      </c>
      <c r="Z119" s="1">
        <v>20</v>
      </c>
      <c r="AA119" s="63">
        <f t="shared" si="152"/>
        <v>9499.9999999999654</v>
      </c>
    </row>
    <row r="120" spans="1:35" ht="17" x14ac:dyDescent="0.2">
      <c r="A120" s="1">
        <v>464</v>
      </c>
      <c r="B120" s="1" t="s">
        <v>1534</v>
      </c>
      <c r="E120" s="1">
        <v>810628</v>
      </c>
      <c r="F120" s="1" t="s">
        <v>1749</v>
      </c>
      <c r="H120" s="1">
        <v>12</v>
      </c>
      <c r="J120" s="60" t="s">
        <v>742</v>
      </c>
      <c r="K120" s="248">
        <v>0.1</v>
      </c>
      <c r="L120" s="1">
        <v>99</v>
      </c>
      <c r="M120" s="1">
        <v>-8</v>
      </c>
      <c r="N120" s="1">
        <v>64</v>
      </c>
      <c r="O120" s="1">
        <v>65.8</v>
      </c>
      <c r="P120" s="1">
        <f t="shared" si="146"/>
        <v>64.900000000000006</v>
      </c>
      <c r="Q120" s="1">
        <v>2.1</v>
      </c>
      <c r="R120" s="1">
        <v>4</v>
      </c>
      <c r="S120" s="1">
        <f t="shared" si="154"/>
        <v>3.05</v>
      </c>
      <c r="T120" s="1">
        <f t="shared" si="155"/>
        <v>1.7999999999999972</v>
      </c>
      <c r="U120" s="1">
        <f t="shared" si="156"/>
        <v>1.9</v>
      </c>
      <c r="X120" s="1">
        <f t="shared" si="157"/>
        <v>89.999999999999858</v>
      </c>
      <c r="Y120" s="1">
        <f t="shared" si="158"/>
        <v>95</v>
      </c>
      <c r="Z120" s="1">
        <v>20</v>
      </c>
      <c r="AA120" s="63">
        <f t="shared" si="152"/>
        <v>8549.9999999999873</v>
      </c>
    </row>
    <row r="121" spans="1:35" ht="17" x14ac:dyDescent="0.2">
      <c r="A121" s="1">
        <v>464</v>
      </c>
      <c r="B121" s="1" t="s">
        <v>1534</v>
      </c>
      <c r="E121" s="1">
        <v>810629</v>
      </c>
      <c r="F121" s="1" t="s">
        <v>1749</v>
      </c>
      <c r="H121" s="1">
        <v>12</v>
      </c>
      <c r="J121" s="60" t="s">
        <v>742</v>
      </c>
      <c r="K121" s="248">
        <v>0.1</v>
      </c>
      <c r="L121" s="1">
        <v>99</v>
      </c>
      <c r="M121" s="1">
        <v>-6</v>
      </c>
      <c r="N121" s="1">
        <v>64</v>
      </c>
      <c r="O121" s="1">
        <v>65.8</v>
      </c>
      <c r="P121" s="1">
        <f t="shared" si="85"/>
        <v>64.900000000000006</v>
      </c>
      <c r="Q121" s="1">
        <v>4</v>
      </c>
      <c r="R121" s="1">
        <v>5.9</v>
      </c>
      <c r="S121" s="1">
        <f t="shared" si="154"/>
        <v>4.95</v>
      </c>
      <c r="T121" s="1">
        <f t="shared" si="155"/>
        <v>1.7999999999999972</v>
      </c>
      <c r="U121" s="1">
        <f t="shared" si="156"/>
        <v>1.9000000000000004</v>
      </c>
      <c r="X121" s="1">
        <f t="shared" si="157"/>
        <v>89.999999999999858</v>
      </c>
      <c r="Y121" s="1">
        <f t="shared" si="158"/>
        <v>95.000000000000014</v>
      </c>
      <c r="Z121" s="1">
        <v>20</v>
      </c>
      <c r="AA121" s="63">
        <f t="shared" si="152"/>
        <v>8549.9999999999873</v>
      </c>
    </row>
    <row r="122" spans="1:35" ht="17" x14ac:dyDescent="0.2">
      <c r="A122" s="1">
        <v>464</v>
      </c>
      <c r="B122" s="1" t="s">
        <v>1534</v>
      </c>
      <c r="E122" s="1">
        <v>810630</v>
      </c>
      <c r="F122" s="1" t="s">
        <v>1749</v>
      </c>
      <c r="H122" s="1">
        <v>12</v>
      </c>
      <c r="J122" s="60" t="s">
        <v>742</v>
      </c>
      <c r="K122" s="248">
        <v>0.1</v>
      </c>
      <c r="L122" s="1">
        <v>99</v>
      </c>
      <c r="M122" s="1">
        <v>-4</v>
      </c>
      <c r="N122" s="1">
        <v>62.1</v>
      </c>
      <c r="O122" s="1">
        <v>64.099999999999994</v>
      </c>
      <c r="P122" s="1">
        <f t="shared" si="146"/>
        <v>63.099999999999994</v>
      </c>
      <c r="Q122" s="1">
        <v>4</v>
      </c>
      <c r="R122" s="1">
        <v>5.9</v>
      </c>
      <c r="S122" s="1">
        <f t="shared" si="154"/>
        <v>4.95</v>
      </c>
      <c r="T122" s="1">
        <f t="shared" si="155"/>
        <v>1.9999999999999929</v>
      </c>
      <c r="U122" s="1">
        <f t="shared" si="156"/>
        <v>1.9000000000000004</v>
      </c>
      <c r="X122" s="1">
        <f t="shared" si="157"/>
        <v>99.999999999999645</v>
      </c>
      <c r="Y122" s="1">
        <f t="shared" si="158"/>
        <v>95.000000000000014</v>
      </c>
      <c r="Z122" s="1">
        <v>20</v>
      </c>
      <c r="AA122" s="63">
        <f t="shared" si="152"/>
        <v>9499.9999999999673</v>
      </c>
    </row>
    <row r="123" spans="1:35" ht="17" x14ac:dyDescent="0.2">
      <c r="A123" s="1">
        <v>462</v>
      </c>
      <c r="B123" s="1" t="s">
        <v>1535</v>
      </c>
      <c r="E123" s="1">
        <v>810631</v>
      </c>
      <c r="F123" s="1" t="s">
        <v>1749</v>
      </c>
      <c r="H123" s="1">
        <v>12</v>
      </c>
      <c r="J123" s="60" t="s">
        <v>742</v>
      </c>
      <c r="K123" s="248">
        <v>0.1</v>
      </c>
      <c r="L123" s="1">
        <v>99</v>
      </c>
      <c r="M123" s="1">
        <v>-2</v>
      </c>
      <c r="N123" s="1">
        <v>90.9</v>
      </c>
      <c r="O123" s="1">
        <v>93</v>
      </c>
      <c r="P123" s="1">
        <f t="shared" si="85"/>
        <v>91.95</v>
      </c>
      <c r="Q123" s="1">
        <v>2</v>
      </c>
      <c r="R123" s="1">
        <v>4.8</v>
      </c>
      <c r="S123" s="1">
        <f t="shared" si="154"/>
        <v>3.4</v>
      </c>
      <c r="T123" s="1">
        <f t="shared" si="155"/>
        <v>2.0999999999999943</v>
      </c>
      <c r="U123" s="1">
        <f t="shared" si="156"/>
        <v>2.8</v>
      </c>
      <c r="X123" s="1">
        <f t="shared" si="157"/>
        <v>104.99999999999972</v>
      </c>
      <c r="Y123" s="1">
        <f t="shared" si="158"/>
        <v>140</v>
      </c>
      <c r="Z123" s="1">
        <v>20</v>
      </c>
      <c r="AA123" s="63">
        <f t="shared" si="152"/>
        <v>14699.99999999996</v>
      </c>
    </row>
    <row r="124" spans="1:35" ht="17" x14ac:dyDescent="0.2">
      <c r="A124" s="1">
        <v>462</v>
      </c>
      <c r="B124" s="1" t="s">
        <v>1535</v>
      </c>
      <c r="E124" s="1">
        <v>810632</v>
      </c>
      <c r="F124" s="1" t="s">
        <v>1749</v>
      </c>
      <c r="H124" s="1">
        <v>12</v>
      </c>
      <c r="J124" s="60" t="s">
        <v>742</v>
      </c>
      <c r="K124" s="248">
        <v>0.1</v>
      </c>
      <c r="L124" s="1">
        <v>99</v>
      </c>
      <c r="M124" s="1">
        <v>0</v>
      </c>
      <c r="AA124" s="63">
        <f>Y124*X124</f>
        <v>0</v>
      </c>
    </row>
    <row r="125" spans="1:35" ht="17" x14ac:dyDescent="0.2">
      <c r="A125" s="1">
        <v>462</v>
      </c>
      <c r="B125" s="1" t="s">
        <v>1535</v>
      </c>
      <c r="E125" s="1">
        <v>810633</v>
      </c>
      <c r="F125" s="1" t="s">
        <v>1749</v>
      </c>
      <c r="H125" s="1">
        <v>12</v>
      </c>
      <c r="J125" s="60" t="s">
        <v>742</v>
      </c>
      <c r="K125" s="248">
        <v>0.1</v>
      </c>
      <c r="L125" s="1">
        <v>99</v>
      </c>
      <c r="M125" s="1">
        <v>2</v>
      </c>
      <c r="AA125" s="63">
        <f t="shared" si="152"/>
        <v>0</v>
      </c>
    </row>
    <row r="126" spans="1:35" ht="17" x14ac:dyDescent="0.2">
      <c r="A126" s="1">
        <v>462</v>
      </c>
      <c r="B126" s="1" t="s">
        <v>1535</v>
      </c>
      <c r="E126" s="1">
        <v>810634</v>
      </c>
      <c r="F126" s="1" t="s">
        <v>1749</v>
      </c>
      <c r="H126" s="1">
        <v>12</v>
      </c>
      <c r="J126" s="60" t="s">
        <v>742</v>
      </c>
      <c r="K126" s="248">
        <v>0.1</v>
      </c>
      <c r="L126" s="1">
        <v>99</v>
      </c>
      <c r="M126" s="1">
        <v>4</v>
      </c>
      <c r="AA126" s="63">
        <f t="shared" si="152"/>
        <v>0</v>
      </c>
    </row>
    <row r="127" spans="1:35" ht="17" x14ac:dyDescent="0.2">
      <c r="A127" s="1">
        <v>462</v>
      </c>
      <c r="B127" s="1" t="s">
        <v>1535</v>
      </c>
      <c r="E127" s="1">
        <v>810635</v>
      </c>
      <c r="F127" s="1" t="s">
        <v>1749</v>
      </c>
      <c r="H127" s="1">
        <v>12</v>
      </c>
      <c r="J127" s="60" t="s">
        <v>742</v>
      </c>
      <c r="K127" s="248">
        <v>0.1</v>
      </c>
      <c r="L127" s="1">
        <v>99</v>
      </c>
      <c r="M127" s="1">
        <v>6</v>
      </c>
      <c r="AA127" s="63">
        <f t="shared" si="152"/>
        <v>0</v>
      </c>
    </row>
  </sheetData>
  <autoFilter ref="D1:J61" xr:uid="{BAC98B4D-39C1-4B95-94FB-74E57C99B7C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MANIFEST</vt:lpstr>
      <vt:lpstr>Lab book NI</vt:lpstr>
      <vt:lpstr>Lab book Raman</vt:lpstr>
      <vt:lpstr>SAXS Master Manifest</vt:lpstr>
      <vt:lpstr>Sheet1</vt:lpstr>
      <vt:lpstr>by TECHNIQUE (done)</vt:lpstr>
      <vt:lpstr>SAXS Done</vt:lpstr>
      <vt:lpstr>by SAMPLE (all)</vt:lpstr>
      <vt:lpstr>Sample Types</vt:lpstr>
      <vt:lpstr>NI AP1 CL</vt:lpstr>
      <vt:lpstr>Measurement Manifest</vt:lpstr>
      <vt:lpstr>SAXS Mar 26</vt:lpstr>
      <vt:lpstr>SAXS May 24</vt:lpstr>
      <vt:lpstr>SAXS July 23</vt:lpstr>
      <vt:lpstr>SAXS Nov 23</vt:lpstr>
      <vt:lpstr>SAXS Feb 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Forster</dc:creator>
  <cp:keywords/>
  <dc:description/>
  <cp:lastModifiedBy>Laura Amanda Mae Forster</cp:lastModifiedBy>
  <cp:revision/>
  <dcterms:created xsi:type="dcterms:W3CDTF">2024-04-21T15:26:10Z</dcterms:created>
  <dcterms:modified xsi:type="dcterms:W3CDTF">2026-09-02T15:41:26Z</dcterms:modified>
  <cp:category/>
  <cp:contentStatus/>
</cp:coreProperties>
</file>