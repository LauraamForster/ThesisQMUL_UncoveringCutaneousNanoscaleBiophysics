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forster/Documents/Uni/3 - PhD/Raman/Papers and Presentations/Samples/"/>
    </mc:Choice>
  </mc:AlternateContent>
  <xr:revisionPtr revIDLastSave="0" documentId="13_ncr:1_{80AFFBAE-42DC-1B4E-9453-12B2EF9F4A54}" xr6:coauthVersionLast="47" xr6:coauthVersionMax="47" xr10:uidLastSave="{00000000-0000-0000-0000-000000000000}"/>
  <bookViews>
    <workbookView xWindow="-5140" yWindow="-21000" windowWidth="38400" windowHeight="19200" xr2:uid="{15DE1EB9-F0F6-D143-8418-60BF14D89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Q21" i="1"/>
  <c r="Q20" i="1"/>
  <c r="Q19" i="1"/>
  <c r="Q14" i="1"/>
  <c r="Q13" i="1"/>
  <c r="Q12" i="1"/>
  <c r="Q3" i="1"/>
  <c r="Q4" i="1"/>
  <c r="Q5" i="1"/>
  <c r="Q6" i="1"/>
  <c r="Q7" i="1"/>
  <c r="Q8" i="1"/>
  <c r="Q9" i="1"/>
  <c r="Q10" i="1"/>
  <c r="Q11" i="1"/>
  <c r="Q15" i="1"/>
  <c r="Q16" i="1"/>
  <c r="Q17" i="1"/>
  <c r="Q18" i="1"/>
  <c r="Q2" i="1"/>
</calcChain>
</file>

<file path=xl/sharedStrings.xml><?xml version="1.0" encoding="utf-8"?>
<sst xmlns="http://schemas.openxmlformats.org/spreadsheetml/2006/main" count="119" uniqueCount="60">
  <si>
    <t>SAMPLE NAME</t>
  </si>
  <si>
    <t>TYPE</t>
  </si>
  <si>
    <t>FOLDER NAME</t>
  </si>
  <si>
    <t>Sample Number</t>
  </si>
  <si>
    <t>Control 1</t>
  </si>
  <si>
    <t>Control 2</t>
  </si>
  <si>
    <t>Control 3</t>
  </si>
  <si>
    <t>Control 4</t>
  </si>
  <si>
    <t>Control 5</t>
  </si>
  <si>
    <t>Day7 1</t>
  </si>
  <si>
    <t>Day7 2</t>
  </si>
  <si>
    <t>Day7 3</t>
  </si>
  <si>
    <t>Day7 4</t>
  </si>
  <si>
    <t>Day14 1</t>
  </si>
  <si>
    <t>Day14 2</t>
  </si>
  <si>
    <t>Day14 3</t>
  </si>
  <si>
    <t>Day14 4</t>
  </si>
  <si>
    <t>linescan</t>
  </si>
  <si>
    <t>no pts</t>
  </si>
  <si>
    <t>yes</t>
  </si>
  <si>
    <t>Day10 1</t>
  </si>
  <si>
    <t>start x</t>
  </si>
  <si>
    <t>start y</t>
  </si>
  <si>
    <t>end x</t>
  </si>
  <si>
    <t>end y</t>
  </si>
  <si>
    <t>Step size</t>
  </si>
  <si>
    <t>leng left glass</t>
  </si>
  <si>
    <t>leng dermis</t>
  </si>
  <si>
    <t>leng epi</t>
  </si>
  <si>
    <t>leng right glass</t>
  </si>
  <si>
    <t xml:space="preserve"> right glass x</t>
  </si>
  <si>
    <t xml:space="preserve"> right glass y</t>
  </si>
  <si>
    <t>leng subcut</t>
  </si>
  <si>
    <t>verify</t>
  </si>
  <si>
    <t>Extended</t>
  </si>
  <si>
    <t>start x image</t>
  </si>
  <si>
    <t>start y image</t>
  </si>
  <si>
    <t>end x image</t>
  </si>
  <si>
    <t>end y image</t>
  </si>
  <si>
    <t>epi x</t>
  </si>
  <si>
    <t>epi y</t>
  </si>
  <si>
    <t>dermis x</t>
  </si>
  <si>
    <t>dermis y</t>
  </si>
  <si>
    <t>left glass x</t>
  </si>
  <si>
    <t>left glass y</t>
  </si>
  <si>
    <t>CT</t>
  </si>
  <si>
    <t>D7</t>
  </si>
  <si>
    <t>D10</t>
  </si>
  <si>
    <t>D14</t>
  </si>
  <si>
    <t>Day10 2</t>
  </si>
  <si>
    <t>Day 10 3</t>
  </si>
  <si>
    <t>Day 10 4</t>
  </si>
  <si>
    <t>D21</t>
  </si>
  <si>
    <t>Day 21 1</t>
  </si>
  <si>
    <t>Day 21 2</t>
  </si>
  <si>
    <t>Day 21 3</t>
  </si>
  <si>
    <t>Day 21 4</t>
  </si>
  <si>
    <t>direction</t>
  </si>
  <si>
    <t>back</t>
  </si>
  <si>
    <t>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</si>
</sst>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0FAA-A087-1542-B664-4F6D936DCD1E}">
  <dimension ref="A1:AI22"/>
  <sheetViews>
    <sheetView tabSelected="1" zoomScale="94" workbookViewId="0">
      <selection activeCell="A19" sqref="A19:XFD22"/>
    </sheetView>
  </sheetViews>
  <sheetFormatPr baseColWidth="10" defaultRowHeight="16" x14ac:dyDescent="0.2"/>
  <cols>
    <col min="1" max="1" width="35.6640625" customWidth="1"/>
    <col min="22" max="22" width="10.33203125" bestFit="1" customWidth="1"/>
  </cols>
  <sheetData>
    <row r="1" spans="1:35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57</v>
      </c>
      <c r="G1" t="s">
        <v>21</v>
      </c>
      <c r="H1" t="s">
        <v>22</v>
      </c>
      <c r="I1" t="s">
        <v>23</v>
      </c>
      <c r="J1" t="s">
        <v>24</v>
      </c>
      <c r="K1" t="s">
        <v>35</v>
      </c>
      <c r="L1" t="s">
        <v>36</v>
      </c>
      <c r="M1" t="s">
        <v>37</v>
      </c>
      <c r="N1" t="s">
        <v>38</v>
      </c>
      <c r="O1" t="s">
        <v>18</v>
      </c>
      <c r="P1" t="s">
        <v>25</v>
      </c>
      <c r="Q1" t="s">
        <v>33</v>
      </c>
      <c r="R1" t="s">
        <v>26</v>
      </c>
      <c r="S1" t="s">
        <v>43</v>
      </c>
      <c r="T1" t="s">
        <v>44</v>
      </c>
      <c r="U1" t="s">
        <v>32</v>
      </c>
      <c r="V1" t="s">
        <v>41</v>
      </c>
      <c r="W1" t="s">
        <v>42</v>
      </c>
      <c r="X1" t="s">
        <v>27</v>
      </c>
      <c r="Y1" t="s">
        <v>39</v>
      </c>
      <c r="Z1" t="s">
        <v>40</v>
      </c>
      <c r="AA1" t="s">
        <v>28</v>
      </c>
      <c r="AB1" t="s">
        <v>30</v>
      </c>
      <c r="AC1" t="s">
        <v>31</v>
      </c>
      <c r="AD1" t="s">
        <v>29</v>
      </c>
      <c r="AE1" t="s">
        <v>34</v>
      </c>
      <c r="AF1" t="s">
        <v>21</v>
      </c>
      <c r="AG1" t="s">
        <v>22</v>
      </c>
      <c r="AH1" t="s">
        <v>23</v>
      </c>
      <c r="AI1" t="s">
        <v>24</v>
      </c>
    </row>
    <row r="2" spans="1:35" x14ac:dyDescent="0.2">
      <c r="B2" t="s">
        <v>45</v>
      </c>
      <c r="C2" t="s">
        <v>4</v>
      </c>
      <c r="D2">
        <v>1</v>
      </c>
      <c r="E2" t="s">
        <v>19</v>
      </c>
      <c r="F2" t="s">
        <v>58</v>
      </c>
      <c r="G2">
        <v>29443.928454000001</v>
      </c>
      <c r="H2">
        <v>67924.222592000006</v>
      </c>
      <c r="I2">
        <v>28748.454282999999</v>
      </c>
      <c r="J2">
        <v>68600.399844</v>
      </c>
      <c r="K2">
        <v>29452.25</v>
      </c>
      <c r="L2">
        <v>67928.17</v>
      </c>
      <c r="M2">
        <v>28744.38</v>
      </c>
      <c r="N2">
        <v>68607.039999999994</v>
      </c>
      <c r="O2">
        <v>195</v>
      </c>
      <c r="P2">
        <v>5</v>
      </c>
      <c r="Q2">
        <f>R2+U2+X2+AA2+AD2</f>
        <v>196</v>
      </c>
      <c r="R2">
        <v>12</v>
      </c>
      <c r="S2">
        <v>28789.33</v>
      </c>
      <c r="T2">
        <v>68567.61</v>
      </c>
      <c r="U2">
        <v>92</v>
      </c>
      <c r="V2">
        <v>29117.98</v>
      </c>
      <c r="W2">
        <v>68246.48</v>
      </c>
      <c r="X2">
        <v>61</v>
      </c>
      <c r="Y2">
        <v>29339.89</v>
      </c>
      <c r="Z2">
        <v>68035.210000000006</v>
      </c>
      <c r="AA2">
        <v>22</v>
      </c>
      <c r="AB2">
        <v>29418.54</v>
      </c>
      <c r="AC2">
        <v>67959.149999999994</v>
      </c>
      <c r="AD2">
        <v>9</v>
      </c>
      <c r="AF2">
        <v>29443.9</v>
      </c>
      <c r="AG2">
        <v>67924.2</v>
      </c>
      <c r="AH2">
        <v>28748.444024</v>
      </c>
      <c r="AI2">
        <v>68600.395967000004</v>
      </c>
    </row>
    <row r="3" spans="1:35" x14ac:dyDescent="0.2">
      <c r="B3" t="s">
        <v>45</v>
      </c>
      <c r="C3" t="s">
        <v>5</v>
      </c>
      <c r="D3">
        <v>6</v>
      </c>
      <c r="E3" t="s">
        <v>19</v>
      </c>
      <c r="F3" t="s">
        <v>58</v>
      </c>
      <c r="G3">
        <v>28520.236594999998</v>
      </c>
      <c r="H3">
        <v>68597.632509999996</v>
      </c>
      <c r="I3">
        <v>27991.152061000001</v>
      </c>
      <c r="J3">
        <v>69510.372646000003</v>
      </c>
      <c r="K3">
        <v>28531.07</v>
      </c>
      <c r="L3">
        <v>68602.8</v>
      </c>
      <c r="M3">
        <v>27994.35</v>
      </c>
      <c r="N3">
        <v>69519.63</v>
      </c>
      <c r="O3">
        <v>212</v>
      </c>
      <c r="P3">
        <v>5</v>
      </c>
      <c r="Q3">
        <f t="shared" ref="Q3:Q10" si="0">R3+U3+X3+AA3+AD3</f>
        <v>214</v>
      </c>
      <c r="R3">
        <v>28</v>
      </c>
      <c r="S3">
        <v>28070.62</v>
      </c>
      <c r="T3">
        <v>69404.67</v>
      </c>
      <c r="U3">
        <v>99</v>
      </c>
      <c r="V3">
        <v>28313.56</v>
      </c>
      <c r="W3">
        <v>68975.7</v>
      </c>
      <c r="X3">
        <v>68</v>
      </c>
      <c r="Y3">
        <v>28485.88</v>
      </c>
      <c r="Z3">
        <v>68681.31</v>
      </c>
      <c r="AA3">
        <v>10</v>
      </c>
      <c r="AB3">
        <v>28514.12</v>
      </c>
      <c r="AC3">
        <v>68642.06</v>
      </c>
      <c r="AD3">
        <v>9</v>
      </c>
      <c r="AF3">
        <v>28520.2</v>
      </c>
      <c r="AG3">
        <v>68597.600000000006</v>
      </c>
      <c r="AH3">
        <v>27991.157979</v>
      </c>
      <c r="AI3">
        <v>69510.364778000003</v>
      </c>
    </row>
    <row r="4" spans="1:35" x14ac:dyDescent="0.2">
      <c r="B4" t="s">
        <v>45</v>
      </c>
      <c r="C4" t="s">
        <v>6</v>
      </c>
      <c r="D4">
        <v>17</v>
      </c>
      <c r="E4" t="s">
        <v>19</v>
      </c>
      <c r="F4" t="s">
        <v>58</v>
      </c>
      <c r="G4">
        <v>54947.856908000002</v>
      </c>
      <c r="H4">
        <v>61796.066676000002</v>
      </c>
      <c r="I4">
        <v>55397.623777000001</v>
      </c>
      <c r="J4">
        <v>62666.761664999998</v>
      </c>
      <c r="K4">
        <v>54938.2</v>
      </c>
      <c r="L4">
        <v>61803.55</v>
      </c>
      <c r="M4">
        <v>55393.26</v>
      </c>
      <c r="N4">
        <v>62671.63</v>
      </c>
      <c r="O4">
        <v>197</v>
      </c>
      <c r="P4">
        <v>5</v>
      </c>
      <c r="Q4">
        <f t="shared" si="0"/>
        <v>195</v>
      </c>
      <c r="R4">
        <v>4</v>
      </c>
      <c r="S4">
        <v>55382.02</v>
      </c>
      <c r="T4">
        <v>62654.61</v>
      </c>
      <c r="U4">
        <v>111</v>
      </c>
      <c r="V4">
        <v>55126.400000000001</v>
      </c>
      <c r="W4">
        <v>62160.99</v>
      </c>
      <c r="X4">
        <v>56</v>
      </c>
      <c r="Y4">
        <v>54994.38</v>
      </c>
      <c r="Z4">
        <v>61911.35</v>
      </c>
      <c r="AA4">
        <v>20</v>
      </c>
      <c r="AB4">
        <v>54949.440000000002</v>
      </c>
      <c r="AC4">
        <v>54949.440000000002</v>
      </c>
      <c r="AD4">
        <v>4</v>
      </c>
      <c r="AF4">
        <v>54947.9</v>
      </c>
      <c r="AG4">
        <v>61796.1</v>
      </c>
      <c r="AH4">
        <v>55397.662230000002</v>
      </c>
      <c r="AI4">
        <v>62666.797384999998</v>
      </c>
    </row>
    <row r="5" spans="1:35" x14ac:dyDescent="0.2">
      <c r="B5" t="s">
        <v>45</v>
      </c>
      <c r="C5" t="s">
        <v>7</v>
      </c>
      <c r="D5">
        <v>29</v>
      </c>
      <c r="E5" t="s">
        <v>19</v>
      </c>
      <c r="F5" t="s">
        <v>58</v>
      </c>
      <c r="G5">
        <v>41044.908018000002</v>
      </c>
      <c r="H5">
        <v>63938.914838999997</v>
      </c>
      <c r="I5">
        <v>42188.185679000002</v>
      </c>
      <c r="J5">
        <v>63876.13594</v>
      </c>
      <c r="K5">
        <v>41039.33</v>
      </c>
      <c r="L5">
        <v>63947.55</v>
      </c>
      <c r="M5">
        <v>42191.01</v>
      </c>
      <c r="N5">
        <v>63883.22</v>
      </c>
      <c r="O5">
        <v>230</v>
      </c>
      <c r="P5">
        <v>5</v>
      </c>
      <c r="Q5">
        <f t="shared" si="0"/>
        <v>230</v>
      </c>
      <c r="R5">
        <v>9</v>
      </c>
      <c r="S5">
        <v>42146.07</v>
      </c>
      <c r="T5">
        <v>63888.81</v>
      </c>
      <c r="U5" s="1">
        <v>126</v>
      </c>
      <c r="V5">
        <v>41516.85</v>
      </c>
      <c r="W5">
        <v>63922.38</v>
      </c>
      <c r="X5">
        <v>47</v>
      </c>
      <c r="Y5">
        <v>41280.9</v>
      </c>
      <c r="Z5">
        <v>63939.16</v>
      </c>
      <c r="AA5">
        <v>31</v>
      </c>
      <c r="AB5">
        <v>41126.400000000001</v>
      </c>
      <c r="AC5">
        <v>63947.55</v>
      </c>
      <c r="AD5">
        <v>17</v>
      </c>
      <c r="AF5">
        <v>41044.9</v>
      </c>
      <c r="AG5">
        <v>63938.9</v>
      </c>
      <c r="AH5">
        <v>42188.179145000002</v>
      </c>
      <c r="AI5">
        <v>63876.148138999997</v>
      </c>
    </row>
    <row r="6" spans="1:35" x14ac:dyDescent="0.2">
      <c r="B6" t="s">
        <v>45</v>
      </c>
      <c r="C6" t="s">
        <v>8</v>
      </c>
      <c r="D6">
        <v>32</v>
      </c>
      <c r="E6" t="s">
        <v>19</v>
      </c>
      <c r="F6" t="s">
        <v>58</v>
      </c>
      <c r="G6">
        <v>39295.739740999998</v>
      </c>
      <c r="H6">
        <v>65418.309543000003</v>
      </c>
      <c r="I6">
        <v>39245.434180999997</v>
      </c>
      <c r="J6">
        <v>66452.086284999998</v>
      </c>
      <c r="K6">
        <v>39307.910000000003</v>
      </c>
      <c r="L6">
        <v>65415.17</v>
      </c>
      <c r="M6">
        <v>39254.239999999998</v>
      </c>
      <c r="N6">
        <v>66457.3</v>
      </c>
      <c r="O6">
        <v>208</v>
      </c>
      <c r="P6">
        <v>5</v>
      </c>
      <c r="Q6">
        <f t="shared" si="0"/>
        <v>210</v>
      </c>
      <c r="R6">
        <v>3</v>
      </c>
      <c r="S6">
        <v>39307.910000000003</v>
      </c>
      <c r="T6">
        <v>65429.21</v>
      </c>
      <c r="U6">
        <v>142</v>
      </c>
      <c r="V6">
        <v>39271.19</v>
      </c>
      <c r="W6">
        <v>66137.08</v>
      </c>
      <c r="X6">
        <v>42</v>
      </c>
      <c r="Y6">
        <v>39262.71</v>
      </c>
      <c r="Z6">
        <v>66344.94</v>
      </c>
      <c r="AA6">
        <v>14</v>
      </c>
      <c r="AB6">
        <v>39257.06</v>
      </c>
      <c r="AC6">
        <v>66412.36</v>
      </c>
      <c r="AD6">
        <v>9</v>
      </c>
      <c r="AF6">
        <v>39295.699999999997</v>
      </c>
      <c r="AG6">
        <v>65418.3</v>
      </c>
      <c r="AH6">
        <v>39245.446839999997</v>
      </c>
      <c r="AI6">
        <v>66452.079289999994</v>
      </c>
    </row>
    <row r="7" spans="1:35" x14ac:dyDescent="0.2">
      <c r="B7" t="s">
        <v>46</v>
      </c>
      <c r="C7" t="s">
        <v>9</v>
      </c>
      <c r="D7">
        <v>230</v>
      </c>
      <c r="E7" t="s">
        <v>19</v>
      </c>
      <c r="F7" t="s">
        <v>59</v>
      </c>
      <c r="G7">
        <v>12199.452447</v>
      </c>
      <c r="H7">
        <v>-43897.215199999999</v>
      </c>
      <c r="I7">
        <v>12824.381524</v>
      </c>
      <c r="J7">
        <v>-43887.799909000001</v>
      </c>
      <c r="K7">
        <v>12194.92</v>
      </c>
      <c r="L7">
        <v>-43908.51</v>
      </c>
      <c r="M7">
        <v>12830.51</v>
      </c>
      <c r="N7">
        <v>-43897.16</v>
      </c>
      <c r="O7">
        <v>126</v>
      </c>
      <c r="P7">
        <v>5</v>
      </c>
      <c r="Q7">
        <f t="shared" si="0"/>
        <v>127</v>
      </c>
      <c r="R7">
        <v>5</v>
      </c>
      <c r="S7">
        <v>12220.34</v>
      </c>
      <c r="T7">
        <v>-43905.67</v>
      </c>
      <c r="U7">
        <v>81</v>
      </c>
      <c r="V7">
        <v>12624.29</v>
      </c>
      <c r="W7">
        <v>-43897.16</v>
      </c>
      <c r="X7">
        <v>24</v>
      </c>
      <c r="Y7">
        <v>12745.76</v>
      </c>
      <c r="Z7">
        <v>-43897.16</v>
      </c>
      <c r="AA7">
        <v>11</v>
      </c>
      <c r="AB7">
        <v>12802.26</v>
      </c>
      <c r="AC7">
        <v>-43894.33</v>
      </c>
      <c r="AD7">
        <v>6</v>
      </c>
      <c r="AF7">
        <v>12199.5</v>
      </c>
      <c r="AG7">
        <v>-43897.2</v>
      </c>
      <c r="AH7">
        <v>12824.429886</v>
      </c>
      <c r="AI7">
        <v>-43887.838500999998</v>
      </c>
    </row>
    <row r="8" spans="1:35" x14ac:dyDescent="0.2">
      <c r="B8" t="s">
        <v>46</v>
      </c>
      <c r="C8" t="s">
        <v>10</v>
      </c>
      <c r="D8">
        <v>238</v>
      </c>
      <c r="E8" t="s">
        <v>19</v>
      </c>
      <c r="F8" t="s">
        <v>58</v>
      </c>
      <c r="G8">
        <v>8927.1925879999999</v>
      </c>
      <c r="H8">
        <v>-45539.194104000002</v>
      </c>
      <c r="I8">
        <v>9918.1595340000003</v>
      </c>
      <c r="J8">
        <v>-45837.873720000003</v>
      </c>
      <c r="K8">
        <v>8926.9699999999993</v>
      </c>
      <c r="L8">
        <v>-45528.81</v>
      </c>
      <c r="M8">
        <v>9918.5400000000009</v>
      </c>
      <c r="N8">
        <v>-45828.25</v>
      </c>
      <c r="O8">
        <v>208</v>
      </c>
      <c r="P8">
        <v>5</v>
      </c>
      <c r="Q8">
        <f t="shared" si="0"/>
        <v>208</v>
      </c>
      <c r="R8">
        <v>41</v>
      </c>
      <c r="S8">
        <v>9724.7199999999993</v>
      </c>
      <c r="T8">
        <v>-45763.28</v>
      </c>
      <c r="U8">
        <v>55</v>
      </c>
      <c r="V8">
        <v>9463.48</v>
      </c>
      <c r="W8">
        <v>-45684.18</v>
      </c>
      <c r="X8">
        <v>81</v>
      </c>
      <c r="Y8">
        <v>9073.0300000000007</v>
      </c>
      <c r="Z8">
        <v>-45568.36</v>
      </c>
      <c r="AA8">
        <v>22</v>
      </c>
      <c r="AB8">
        <v>8969.1</v>
      </c>
      <c r="AC8">
        <v>-45540.11</v>
      </c>
      <c r="AD8">
        <v>9</v>
      </c>
      <c r="AF8">
        <v>8927.2000000000007</v>
      </c>
      <c r="AG8">
        <v>-45539.199999999997</v>
      </c>
      <c r="AH8">
        <v>9918.1622050000005</v>
      </c>
      <c r="AI8">
        <v>-45837.895342999997</v>
      </c>
    </row>
    <row r="9" spans="1:35" x14ac:dyDescent="0.2">
      <c r="B9" t="s">
        <v>46</v>
      </c>
      <c r="C9" t="s">
        <v>11</v>
      </c>
      <c r="D9">
        <v>357</v>
      </c>
      <c r="E9" t="s">
        <v>19</v>
      </c>
      <c r="F9" t="s">
        <v>58</v>
      </c>
      <c r="G9">
        <v>979.48327500000005</v>
      </c>
      <c r="H9">
        <v>-48510.724836000001</v>
      </c>
      <c r="I9">
        <v>454.99955299999999</v>
      </c>
      <c r="J9">
        <v>-47647.581264</v>
      </c>
      <c r="K9">
        <v>971.83</v>
      </c>
      <c r="L9">
        <v>-48518.31</v>
      </c>
      <c r="M9">
        <v>447.89</v>
      </c>
      <c r="N9">
        <v>-47647.89</v>
      </c>
      <c r="O9">
        <v>203</v>
      </c>
      <c r="P9">
        <v>5</v>
      </c>
      <c r="Q9">
        <f t="shared" si="0"/>
        <v>204</v>
      </c>
      <c r="R9">
        <v>25</v>
      </c>
      <c r="S9">
        <v>512.67999999999995</v>
      </c>
      <c r="T9">
        <v>-47752.11</v>
      </c>
      <c r="U9">
        <v>93</v>
      </c>
      <c r="V9">
        <v>754.93</v>
      </c>
      <c r="W9">
        <v>-48149.3</v>
      </c>
      <c r="X9">
        <v>60</v>
      </c>
      <c r="Y9">
        <v>909.86</v>
      </c>
      <c r="Z9">
        <v>-48408.45</v>
      </c>
      <c r="AA9">
        <v>16</v>
      </c>
      <c r="AB9">
        <v>949.3</v>
      </c>
      <c r="AC9">
        <v>-48476.06</v>
      </c>
      <c r="AD9">
        <v>10</v>
      </c>
      <c r="AF9">
        <v>979.5</v>
      </c>
      <c r="AG9">
        <v>-48510.7</v>
      </c>
      <c r="AH9">
        <v>455.004638</v>
      </c>
      <c r="AI9">
        <v>-47647.563500999997</v>
      </c>
    </row>
    <row r="10" spans="1:35" ht="17" customHeight="1" x14ac:dyDescent="0.2">
      <c r="B10" t="s">
        <v>46</v>
      </c>
      <c r="C10" t="s">
        <v>12</v>
      </c>
      <c r="D10">
        <v>359</v>
      </c>
      <c r="E10" t="s">
        <v>19</v>
      </c>
      <c r="F10" t="s">
        <v>58</v>
      </c>
      <c r="G10">
        <v>-2858.6441479999999</v>
      </c>
      <c r="H10">
        <v>-51714.503430999997</v>
      </c>
      <c r="I10">
        <v>-3700.8166190000002</v>
      </c>
      <c r="J10">
        <v>-50653.008951999996</v>
      </c>
      <c r="K10">
        <v>-2833.33</v>
      </c>
      <c r="L10">
        <v>-51702.81</v>
      </c>
      <c r="M10">
        <v>-3689.27</v>
      </c>
      <c r="N10">
        <v>-50646.63</v>
      </c>
      <c r="O10">
        <v>272</v>
      </c>
      <c r="P10">
        <v>5</v>
      </c>
      <c r="Q10">
        <f t="shared" si="0"/>
        <v>271</v>
      </c>
      <c r="R10">
        <v>45</v>
      </c>
      <c r="S10">
        <v>-3545.2</v>
      </c>
      <c r="T10">
        <v>-50817.98</v>
      </c>
      <c r="U10">
        <v>100</v>
      </c>
      <c r="V10">
        <v>-3228.81</v>
      </c>
      <c r="W10">
        <v>-51205.62</v>
      </c>
      <c r="X10">
        <v>111</v>
      </c>
      <c r="Y10">
        <v>-2884.18</v>
      </c>
      <c r="Z10">
        <v>-51643.82</v>
      </c>
      <c r="AA10">
        <v>13</v>
      </c>
      <c r="AB10">
        <v>-2841.81</v>
      </c>
      <c r="AC10" s="1">
        <v>-51694.38</v>
      </c>
      <c r="AD10">
        <v>2</v>
      </c>
      <c r="AF10">
        <v>-2858.6</v>
      </c>
      <c r="AG10">
        <v>-51714.5</v>
      </c>
      <c r="AH10">
        <v>-3700.764905</v>
      </c>
      <c r="AI10">
        <v>-50652.999517999997</v>
      </c>
    </row>
    <row r="11" spans="1:35" x14ac:dyDescent="0.2">
      <c r="B11" t="s">
        <v>47</v>
      </c>
      <c r="C11" t="s">
        <v>20</v>
      </c>
      <c r="D11">
        <v>212</v>
      </c>
      <c r="E11" t="s">
        <v>19</v>
      </c>
      <c r="F11" t="s">
        <v>59</v>
      </c>
      <c r="G11">
        <v>-18039.910905000001</v>
      </c>
      <c r="H11">
        <v>4032.752203</v>
      </c>
      <c r="I11">
        <v>-17062.870894</v>
      </c>
      <c r="J11">
        <v>4389.1127180000003</v>
      </c>
      <c r="K11">
        <v>-18047.22</v>
      </c>
      <c r="L11">
        <v>4043.93</v>
      </c>
      <c r="M11">
        <v>-17058.330000000002</v>
      </c>
      <c r="N11">
        <v>4408.41</v>
      </c>
      <c r="O11">
        <v>209</v>
      </c>
      <c r="P11">
        <v>5</v>
      </c>
      <c r="Q11">
        <f>R11+U11+X11+AA11+AD11</f>
        <v>211</v>
      </c>
      <c r="R11">
        <v>11</v>
      </c>
      <c r="S11">
        <v>-17997.22</v>
      </c>
      <c r="T11">
        <v>4063.55</v>
      </c>
      <c r="U11">
        <v>93</v>
      </c>
      <c r="V11">
        <v>-17558.330000000002</v>
      </c>
      <c r="W11">
        <v>4223.3599999999997</v>
      </c>
      <c r="X11">
        <v>67</v>
      </c>
      <c r="Y11">
        <v>-17247.22</v>
      </c>
      <c r="Z11">
        <v>4341.12</v>
      </c>
      <c r="AA11">
        <v>32</v>
      </c>
      <c r="AB11">
        <v>-17097.22</v>
      </c>
      <c r="AC11">
        <v>4391.59</v>
      </c>
      <c r="AD11">
        <v>8</v>
      </c>
      <c r="AF11">
        <v>-18039.910905000001</v>
      </c>
      <c r="AG11">
        <v>4032.8</v>
      </c>
      <c r="AH11">
        <v>-17062.872248</v>
      </c>
      <c r="AI11">
        <v>4389.1642270000002</v>
      </c>
    </row>
    <row r="12" spans="1:35" x14ac:dyDescent="0.2">
      <c r="B12" t="s">
        <v>47</v>
      </c>
      <c r="C12" t="s">
        <v>49</v>
      </c>
      <c r="D12">
        <v>275</v>
      </c>
      <c r="E12" t="s">
        <v>19</v>
      </c>
      <c r="F12" t="s">
        <v>59</v>
      </c>
      <c r="G12">
        <v>-27269.32459</v>
      </c>
      <c r="H12">
        <v>-4847.8071289999998</v>
      </c>
      <c r="I12">
        <v>-26559.32459</v>
      </c>
      <c r="J12">
        <v>-4847.8071289999998</v>
      </c>
      <c r="K12">
        <v>-27265.360000000001</v>
      </c>
      <c r="L12">
        <v>-4835.8500000000004</v>
      </c>
      <c r="M12">
        <v>-26553.07</v>
      </c>
      <c r="N12">
        <v>-4833.0200000000004</v>
      </c>
      <c r="O12">
        <v>143</v>
      </c>
      <c r="P12">
        <v>5</v>
      </c>
      <c r="Q12">
        <f t="shared" ref="Q12:Q14" si="1">R12+U12+X12+AA12+AD12</f>
        <v>142</v>
      </c>
      <c r="R12">
        <v>2</v>
      </c>
      <c r="S12">
        <v>-27256.98</v>
      </c>
      <c r="T12">
        <v>-4833.0200000000004</v>
      </c>
      <c r="U12">
        <v>94</v>
      </c>
      <c r="V12">
        <v>-26784.92</v>
      </c>
      <c r="W12">
        <v>-4833.0200000000004</v>
      </c>
      <c r="X12">
        <v>31</v>
      </c>
      <c r="Y12">
        <v>-26631.279999999999</v>
      </c>
      <c r="Z12">
        <v>-4833.0200000000004</v>
      </c>
      <c r="AA12">
        <v>12</v>
      </c>
      <c r="AB12">
        <v>-26569.83</v>
      </c>
      <c r="AC12">
        <v>-4830.1899999999996</v>
      </c>
      <c r="AD12">
        <v>3</v>
      </c>
      <c r="AF12">
        <v>-27269.3</v>
      </c>
      <c r="AG12">
        <v>-4847.8</v>
      </c>
      <c r="AH12">
        <v>-26559.3</v>
      </c>
      <c r="AI12">
        <v>-4847.8</v>
      </c>
    </row>
    <row r="13" spans="1:35" x14ac:dyDescent="0.2">
      <c r="B13" t="s">
        <v>47</v>
      </c>
      <c r="C13" t="s">
        <v>50</v>
      </c>
      <c r="D13">
        <v>277</v>
      </c>
      <c r="E13" t="s">
        <v>19</v>
      </c>
      <c r="F13" t="s">
        <v>59</v>
      </c>
      <c r="G13">
        <v>-14888.992362000001</v>
      </c>
      <c r="H13">
        <v>-16629.285634</v>
      </c>
      <c r="I13">
        <v>-13936.682707</v>
      </c>
      <c r="J13">
        <v>-17317.567060000001</v>
      </c>
      <c r="K13">
        <v>-14900.6</v>
      </c>
      <c r="L13">
        <v>-16643.28</v>
      </c>
      <c r="M13">
        <v>-13942.77</v>
      </c>
      <c r="N13">
        <v>-17332.84</v>
      </c>
      <c r="O13">
        <v>236</v>
      </c>
      <c r="P13">
        <v>5</v>
      </c>
      <c r="Q13">
        <f t="shared" si="1"/>
        <v>236</v>
      </c>
      <c r="R13">
        <v>25</v>
      </c>
      <c r="S13">
        <v>-14801.2</v>
      </c>
      <c r="T13">
        <v>-16714.93</v>
      </c>
      <c r="U13">
        <v>156</v>
      </c>
      <c r="V13">
        <v>-14168.67</v>
      </c>
      <c r="W13">
        <v>-17171.64</v>
      </c>
      <c r="X13">
        <v>35</v>
      </c>
      <c r="Y13">
        <v>-14024.1</v>
      </c>
      <c r="Z13">
        <v>-17270.150000000001</v>
      </c>
      <c r="AA13">
        <v>11</v>
      </c>
      <c r="AB13">
        <v>-13978.92</v>
      </c>
      <c r="AC13">
        <v>-17302.990000000002</v>
      </c>
      <c r="AD13">
        <v>9</v>
      </c>
      <c r="AF13">
        <v>-14889</v>
      </c>
      <c r="AG13">
        <v>-16629.3</v>
      </c>
      <c r="AH13">
        <v>-13936.691674</v>
      </c>
      <c r="AI13">
        <v>-17317.583265000001</v>
      </c>
    </row>
    <row r="14" spans="1:35" x14ac:dyDescent="0.2">
      <c r="B14" t="s">
        <v>47</v>
      </c>
      <c r="C14" t="s">
        <v>51</v>
      </c>
      <c r="D14">
        <v>302</v>
      </c>
      <c r="E14" t="s">
        <v>19</v>
      </c>
      <c r="F14" t="s">
        <v>58</v>
      </c>
      <c r="G14">
        <v>-43952.281372999998</v>
      </c>
      <c r="H14">
        <v>-5902.3150329999999</v>
      </c>
      <c r="I14">
        <v>-45115.451046000002</v>
      </c>
      <c r="J14">
        <v>-5837.0363090000001</v>
      </c>
      <c r="K14">
        <v>-43949.72</v>
      </c>
      <c r="L14">
        <v>-5908.33</v>
      </c>
      <c r="M14">
        <v>-45117.32</v>
      </c>
      <c r="N14">
        <v>-5841.67</v>
      </c>
      <c r="O14">
        <v>234</v>
      </c>
      <c r="P14">
        <v>5</v>
      </c>
      <c r="Q14">
        <f t="shared" si="1"/>
        <v>233</v>
      </c>
      <c r="R14">
        <v>2</v>
      </c>
      <c r="S14">
        <v>-45108.94</v>
      </c>
      <c r="T14">
        <v>-5841.67</v>
      </c>
      <c r="U14">
        <v>116</v>
      </c>
      <c r="V14">
        <v>-44527.93</v>
      </c>
      <c r="W14">
        <v>-5875</v>
      </c>
      <c r="X14">
        <v>55</v>
      </c>
      <c r="Y14">
        <v>-44251.4</v>
      </c>
      <c r="Z14">
        <v>-5891.67</v>
      </c>
      <c r="AA14">
        <v>45</v>
      </c>
      <c r="AB14">
        <v>-44025.14</v>
      </c>
      <c r="AC14">
        <v>-5908.33</v>
      </c>
      <c r="AD14">
        <v>15</v>
      </c>
      <c r="AF14">
        <v>-43952.3</v>
      </c>
      <c r="AG14">
        <v>-5902.3</v>
      </c>
      <c r="AH14">
        <v>-45115.472968000002</v>
      </c>
      <c r="AI14">
        <v>-5837.0800149999995</v>
      </c>
    </row>
    <row r="15" spans="1:35" x14ac:dyDescent="0.2">
      <c r="B15" t="s">
        <v>48</v>
      </c>
      <c r="C15" t="s">
        <v>13</v>
      </c>
      <c r="D15">
        <v>157</v>
      </c>
      <c r="E15" t="s">
        <v>19</v>
      </c>
      <c r="F15" t="s">
        <v>59</v>
      </c>
      <c r="G15">
        <v>5655.0423730000002</v>
      </c>
      <c r="H15">
        <v>-44295.495015</v>
      </c>
      <c r="I15">
        <v>5648.7694510000001</v>
      </c>
      <c r="J15">
        <v>-43690.527536000001</v>
      </c>
      <c r="K15">
        <v>5646.89</v>
      </c>
      <c r="L15">
        <v>-44297.74</v>
      </c>
      <c r="M15">
        <v>5641.24</v>
      </c>
      <c r="N15">
        <v>-43684.75</v>
      </c>
      <c r="O15">
        <v>122</v>
      </c>
      <c r="P15">
        <v>5</v>
      </c>
      <c r="Q15">
        <f>R15+U15+X15+AA15+AD15</f>
        <v>122</v>
      </c>
      <c r="R15">
        <v>5</v>
      </c>
      <c r="S15">
        <v>5646.89</v>
      </c>
      <c r="T15">
        <v>-44272.32</v>
      </c>
      <c r="U15">
        <v>60</v>
      </c>
      <c r="V15">
        <v>5641.24</v>
      </c>
      <c r="W15">
        <v>-43970.06</v>
      </c>
      <c r="X15">
        <v>33</v>
      </c>
      <c r="Y15">
        <v>5638.42</v>
      </c>
      <c r="Z15">
        <v>-43806.21</v>
      </c>
      <c r="AA15">
        <v>17</v>
      </c>
      <c r="AB15">
        <v>5641.24</v>
      </c>
      <c r="AC15">
        <v>-43721.47</v>
      </c>
      <c r="AD15">
        <v>7</v>
      </c>
      <c r="AF15">
        <v>5655</v>
      </c>
      <c r="AG15">
        <v>-44295.5</v>
      </c>
      <c r="AH15">
        <v>5648.733483</v>
      </c>
      <c r="AI15">
        <v>-43690.532455</v>
      </c>
    </row>
    <row r="16" spans="1:35" x14ac:dyDescent="0.2">
      <c r="B16" t="s">
        <v>48</v>
      </c>
      <c r="C16" t="s">
        <v>14</v>
      </c>
      <c r="D16">
        <v>242</v>
      </c>
      <c r="E16" t="s">
        <v>19</v>
      </c>
      <c r="F16" t="s">
        <v>59</v>
      </c>
      <c r="G16">
        <v>-27598.391871</v>
      </c>
      <c r="H16">
        <v>5687.3405149999999</v>
      </c>
      <c r="I16">
        <v>-26807.425639000001</v>
      </c>
      <c r="J16">
        <v>5767.3243860000002</v>
      </c>
      <c r="K16">
        <v>-27603.93</v>
      </c>
      <c r="L16">
        <v>5693.85</v>
      </c>
      <c r="M16">
        <v>-26803.37</v>
      </c>
      <c r="N16">
        <v>5783.24</v>
      </c>
      <c r="O16">
        <v>160</v>
      </c>
      <c r="P16">
        <v>5</v>
      </c>
      <c r="Q16">
        <f>R16+U16+X16+AA16+AD16</f>
        <v>162</v>
      </c>
      <c r="R16">
        <v>3</v>
      </c>
      <c r="S16">
        <v>-27592.7</v>
      </c>
      <c r="T16">
        <v>5699.44</v>
      </c>
      <c r="U16">
        <v>109</v>
      </c>
      <c r="V16">
        <v>-27050.560000000001</v>
      </c>
      <c r="W16">
        <v>5758.1</v>
      </c>
      <c r="X16">
        <v>34</v>
      </c>
      <c r="Y16">
        <v>-26879.21</v>
      </c>
      <c r="Z16">
        <v>5772.07</v>
      </c>
      <c r="AA16">
        <v>14</v>
      </c>
      <c r="AB16">
        <v>-26811.8</v>
      </c>
      <c r="AC16">
        <v>5780.45</v>
      </c>
      <c r="AD16">
        <v>2</v>
      </c>
      <c r="AF16">
        <v>-27598.400000000001</v>
      </c>
      <c r="AG16">
        <v>5687.3</v>
      </c>
      <c r="AH16">
        <v>-26807.442781000002</v>
      </c>
      <c r="AI16">
        <v>5767.3729510000003</v>
      </c>
    </row>
    <row r="17" spans="2:35" x14ac:dyDescent="0.2">
      <c r="B17" t="s">
        <v>48</v>
      </c>
      <c r="C17" t="s">
        <v>15</v>
      </c>
      <c r="D17">
        <v>355</v>
      </c>
      <c r="E17" t="s">
        <v>19</v>
      </c>
      <c r="F17" t="s">
        <v>58</v>
      </c>
      <c r="G17">
        <v>46184.428454000001</v>
      </c>
      <c r="H17">
        <v>63304.212534999999</v>
      </c>
      <c r="I17">
        <v>45659.986136</v>
      </c>
      <c r="J17">
        <v>64208.084901000002</v>
      </c>
      <c r="K17">
        <v>46180.79</v>
      </c>
      <c r="L17">
        <v>63295.19</v>
      </c>
      <c r="M17">
        <v>45649.72</v>
      </c>
      <c r="N17">
        <v>64206.73</v>
      </c>
      <c r="O17">
        <v>210</v>
      </c>
      <c r="P17">
        <v>5</v>
      </c>
      <c r="Q17">
        <f>R17+U17+X17+AA17+AD17</f>
        <v>211</v>
      </c>
      <c r="R17">
        <v>6</v>
      </c>
      <c r="S17">
        <v>45669.49</v>
      </c>
      <c r="T17">
        <v>64186.54</v>
      </c>
      <c r="U17">
        <v>131</v>
      </c>
      <c r="V17">
        <v>45991.53</v>
      </c>
      <c r="W17">
        <v>63615.38</v>
      </c>
      <c r="X17">
        <v>51</v>
      </c>
      <c r="Y17">
        <v>46118.64</v>
      </c>
      <c r="Z17">
        <v>63393.27</v>
      </c>
      <c r="AA17">
        <v>18</v>
      </c>
      <c r="AB17">
        <v>46169.49</v>
      </c>
      <c r="AC17">
        <v>63318.27</v>
      </c>
      <c r="AD17">
        <v>5</v>
      </c>
      <c r="AF17">
        <v>46184.4</v>
      </c>
      <c r="AG17">
        <v>63304.2</v>
      </c>
      <c r="AH17">
        <v>45659.961522999998</v>
      </c>
      <c r="AI17">
        <v>64208.074594999998</v>
      </c>
    </row>
    <row r="18" spans="2:35" ht="17" customHeight="1" x14ac:dyDescent="0.2">
      <c r="B18" t="s">
        <v>48</v>
      </c>
      <c r="C18" t="s">
        <v>16</v>
      </c>
      <c r="D18">
        <v>356</v>
      </c>
      <c r="E18" t="s">
        <v>19</v>
      </c>
      <c r="F18" t="s">
        <v>58</v>
      </c>
      <c r="G18">
        <v>28672.314124</v>
      </c>
      <c r="H18">
        <v>74525.241454000003</v>
      </c>
      <c r="I18">
        <v>28102.710446000001</v>
      </c>
      <c r="J18">
        <v>75632.299108000007</v>
      </c>
      <c r="K18">
        <v>28665.73</v>
      </c>
      <c r="L18">
        <v>74516.899999999994</v>
      </c>
      <c r="M18">
        <v>28089.89</v>
      </c>
      <c r="N18">
        <v>75632.39</v>
      </c>
      <c r="O18">
        <v>250</v>
      </c>
      <c r="P18">
        <v>5</v>
      </c>
      <c r="Q18">
        <f>R18+U18+X18+AA18+AD18</f>
        <v>251</v>
      </c>
      <c r="R18">
        <v>9</v>
      </c>
      <c r="S18">
        <v>28112.36</v>
      </c>
      <c r="T18">
        <v>75595.77</v>
      </c>
      <c r="U18">
        <v>145</v>
      </c>
      <c r="V18">
        <v>28438.2</v>
      </c>
      <c r="W18">
        <v>74950.7</v>
      </c>
      <c r="X18">
        <v>61</v>
      </c>
      <c r="Y18">
        <v>28578.65</v>
      </c>
      <c r="Z18">
        <v>74677.460000000006</v>
      </c>
      <c r="AA18">
        <v>32</v>
      </c>
      <c r="AB18">
        <v>28657.3</v>
      </c>
      <c r="AC18">
        <v>74536.62</v>
      </c>
      <c r="AD18">
        <v>4</v>
      </c>
      <c r="AF18">
        <v>28672.3</v>
      </c>
      <c r="AG18">
        <v>74525.2</v>
      </c>
      <c r="AH18">
        <v>28102.741624999999</v>
      </c>
      <c r="AI18">
        <v>75632.280962999997</v>
      </c>
    </row>
    <row r="19" spans="2:35" x14ac:dyDescent="0.2">
      <c r="B19" t="s">
        <v>52</v>
      </c>
      <c r="C19" t="s">
        <v>53</v>
      </c>
      <c r="D19">
        <v>279</v>
      </c>
      <c r="E19" t="s">
        <v>19</v>
      </c>
      <c r="F19" t="s">
        <v>59</v>
      </c>
      <c r="G19">
        <v>-15540.117439</v>
      </c>
      <c r="H19">
        <v>-16752.809828000001</v>
      </c>
      <c r="I19">
        <v>-16079.349464999999</v>
      </c>
      <c r="J19">
        <v>-16128.427076</v>
      </c>
      <c r="K19">
        <v>-15542.61</v>
      </c>
      <c r="L19">
        <v>-16762.71</v>
      </c>
      <c r="M19">
        <v>-16090.91</v>
      </c>
      <c r="N19">
        <v>-16135.59</v>
      </c>
      <c r="O19">
        <v>166</v>
      </c>
      <c r="P19">
        <v>5</v>
      </c>
      <c r="Q19">
        <f t="shared" ref="Q19:Q21" si="2">R19+U19+X19+AA19+AD19</f>
        <v>167</v>
      </c>
      <c r="R19">
        <v>7</v>
      </c>
      <c r="S19">
        <v>-15568.18</v>
      </c>
      <c r="T19">
        <v>-16737.29</v>
      </c>
      <c r="U19">
        <v>84</v>
      </c>
      <c r="V19">
        <v>-15838.07</v>
      </c>
      <c r="W19">
        <v>-16415.25</v>
      </c>
      <c r="X19">
        <v>47</v>
      </c>
      <c r="Y19">
        <v>-15985.8</v>
      </c>
      <c r="Z19">
        <v>-16234.46</v>
      </c>
      <c r="AA19">
        <v>20</v>
      </c>
      <c r="AB19">
        <v>-16056.82</v>
      </c>
      <c r="AC19">
        <v>-16166.67</v>
      </c>
      <c r="AD19">
        <v>9</v>
      </c>
      <c r="AF19">
        <v>-15540.1</v>
      </c>
      <c r="AG19">
        <v>-16752.8</v>
      </c>
      <c r="AH19">
        <v>-16079.333216999999</v>
      </c>
      <c r="AI19">
        <v>-16128.418275</v>
      </c>
    </row>
    <row r="20" spans="2:35" x14ac:dyDescent="0.2">
      <c r="B20" t="s">
        <v>52</v>
      </c>
      <c r="C20" t="s">
        <v>54</v>
      </c>
      <c r="D20">
        <v>280</v>
      </c>
      <c r="E20" t="s">
        <v>19</v>
      </c>
      <c r="F20" t="s">
        <v>59</v>
      </c>
      <c r="G20">
        <v>5609.8616490000004</v>
      </c>
      <c r="H20">
        <v>-15823.678865</v>
      </c>
      <c r="I20">
        <v>5275.1178659999996</v>
      </c>
      <c r="J20">
        <v>-15368.517793999999</v>
      </c>
      <c r="K20">
        <v>5620</v>
      </c>
      <c r="L20">
        <v>-15814.69</v>
      </c>
      <c r="M20">
        <v>5282.86</v>
      </c>
      <c r="N20">
        <v>-15362.71</v>
      </c>
      <c r="O20">
        <v>114</v>
      </c>
      <c r="P20">
        <v>5</v>
      </c>
      <c r="Q20">
        <f t="shared" si="2"/>
        <v>113</v>
      </c>
      <c r="R20">
        <v>6</v>
      </c>
      <c r="S20">
        <v>5597.14</v>
      </c>
      <c r="T20">
        <v>-15792.09</v>
      </c>
      <c r="U20">
        <v>47</v>
      </c>
      <c r="V20">
        <v>5471.43</v>
      </c>
      <c r="W20">
        <v>-15591.53</v>
      </c>
      <c r="X20">
        <v>46</v>
      </c>
      <c r="Y20">
        <v>5325.71</v>
      </c>
      <c r="Z20">
        <v>-15416.38</v>
      </c>
      <c r="AA20">
        <v>9</v>
      </c>
      <c r="AB20">
        <v>5297.14</v>
      </c>
      <c r="AC20">
        <v>-15382.49</v>
      </c>
      <c r="AD20">
        <v>5</v>
      </c>
      <c r="AF20">
        <v>5609.9</v>
      </c>
      <c r="AG20">
        <v>-15823.7</v>
      </c>
      <c r="AH20">
        <v>5275.1254609999996</v>
      </c>
      <c r="AI20">
        <v>-15368.561551000001</v>
      </c>
    </row>
    <row r="21" spans="2:35" x14ac:dyDescent="0.2">
      <c r="B21" t="s">
        <v>52</v>
      </c>
      <c r="C21" t="s">
        <v>55</v>
      </c>
      <c r="D21">
        <v>286</v>
      </c>
      <c r="E21" t="s">
        <v>19</v>
      </c>
      <c r="F21" t="s">
        <v>59</v>
      </c>
      <c r="G21">
        <v>6299.5929379999998</v>
      </c>
      <c r="H21">
        <v>-19060.734275999999</v>
      </c>
      <c r="I21">
        <v>6714.5471950000001</v>
      </c>
      <c r="J21">
        <v>-19436.783427999999</v>
      </c>
      <c r="K21">
        <v>6305.08</v>
      </c>
      <c r="L21">
        <v>-19050.7</v>
      </c>
      <c r="M21">
        <v>6728.81</v>
      </c>
      <c r="N21">
        <v>-19422.54</v>
      </c>
      <c r="O21">
        <v>113</v>
      </c>
      <c r="P21">
        <v>5</v>
      </c>
      <c r="Q21">
        <f t="shared" si="2"/>
        <v>113</v>
      </c>
      <c r="R21">
        <v>16</v>
      </c>
      <c r="S21">
        <v>6370.06</v>
      </c>
      <c r="T21">
        <v>-19098.59</v>
      </c>
      <c r="U21">
        <v>54</v>
      </c>
      <c r="V21">
        <v>6567.8</v>
      </c>
      <c r="W21">
        <v>-19278.87</v>
      </c>
      <c r="X21">
        <v>26</v>
      </c>
      <c r="Y21">
        <v>6661.02</v>
      </c>
      <c r="Z21">
        <v>-19369.009999999998</v>
      </c>
      <c r="AA21">
        <v>13</v>
      </c>
      <c r="AB21">
        <v>6711.86</v>
      </c>
      <c r="AC21">
        <v>-19408.45</v>
      </c>
      <c r="AD21">
        <v>4</v>
      </c>
      <c r="AF21">
        <v>6299.6</v>
      </c>
      <c r="AG21">
        <v>-19060.7</v>
      </c>
      <c r="AH21">
        <v>6714.4970190000004</v>
      </c>
      <c r="AI21">
        <v>-19436.812301999998</v>
      </c>
    </row>
    <row r="22" spans="2:35" x14ac:dyDescent="0.2">
      <c r="B22" t="s">
        <v>52</v>
      </c>
      <c r="C22" t="s">
        <v>56</v>
      </c>
      <c r="D22">
        <v>289</v>
      </c>
      <c r="E22" t="s">
        <v>19</v>
      </c>
      <c r="F22" t="s">
        <v>58</v>
      </c>
      <c r="G22">
        <v>4497.022395</v>
      </c>
      <c r="H22">
        <v>-20138.388716000001</v>
      </c>
      <c r="I22">
        <v>3851.9489749999998</v>
      </c>
      <c r="J22">
        <v>-19616.104996999999</v>
      </c>
      <c r="K22">
        <v>4508.5200000000004</v>
      </c>
      <c r="L22">
        <v>-20124.72</v>
      </c>
      <c r="M22">
        <v>3852.27</v>
      </c>
      <c r="N22">
        <v>-19605.060000000001</v>
      </c>
      <c r="O22">
        <v>167</v>
      </c>
      <c r="P22">
        <v>5</v>
      </c>
      <c r="Q22">
        <f>R22+U22+X22+AA22+AD22</f>
        <v>167</v>
      </c>
      <c r="R22">
        <v>6</v>
      </c>
      <c r="S22">
        <v>3875</v>
      </c>
      <c r="T22">
        <v>-19621.91</v>
      </c>
      <c r="U22">
        <v>105</v>
      </c>
      <c r="V22">
        <v>4284.09</v>
      </c>
      <c r="W22">
        <v>-19953.37</v>
      </c>
      <c r="X22">
        <v>35</v>
      </c>
      <c r="Y22">
        <v>4426.1400000000003</v>
      </c>
      <c r="Z22">
        <v>-20057.3</v>
      </c>
      <c r="AA22">
        <v>14</v>
      </c>
      <c r="AB22">
        <v>4480.1099999999997</v>
      </c>
      <c r="AC22">
        <v>-20105.060000000001</v>
      </c>
      <c r="AD22">
        <v>7</v>
      </c>
      <c r="AF22">
        <v>4497.022395</v>
      </c>
      <c r="AG22">
        <v>-20138.400000000001</v>
      </c>
      <c r="AH22">
        <v>3851.9864470000002</v>
      </c>
      <c r="AI22">
        <v>-19616.070002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Forster</dc:creator>
  <cp:lastModifiedBy>Laura Forster</cp:lastModifiedBy>
  <dcterms:created xsi:type="dcterms:W3CDTF">2025-07-28T10:58:22Z</dcterms:created>
  <dcterms:modified xsi:type="dcterms:W3CDTF">2026-06-24T13:58:26Z</dcterms:modified>
</cp:coreProperties>
</file>