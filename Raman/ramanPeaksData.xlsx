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forster/Documents/Uni/3 - PhD/Raman/Data Analysis/PeakManifests/"/>
    </mc:Choice>
  </mc:AlternateContent>
  <xr:revisionPtr revIDLastSave="0" documentId="13_ncr:1_{784E29A4-32AF-464D-AFA7-62852765D64C}" xr6:coauthVersionLast="47" xr6:coauthVersionMax="47" xr10:uidLastSave="{00000000-0000-0000-0000-000000000000}"/>
  <bookViews>
    <workbookView xWindow="-5140" yWindow="-17360" windowWidth="35820" windowHeight="15760" xr2:uid="{C1B3F086-9A05-4049-B330-1DFC2E50AEAE}"/>
  </bookViews>
  <sheets>
    <sheet name="ramanPeaksData" sheetId="1" r:id="rId1"/>
    <sheet name="ramanPeaksData-sorted" sheetId="2" r:id="rId2"/>
  </sheets>
  <definedNames>
    <definedName name="_xlnm._FilterDatabase" localSheetId="0" hidden="1">ramanPeaksData!$A$1:$K$1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" l="1"/>
  <c r="C79" i="1"/>
  <c r="C78" i="1"/>
  <c r="C2" i="1"/>
  <c r="C3" i="1"/>
  <c r="C4" i="1"/>
  <c r="C5" i="1"/>
  <c r="C6" i="1"/>
  <c r="C7" i="1"/>
  <c r="C9" i="1"/>
  <c r="C10" i="1"/>
  <c r="C8" i="1"/>
  <c r="C53" i="1"/>
  <c r="C52" i="1"/>
  <c r="C36" i="2"/>
  <c r="C27" i="2"/>
  <c r="C26" i="2"/>
  <c r="C24" i="2"/>
  <c r="C23" i="2"/>
  <c r="C20" i="2"/>
  <c r="C19" i="2"/>
  <c r="C16" i="2"/>
  <c r="C15" i="2"/>
  <c r="C14" i="2"/>
  <c r="C13" i="2"/>
  <c r="C38" i="2"/>
  <c r="C35" i="2"/>
  <c r="C31" i="2"/>
  <c r="C29" i="2"/>
  <c r="C30" i="2"/>
  <c r="C28" i="2"/>
  <c r="C33" i="2"/>
  <c r="C32" i="2"/>
  <c r="C9" i="2"/>
  <c r="C21" i="2"/>
  <c r="C39" i="2"/>
  <c r="C10" i="2"/>
  <c r="C22" i="2"/>
  <c r="C34" i="2"/>
  <c r="C37" i="2"/>
  <c r="C25" i="2"/>
  <c r="C18" i="2"/>
  <c r="C17" i="2"/>
  <c r="C12" i="2"/>
  <c r="C11" i="2"/>
  <c r="C8" i="2"/>
  <c r="C7" i="2"/>
  <c r="C6" i="2"/>
  <c r="C5" i="2"/>
  <c r="C4" i="2"/>
  <c r="C3" i="2"/>
  <c r="C2" i="2"/>
  <c r="C66" i="1"/>
  <c r="C65" i="1"/>
  <c r="C64" i="1"/>
  <c r="C63" i="1"/>
  <c r="C62" i="1"/>
  <c r="C61" i="1"/>
  <c r="C60" i="1"/>
  <c r="C59" i="1"/>
  <c r="C58" i="1"/>
  <c r="C57" i="1"/>
  <c r="C56" i="1"/>
  <c r="C50" i="1"/>
  <c r="C51" i="1"/>
  <c r="C54" i="1"/>
  <c r="C55" i="1"/>
  <c r="C71" i="1"/>
  <c r="C70" i="1"/>
  <c r="C73" i="1"/>
  <c r="C38" i="1"/>
  <c r="C39" i="1"/>
  <c r="C40" i="1"/>
  <c r="C41" i="1"/>
  <c r="C42" i="1"/>
  <c r="C43" i="1"/>
  <c r="C44" i="1"/>
  <c r="C45" i="1"/>
  <c r="C46" i="1"/>
  <c r="C47" i="1"/>
  <c r="C48" i="1"/>
  <c r="C49" i="1"/>
  <c r="C77" i="1"/>
  <c r="C76" i="1"/>
  <c r="C75" i="1"/>
  <c r="C69" i="1"/>
  <c r="C68" i="1"/>
  <c r="C67" i="1"/>
  <c r="C72" i="1"/>
  <c r="C37" i="1"/>
</calcChain>
</file>

<file path=xl/sharedStrings.xml><?xml version="1.0" encoding="utf-8"?>
<sst xmlns="http://schemas.openxmlformats.org/spreadsheetml/2006/main" count="361" uniqueCount="132">
  <si>
    <t>#Group</t>
  </si>
  <si>
    <t>Structure</t>
  </si>
  <si>
    <t>Mean Position</t>
  </si>
  <si>
    <t>Lower</t>
  </si>
  <si>
    <t>Upper</t>
  </si>
  <si>
    <t>Reference</t>
  </si>
  <si>
    <t>mu(C-C); mu(C-O-C)</t>
  </si>
  <si>
    <t>Protein backbone, collagen cross-link, proline, hydroxyproline, tyrosine</t>
  </si>
  <si>
    <t>mu(C-C)</t>
  </si>
  <si>
    <t>Proline, hydroxyproline, tyrosine</t>
  </si>
  <si>
    <t>Hydroxyproline, tryptophan, protein</t>
  </si>
  <si>
    <t>Proline</t>
  </si>
  <si>
    <t>Phenylalanine (collagen), proteins</t>
  </si>
  <si>
    <t>mu(C-C); delta(C-H); mu(C-N); delta(CH2CH3)</t>
  </si>
  <si>
    <t>Phenylalanine (collagen), lipids, proteins</t>
  </si>
  <si>
    <t>mu(C-N); delta(N-H)</t>
  </si>
  <si>
    <t>Amide III, proteins</t>
  </si>
  <si>
    <t>Amide III (collagen), alpha-helix</t>
  </si>
  <si>
    <t>delta(CH2CH3)</t>
  </si>
  <si>
    <t>Collagen, nucleic acids</t>
  </si>
  <si>
    <t>delta(C-H); delta(CH2CH3)</t>
  </si>
  <si>
    <t>Collagen, protein, lipids</t>
  </si>
  <si>
    <t>delta(CH2); delta(CH2CH3)</t>
  </si>
  <si>
    <t>mu(C=O); mu(C=C); mu(C-N); delta(N-H)</t>
  </si>
  <si>
    <t>Amide I (collagen)</t>
  </si>
  <si>
    <t>DOI</t>
  </si>
  <si>
    <t>https://doi.org/10.1038/s41598-019-55012-1</t>
  </si>
  <si>
    <t>DOI 10.1002/jps.22288</t>
  </si>
  <si>
    <t>doi: 10.3389/fbioe.2019.00303</t>
  </si>
  <si>
    <t>Lipids</t>
  </si>
  <si>
    <t>mu(C=O)</t>
  </si>
  <si>
    <t>GAGs</t>
  </si>
  <si>
    <t>mus(COO-)</t>
  </si>
  <si>
    <t>doi: 10.1529/biophysj.105.066761</t>
  </si>
  <si>
    <t>p:C=C</t>
  </si>
  <si>
    <t>Phe, Tyr: Cells</t>
  </si>
  <si>
    <t>Tyr, Typ: Cells</t>
  </si>
  <si>
    <t>A: Cells</t>
  </si>
  <si>
    <t>A</t>
  </si>
  <si>
    <t>G, A: Cells</t>
  </si>
  <si>
    <t>G, A</t>
  </si>
  <si>
    <t>Trp</t>
  </si>
  <si>
    <t>Phe</t>
  </si>
  <si>
    <t>Beta sheet</t>
  </si>
  <si>
    <t>Beta turns</t>
  </si>
  <si>
    <t>Beta-sheet</t>
  </si>
  <si>
    <t>Beta-turns</t>
  </si>
  <si>
    <t>Protein (collagen), alpha-helix, proline, hydroxyproline</t>
  </si>
  <si>
    <t>cytosine</t>
  </si>
  <si>
    <t>Cytosine</t>
  </si>
  <si>
    <t>https://doi.org/10.1016/j.actbio.2023.03.016</t>
  </si>
  <si>
    <t>CH2</t>
  </si>
  <si>
    <t>Amines</t>
  </si>
  <si>
    <t>C-N</t>
  </si>
  <si>
    <t>CH2/CH3</t>
  </si>
  <si>
    <t>DNA bases</t>
  </si>
  <si>
    <t>DNA</t>
  </si>
  <si>
    <t>Twisting (lipids)</t>
  </si>
  <si>
    <t>CH2 def</t>
  </si>
  <si>
    <t>Collagen</t>
  </si>
  <si>
    <t>GAG</t>
  </si>
  <si>
    <t>COO- AS stretching</t>
  </si>
  <si>
    <t>COO-: S stretching</t>
  </si>
  <si>
    <t>S=O: AS stretching</t>
  </si>
  <si>
    <t>https://doi.org/10.1016/j.actbio.2019.03.026</t>
  </si>
  <si>
    <t>CH2 bend</t>
  </si>
  <si>
    <t>CH3/CH2 scissor</t>
  </si>
  <si>
    <t>CH3/CH2</t>
  </si>
  <si>
    <t>CH2 sci/CH3 ben (collagen)</t>
  </si>
  <si>
    <t>C=O</t>
  </si>
  <si>
    <t>C=O str; C=lipids</t>
  </si>
  <si>
    <t>alpha-SMA</t>
  </si>
  <si>
    <t>a-SMA</t>
  </si>
  <si>
    <t>Amide II</t>
  </si>
  <si>
    <t>amide II</t>
  </si>
  <si>
    <t>https://www.medrxiv.org/content/10.1101/2023.09.05.23294936v1.full</t>
  </si>
  <si>
    <t>Amide I (collagen SS)</t>
  </si>
  <si>
    <t>phenylalanine, tryptophan</t>
  </si>
  <si>
    <t>phenyl</t>
  </si>
  <si>
    <t>GAG COO-</t>
  </si>
  <si>
    <t>GAG CH3</t>
  </si>
  <si>
    <t>Amide III</t>
  </si>
  <si>
    <t>Amide III-a-h</t>
  </si>
  <si>
    <t>Amide III-NH2-a-h</t>
  </si>
  <si>
    <t>Amide III-NH2-r-c</t>
  </si>
  <si>
    <t>Amide III-r-c</t>
  </si>
  <si>
    <t>CH2 bend lipid</t>
  </si>
  <si>
    <t>Lipid</t>
  </si>
  <si>
    <t>cpt</t>
  </si>
  <si>
    <t>Amide-A</t>
  </si>
  <si>
    <t>O-H</t>
  </si>
  <si>
    <t>Amide-A (N-H; Collagen, elastin)</t>
  </si>
  <si>
    <t>O-H (Water, ECM hydration, GAGs)</t>
  </si>
  <si>
    <t xml:space="preserve">O-H, C-H </t>
  </si>
  <si>
    <t>C-C</t>
  </si>
  <si>
    <t>C-C, C-OH</t>
  </si>
  <si>
    <t>H2O</t>
  </si>
  <si>
    <t>collagen</t>
  </si>
  <si>
    <t>cytoplasm</t>
  </si>
  <si>
    <t>https://www.frontiersin.org/journals/bioengineering-and-biotechnology/articles/10.3389/fbioe.2019.00303/full</t>
  </si>
  <si>
    <t>apatite</t>
  </si>
  <si>
    <t>doi: 10.1117/1.3528006</t>
  </si>
  <si>
    <t>pyranose (GAG signal and collagen stability)</t>
  </si>
  <si>
    <t>1670/1640</t>
  </si>
  <si>
    <t>1245/1454</t>
  </si>
  <si>
    <t>collagen integrity</t>
  </si>
  <si>
    <t>1245/1270</t>
  </si>
  <si>
    <t>https://pdf.sciencedirectassets.com/274145/1-s2.0-S1751616117X00076/1-s2.0-S1751616117303028/main.pdf?X-Amz-Security-Token=IQoJb3JpZ2luX2VjEHgaCXVzLWVhc3QtMSJIMEYCIQDdPNyyGAubhYrAdm6e76ZI1kGKIg3%2F%2BC0Ds2ncWUxt7AIhANjkhemltyDiVxQ1aNbHY3h4AxzFMpr6pJregw2XajCLKrMFCEEQBRoMMDU5MDAzNTQ2ODY1IgwmlBxucLCXV3h4JowqkAVbsPelmUkzdSRpXpffuBkWMJd6LqyjkfmHpaHlk53dCGFOL1PBiMhT0wDBaQJL5pkw1c3iIg%2FwpmvfCZAseXcIXz74mpCXJG%2FYMv32sugg%2FFNRUWSXD%2F23RC3C2Mcpt5Q4z5vweKzIendaihsDOrYZB%2F8svZ1YkVegZdxcoRf%2FhfxHVhNeGCEIMq8u%2FEkQD4Gjx9PH4ITSFJCebGRhnERq9r7olwEYb3Jq50WbKL6kNauzQnDONBAdtY4xyMf93Adl1PYbKTIKFKhDTzyxDLGHMyPunCjR3GiUln2qkNYJbC%2BWg2%2FS%2BHlf1JloRXVSiPcupizTrf6ZzWp5X8%2FTKWUrDCO0S4K8d7LwaI6rhRFblFo5WSo6Y7aOU6mm5t9lB9UegP3jheRXKl4AIIZha3X1x9I1uWnOgKcRNFGyheMRSWNmHeeS8Arc7JGYoBL3G%2F13MkPEvqSQUfonMWc8tPMejJsGwuamyYQ8G20nnYPwM3z89cTVsWf01IGyFr6xofjgUo8LNilPOqpKL7mKl0osnoD%2BSLlwv%2BvTv7JSEOjbTo%2BhhG3G4%2FnzKrueWKbjW4i8tYJwZYXyFo2%2F3MTRW7KDel0j9JzxdUOpwE8giajfracXde7xSyO826DRF7eeKC5OaBvkdTGYiJB36Gjgd4DMYC0tgKTEDT5lEX1LIRxkz%2F3K2Wj66QtySReB2hV8S9pSlEZ22ebTZvjgcxAyA9dNtFl2VAqFAY7FHJoVs8ZDEBVyTMDGfrzISf%2FPRBcOkzb6c%2BN6ruzVh1mU%2FwuRBd9%2FWpj3xNT%2FE4gwcFMpvAPK86Hy61rYd7avgVVfX70WB%2B822HWlLVVxq2FtaTcujKwKDjZnK91sAndaPnSBGl%2FFZjDus5bMBjqwAdoBpjG0Snmk1oN4mgdxcH%2F4vOyPjEv0Hw3p77YnqCBcBODfC1REdaK7B%2Be4yLgpT5CmQTBeurplCoAWiWh8SXpK8otbjzPxSo%2FbUc9vqxYTsjOUrlzyeoh0dzunjxdD2SoODsgu6FEFPa8odUY2mNrsWWDZ9eVGDBfZBq5BiMG2uPBMeCZxhLnPgayLhyJO8WP7uqWQVrHdcs58NRmnql2%2Fa%2BL3ATeBvaiIRcK43%2BgD&amp;X-Amz-Algorithm=AWS4-HMAC-SHA256&amp;X-Amz-Date=20260206T082423Z&amp;X-Amz-SignedHeaders=host&amp;X-Amz-Expires=299&amp;X-Amz-Credential=ASIAQ3PHCVTYUJQTXQ5O%2F20260206%2Fus-east-1%2Fs3%2Faws4_request&amp;X-Amz-Signature=b519dbcfdda7ca2a7635083afd3653dd0f41cc455815df48f5bbded605a2e828&amp;hash=46f861e66fea39537169a260f4361020ecc39bb896165484da85c320304b74ab&amp;host=68042c943591013ac2b2430a89b270f6af2c76d8dfd086a07176afe7c76c2c61&amp;pii=S1751616117303028&amp;tid=spdf-90884fd2-6f3d-4612-8593-c878f8215cba&amp;sid=a1a4012d62246040ba48520-3ffb14de4c34gxrqb&amp;type=client&amp;tsoh=d3d3LnNjaWVuY2VkaXJlY3QuY29t&amp;rh=d3d3LnNjaWVuY2VkaXJlY3QuY29t&amp;ua=00135e02565957525201&amp;rr=9c99403b7b830161&amp;cc=fr</t>
  </si>
  <si>
    <t>unordered-to-ordered collagen amount (Unal et al., 2016).</t>
  </si>
  <si>
    <t>https://onlinelibrary.wiley.com/doi/10.1002/app.51197?utm_medium=article&amp;utm_source=researchgate.net</t>
  </si>
  <si>
    <t>bending vibrational modes</t>
  </si>
  <si>
    <t>flutter or c-c rotation models</t>
  </si>
  <si>
    <t>primary or secondary alcohols</t>
  </si>
  <si>
    <t xml:space="preserve">c=o stretching </t>
  </si>
  <si>
    <t>It has been reported that the frequency change in this amide band is related to a different proportion of amino acid residues at positions X and Y in the collagen.</t>
  </si>
  <si>
    <t>Notes</t>
  </si>
  <si>
    <t>Amide I</t>
  </si>
  <si>
    <t xml:space="preserve">Amide I, stretching in peptide bond in Gly-XY sequence </t>
  </si>
  <si>
    <t>Amide III, combination of N-h and C-n stretching of peptide skeleton.</t>
  </si>
  <si>
    <t>proline rich</t>
  </si>
  <si>
    <t>proline lacking</t>
  </si>
  <si>
    <t>hydroxyproline ring</t>
  </si>
  <si>
    <t>proline ring</t>
  </si>
  <si>
    <t>c-c</t>
  </si>
  <si>
    <t xml:space="preserve">c-c stretch vibration of the formed spine by Gly-XY sequences </t>
  </si>
  <si>
    <t>phenlyalanine</t>
  </si>
  <si>
    <t>N-H, C-N</t>
  </si>
  <si>
    <t>https://static-content.springer.com/esm/art%3A10.1038%2Fncomms6942/MediaObjects/41467_2015_BFncomms6942_MOESM178_ESM.pdf</t>
  </si>
  <si>
    <t>In particular, as RH decreases, the more intense component in the amide I band displays an upshift in frequency from 1665 to 1672 cm-1</t>
  </si>
  <si>
    <t>along with a decrease in the position of the low frequency component of Amide III at 1245 cm-1.</t>
  </si>
  <si>
    <t>C=O stretching</t>
  </si>
  <si>
    <t>N-H in plane bending and C-N stretching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</si>
</sst>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0" xfId="0" applyFont="1"/>
    <xf numFmtId="0" fontId="0" fillId="35" borderId="0" xfId="0" applyFill="1"/>
    <xf numFmtId="0" fontId="0" fillId="36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5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39" borderId="0" xfId="0" applyFill="1" applyBorder="1"/>
    <xf numFmtId="0" fontId="0" fillId="38" borderId="0" xfId="0" applyFill="1" applyBorder="1"/>
    <xf numFmtId="0" fontId="0" fillId="37" borderId="0" xfId="0" applyFill="1" applyBorder="1"/>
    <xf numFmtId="0" fontId="0" fillId="35" borderId="0" xfId="0" applyFill="1" applyBorder="1"/>
    <xf numFmtId="0" fontId="0" fillId="0" borderId="13" xfId="0" applyBorder="1"/>
    <xf numFmtId="0" fontId="0" fillId="0" borderId="14" xfId="0" applyBorder="1"/>
    <xf numFmtId="0" fontId="0" fillId="34" borderId="0" xfId="0" applyFill="1" applyBorder="1"/>
    <xf numFmtId="0" fontId="18" fillId="0" borderId="0" xfId="42" applyBorder="1"/>
    <xf numFmtId="0" fontId="0" fillId="41" borderId="0" xfId="0" applyFill="1" applyBorder="1"/>
    <xf numFmtId="0" fontId="0" fillId="38" borderId="11" xfId="0" applyFill="1" applyBorder="1"/>
    <xf numFmtId="0" fontId="0" fillId="44" borderId="0" xfId="0" applyFill="1" applyBorder="1"/>
    <xf numFmtId="0" fontId="0" fillId="38" borderId="14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actbio.2023.03.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617F-2481-450E-A8D3-793681B5C3E9}">
  <dimension ref="A1:K83"/>
  <sheetViews>
    <sheetView tabSelected="1" zoomScale="125" zoomScaleNormal="274" workbookViewId="0">
      <pane ySplit="1" topLeftCell="A46" activePane="bottomLeft" state="frozen"/>
      <selection pane="bottomLeft" activeCell="G50" sqref="G50"/>
    </sheetView>
  </sheetViews>
  <sheetFormatPr baseColWidth="10" defaultColWidth="8.83203125" defaultRowHeight="15" x14ac:dyDescent="0.2"/>
  <cols>
    <col min="1" max="1" width="39.6640625" customWidth="1"/>
    <col min="2" max="2" width="49.1640625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25</v>
      </c>
      <c r="H1" s="3" t="s">
        <v>115</v>
      </c>
    </row>
    <row r="2" spans="1:11" x14ac:dyDescent="0.2">
      <c r="A2" t="s">
        <v>81</v>
      </c>
      <c r="B2" t="s">
        <v>85</v>
      </c>
      <c r="C2">
        <f>0.5*(D2+E2)</f>
        <v>1235</v>
      </c>
      <c r="D2">
        <v>1235</v>
      </c>
      <c r="E2">
        <v>1235</v>
      </c>
      <c r="G2" s="7" t="s">
        <v>75</v>
      </c>
    </row>
    <row r="3" spans="1:11" x14ac:dyDescent="0.2">
      <c r="A3" t="s">
        <v>81</v>
      </c>
      <c r="B3" t="s">
        <v>84</v>
      </c>
      <c r="C3">
        <f>0.5*(D3+E3)</f>
        <v>1245</v>
      </c>
      <c r="D3">
        <v>1245</v>
      </c>
      <c r="E3">
        <v>1245</v>
      </c>
      <c r="G3" s="7" t="s">
        <v>75</v>
      </c>
    </row>
    <row r="4" spans="1:11" x14ac:dyDescent="0.2">
      <c r="A4" t="s">
        <v>81</v>
      </c>
      <c r="B4" t="s">
        <v>82</v>
      </c>
      <c r="C4">
        <f>0.5*(D4+E4)</f>
        <v>1260</v>
      </c>
      <c r="D4">
        <v>1260</v>
      </c>
      <c r="E4">
        <v>1260</v>
      </c>
      <c r="G4" s="7" t="s">
        <v>75</v>
      </c>
    </row>
    <row r="5" spans="1:11" x14ac:dyDescent="0.2">
      <c r="A5" t="s">
        <v>81</v>
      </c>
      <c r="B5" t="s">
        <v>83</v>
      </c>
      <c r="C5">
        <f>0.5*(D5+E5)</f>
        <v>1270</v>
      </c>
      <c r="D5">
        <v>1270</v>
      </c>
      <c r="E5">
        <v>1270</v>
      </c>
      <c r="G5" s="7" t="s">
        <v>75</v>
      </c>
    </row>
    <row r="6" spans="1:11" x14ac:dyDescent="0.2">
      <c r="A6" t="s">
        <v>60</v>
      </c>
      <c r="B6" t="s">
        <v>80</v>
      </c>
      <c r="C6">
        <f>0.5*(D6+E6)</f>
        <v>1380</v>
      </c>
      <c r="D6">
        <v>1380</v>
      </c>
      <c r="E6">
        <v>1380</v>
      </c>
      <c r="G6" s="7" t="s">
        <v>75</v>
      </c>
    </row>
    <row r="7" spans="1:11" x14ac:dyDescent="0.2">
      <c r="A7" t="s">
        <v>60</v>
      </c>
      <c r="B7" t="s">
        <v>79</v>
      </c>
      <c r="C7">
        <f>0.5*(D7+E7)</f>
        <v>1424</v>
      </c>
      <c r="D7">
        <v>1424</v>
      </c>
      <c r="E7">
        <v>1424</v>
      </c>
      <c r="G7" s="7" t="s">
        <v>75</v>
      </c>
    </row>
    <row r="8" spans="1:11" x14ac:dyDescent="0.2">
      <c r="A8" s="16" t="s">
        <v>74</v>
      </c>
      <c r="B8" s="16" t="s">
        <v>73</v>
      </c>
      <c r="C8" s="16">
        <f>0.5*(D8+E8)</f>
        <v>1557</v>
      </c>
      <c r="D8" s="16">
        <v>1557</v>
      </c>
      <c r="E8" s="16">
        <v>1557</v>
      </c>
      <c r="F8" s="16"/>
      <c r="G8" s="17" t="s">
        <v>75</v>
      </c>
      <c r="H8" s="16"/>
      <c r="I8" s="16"/>
      <c r="J8" s="16"/>
      <c r="K8" s="16"/>
    </row>
    <row r="9" spans="1:11" x14ac:dyDescent="0.2">
      <c r="A9" s="16" t="s">
        <v>78</v>
      </c>
      <c r="B9" s="16" t="s">
        <v>77</v>
      </c>
      <c r="C9" s="16">
        <f>0.5*(D9+E9)</f>
        <v>1606</v>
      </c>
      <c r="D9" s="16">
        <v>1606</v>
      </c>
      <c r="E9" s="16">
        <v>1606</v>
      </c>
      <c r="F9" s="16"/>
      <c r="G9" s="17" t="s">
        <v>75</v>
      </c>
      <c r="H9" s="16"/>
      <c r="I9" s="16"/>
      <c r="J9" s="16"/>
      <c r="K9" s="16"/>
    </row>
    <row r="10" spans="1:11" x14ac:dyDescent="0.2">
      <c r="A10" t="s">
        <v>23</v>
      </c>
      <c r="B10" t="s">
        <v>76</v>
      </c>
      <c r="C10">
        <f>0.5*(D10+E10)</f>
        <v>1640</v>
      </c>
      <c r="D10">
        <v>1640</v>
      </c>
      <c r="E10">
        <v>1640</v>
      </c>
      <c r="G10" s="7" t="s">
        <v>75</v>
      </c>
      <c r="H10" s="1"/>
      <c r="I10" s="1"/>
      <c r="J10" s="1"/>
      <c r="K10" s="1"/>
    </row>
    <row r="11" spans="1:11" x14ac:dyDescent="0.2">
      <c r="B11" t="s">
        <v>56</v>
      </c>
      <c r="C11">
        <v>795</v>
      </c>
      <c r="G11" s="10" t="s">
        <v>99</v>
      </c>
    </row>
    <row r="12" spans="1:11" x14ac:dyDescent="0.2">
      <c r="B12" t="s">
        <v>100</v>
      </c>
      <c r="C12">
        <v>960</v>
      </c>
      <c r="G12" s="10" t="s">
        <v>99</v>
      </c>
    </row>
    <row r="13" spans="1:11" x14ac:dyDescent="0.2">
      <c r="B13" t="s">
        <v>97</v>
      </c>
      <c r="C13">
        <v>1245</v>
      </c>
      <c r="G13" s="10" t="s">
        <v>99</v>
      </c>
    </row>
    <row r="14" spans="1:11" x14ac:dyDescent="0.2">
      <c r="B14" t="s">
        <v>98</v>
      </c>
      <c r="C14">
        <v>1345</v>
      </c>
      <c r="G14" s="10" t="s">
        <v>99</v>
      </c>
    </row>
    <row r="15" spans="1:11" x14ac:dyDescent="0.2">
      <c r="B15" t="s">
        <v>60</v>
      </c>
      <c r="C15">
        <v>1410</v>
      </c>
      <c r="G15" s="10" t="s">
        <v>99</v>
      </c>
    </row>
    <row r="16" spans="1:11" x14ac:dyDescent="0.2">
      <c r="B16" t="s">
        <v>96</v>
      </c>
      <c r="C16">
        <v>3400</v>
      </c>
      <c r="G16" s="10" t="s">
        <v>99</v>
      </c>
    </row>
    <row r="17" spans="1:11" x14ac:dyDescent="0.2">
      <c r="A17" s="16"/>
      <c r="B17" s="16" t="s">
        <v>116</v>
      </c>
      <c r="C17" s="16"/>
      <c r="D17" s="16">
        <v>1665</v>
      </c>
      <c r="E17" s="16">
        <v>1672</v>
      </c>
      <c r="F17" s="16"/>
      <c r="G17" s="27" t="s">
        <v>127</v>
      </c>
      <c r="H17" s="16" t="s">
        <v>128</v>
      </c>
      <c r="I17" s="16"/>
      <c r="J17" s="16"/>
      <c r="K17" s="16"/>
    </row>
    <row r="18" spans="1:11" x14ac:dyDescent="0.2">
      <c r="A18" s="16"/>
      <c r="B18" t="s">
        <v>105</v>
      </c>
      <c r="C18" t="s">
        <v>106</v>
      </c>
      <c r="G18" s="4" t="s">
        <v>107</v>
      </c>
    </row>
    <row r="19" spans="1:11" x14ac:dyDescent="0.2">
      <c r="A19" s="16"/>
      <c r="B19" t="s">
        <v>105</v>
      </c>
      <c r="C19" t="s">
        <v>104</v>
      </c>
      <c r="G19" s="4" t="s">
        <v>107</v>
      </c>
    </row>
    <row r="20" spans="1:11" x14ac:dyDescent="0.2">
      <c r="A20" s="16" t="s">
        <v>108</v>
      </c>
      <c r="B20" t="s">
        <v>105</v>
      </c>
      <c r="C20" t="s">
        <v>103</v>
      </c>
      <c r="G20" s="4" t="s">
        <v>107</v>
      </c>
    </row>
    <row r="21" spans="1:11" x14ac:dyDescent="0.2">
      <c r="B21" t="s">
        <v>122</v>
      </c>
      <c r="C21">
        <v>856</v>
      </c>
      <c r="G21" s="9" t="s">
        <v>109</v>
      </c>
    </row>
    <row r="22" spans="1:11" x14ac:dyDescent="0.2">
      <c r="A22" t="s">
        <v>94</v>
      </c>
      <c r="B22" t="s">
        <v>111</v>
      </c>
      <c r="C22">
        <v>857</v>
      </c>
      <c r="G22" s="9" t="s">
        <v>109</v>
      </c>
    </row>
    <row r="23" spans="1:11" x14ac:dyDescent="0.2">
      <c r="B23" t="s">
        <v>121</v>
      </c>
      <c r="C23">
        <v>875</v>
      </c>
      <c r="G23" s="9" t="s">
        <v>109</v>
      </c>
    </row>
    <row r="24" spans="1:11" ht="16" customHeight="1" x14ac:dyDescent="0.2">
      <c r="B24" t="s">
        <v>122</v>
      </c>
      <c r="C24">
        <v>922</v>
      </c>
      <c r="G24" s="9" t="s">
        <v>109</v>
      </c>
    </row>
    <row r="25" spans="1:11" x14ac:dyDescent="0.2">
      <c r="A25" t="s">
        <v>94</v>
      </c>
      <c r="B25" t="s">
        <v>111</v>
      </c>
      <c r="C25">
        <v>929</v>
      </c>
      <c r="G25" s="9" t="s">
        <v>109</v>
      </c>
    </row>
    <row r="26" spans="1:11" x14ac:dyDescent="0.2">
      <c r="A26" t="s">
        <v>123</v>
      </c>
      <c r="B26" t="s">
        <v>124</v>
      </c>
      <c r="C26">
        <v>938</v>
      </c>
      <c r="G26" s="9" t="s">
        <v>109</v>
      </c>
    </row>
    <row r="27" spans="1:11" x14ac:dyDescent="0.2">
      <c r="B27" t="s">
        <v>125</v>
      </c>
      <c r="C27">
        <v>1004</v>
      </c>
      <c r="G27" s="9" t="s">
        <v>109</v>
      </c>
    </row>
    <row r="28" spans="1:11" x14ac:dyDescent="0.2">
      <c r="B28" t="s">
        <v>125</v>
      </c>
      <c r="C28">
        <v>1033</v>
      </c>
      <c r="G28" s="9" t="s">
        <v>109</v>
      </c>
    </row>
    <row r="29" spans="1:11" x14ac:dyDescent="0.2">
      <c r="A29" t="s">
        <v>95</v>
      </c>
      <c r="B29" t="s">
        <v>112</v>
      </c>
      <c r="C29">
        <v>1072</v>
      </c>
      <c r="G29" s="9" t="s">
        <v>109</v>
      </c>
    </row>
    <row r="30" spans="1:11" x14ac:dyDescent="0.2">
      <c r="A30" s="16" t="s">
        <v>95</v>
      </c>
      <c r="B30" s="16" t="s">
        <v>112</v>
      </c>
      <c r="C30" s="16">
        <v>1095</v>
      </c>
      <c r="D30" s="16"/>
      <c r="E30" s="16"/>
      <c r="F30" s="16"/>
      <c r="G30" s="25" t="s">
        <v>109</v>
      </c>
      <c r="H30" s="16"/>
      <c r="I30" s="16"/>
      <c r="J30" s="16"/>
      <c r="K30" s="16"/>
    </row>
    <row r="31" spans="1:11" x14ac:dyDescent="0.2">
      <c r="A31" s="16" t="s">
        <v>95</v>
      </c>
      <c r="B31" t="s">
        <v>112</v>
      </c>
      <c r="C31">
        <v>1147</v>
      </c>
      <c r="G31" s="9" t="s">
        <v>109</v>
      </c>
    </row>
    <row r="32" spans="1:11" x14ac:dyDescent="0.2">
      <c r="A32" s="16"/>
      <c r="B32" t="s">
        <v>119</v>
      </c>
      <c r="C32">
        <v>1246</v>
      </c>
      <c r="G32" s="9" t="s">
        <v>109</v>
      </c>
    </row>
    <row r="33" spans="1:11" x14ac:dyDescent="0.2">
      <c r="A33" s="16"/>
      <c r="B33" t="s">
        <v>120</v>
      </c>
      <c r="C33">
        <v>1271</v>
      </c>
      <c r="G33" s="9" t="s">
        <v>109</v>
      </c>
    </row>
    <row r="34" spans="1:11" x14ac:dyDescent="0.2">
      <c r="A34" s="16" t="s">
        <v>93</v>
      </c>
      <c r="B34" t="s">
        <v>110</v>
      </c>
      <c r="C34">
        <v>1442</v>
      </c>
      <c r="G34" s="9" t="s">
        <v>109</v>
      </c>
    </row>
    <row r="35" spans="1:11" x14ac:dyDescent="0.2">
      <c r="A35" s="16" t="s">
        <v>113</v>
      </c>
      <c r="B35" t="s">
        <v>117</v>
      </c>
      <c r="D35">
        <v>1620</v>
      </c>
      <c r="E35">
        <v>1700</v>
      </c>
      <c r="G35" s="9" t="s">
        <v>109</v>
      </c>
      <c r="H35" t="s">
        <v>114</v>
      </c>
    </row>
    <row r="36" spans="1:11" x14ac:dyDescent="0.2">
      <c r="A36" s="16" t="s">
        <v>126</v>
      </c>
      <c r="B36" t="s">
        <v>118</v>
      </c>
      <c r="D36">
        <v>1215</v>
      </c>
      <c r="E36">
        <v>1300</v>
      </c>
      <c r="G36" s="9" t="s">
        <v>109</v>
      </c>
    </row>
    <row r="37" spans="1:11" x14ac:dyDescent="0.2">
      <c r="A37" t="s">
        <v>6</v>
      </c>
      <c r="B37" t="s">
        <v>7</v>
      </c>
      <c r="C37">
        <f>0.5*(D37+E37)</f>
        <v>815</v>
      </c>
      <c r="D37">
        <v>813</v>
      </c>
      <c r="E37">
        <v>817</v>
      </c>
      <c r="G37" s="1" t="s">
        <v>26</v>
      </c>
      <c r="H37" s="1"/>
      <c r="I37" s="1"/>
      <c r="J37" s="1"/>
      <c r="K37" s="1"/>
    </row>
    <row r="38" spans="1:11" x14ac:dyDescent="0.2">
      <c r="A38" t="s">
        <v>8</v>
      </c>
      <c r="B38" t="s">
        <v>9</v>
      </c>
      <c r="C38">
        <f>0.5*(D38+E38)</f>
        <v>854.5</v>
      </c>
      <c r="D38">
        <v>853</v>
      </c>
      <c r="E38">
        <v>856</v>
      </c>
      <c r="G38" s="1" t="s">
        <v>26</v>
      </c>
      <c r="H38" s="1"/>
      <c r="I38" s="1"/>
      <c r="J38" s="1"/>
      <c r="K38" s="1"/>
    </row>
    <row r="39" spans="1:11" x14ac:dyDescent="0.2">
      <c r="A39" t="s">
        <v>8</v>
      </c>
      <c r="B39" t="s">
        <v>10</v>
      </c>
      <c r="C39">
        <f>0.5*(D39+E39)</f>
        <v>876</v>
      </c>
      <c r="D39">
        <v>873</v>
      </c>
      <c r="E39">
        <v>879</v>
      </c>
      <c r="G39" s="1" t="s">
        <v>26</v>
      </c>
      <c r="H39" s="1"/>
      <c r="I39" s="1"/>
      <c r="J39" s="1"/>
      <c r="K39" s="1"/>
    </row>
    <row r="40" spans="1:11" x14ac:dyDescent="0.2">
      <c r="A40" t="s">
        <v>8</v>
      </c>
      <c r="B40" t="s">
        <v>11</v>
      </c>
      <c r="C40">
        <f>0.5*(D40+E40)</f>
        <v>919.5</v>
      </c>
      <c r="D40">
        <v>919</v>
      </c>
      <c r="E40">
        <v>920</v>
      </c>
      <c r="G40" s="1" t="s">
        <v>26</v>
      </c>
      <c r="H40" s="1"/>
      <c r="I40" s="1"/>
      <c r="J40" s="1"/>
      <c r="K40" s="1"/>
    </row>
    <row r="41" spans="1:11" x14ac:dyDescent="0.2">
      <c r="A41" t="s">
        <v>8</v>
      </c>
      <c r="B41" t="s">
        <v>47</v>
      </c>
      <c r="C41">
        <f>0.5*(D41+E41)</f>
        <v>935.5</v>
      </c>
      <c r="D41">
        <v>933</v>
      </c>
      <c r="E41">
        <v>938</v>
      </c>
      <c r="G41" s="1" t="s">
        <v>26</v>
      </c>
      <c r="H41" s="1"/>
      <c r="I41" s="1"/>
      <c r="J41" s="1"/>
      <c r="K41" s="1"/>
    </row>
    <row r="42" spans="1:11" x14ac:dyDescent="0.2">
      <c r="A42" t="s">
        <v>8</v>
      </c>
      <c r="B42" t="s">
        <v>12</v>
      </c>
      <c r="C42">
        <f>0.5*(D42+E42)</f>
        <v>1002.5</v>
      </c>
      <c r="D42">
        <v>1000</v>
      </c>
      <c r="E42">
        <v>1005</v>
      </c>
      <c r="G42" s="1" t="s">
        <v>26</v>
      </c>
      <c r="H42" s="1"/>
      <c r="I42" s="1"/>
      <c r="J42" s="1"/>
      <c r="K42" s="1"/>
    </row>
    <row r="43" spans="1:11" x14ac:dyDescent="0.2">
      <c r="A43" t="s">
        <v>13</v>
      </c>
      <c r="B43" t="s">
        <v>14</v>
      </c>
      <c r="C43">
        <f>0.5*(D43+E43)</f>
        <v>1032</v>
      </c>
      <c r="D43">
        <v>1030</v>
      </c>
      <c r="E43">
        <v>1034</v>
      </c>
      <c r="G43" s="1" t="s">
        <v>26</v>
      </c>
      <c r="H43" s="1"/>
      <c r="I43" s="1"/>
      <c r="J43" s="1"/>
      <c r="K43" s="1"/>
    </row>
    <row r="44" spans="1:11" x14ac:dyDescent="0.2">
      <c r="A44" t="s">
        <v>15</v>
      </c>
      <c r="B44" t="s">
        <v>16</v>
      </c>
      <c r="C44">
        <f>0.5*(D44+E44)</f>
        <v>1248.5</v>
      </c>
      <c r="D44">
        <v>1242</v>
      </c>
      <c r="E44">
        <v>1255</v>
      </c>
      <c r="G44" s="1" t="s">
        <v>26</v>
      </c>
      <c r="H44" s="1"/>
      <c r="I44" s="1"/>
      <c r="J44" s="1"/>
      <c r="K44" s="1"/>
    </row>
    <row r="45" spans="1:11" x14ac:dyDescent="0.2">
      <c r="A45" t="s">
        <v>15</v>
      </c>
      <c r="B45" t="s">
        <v>17</v>
      </c>
      <c r="C45">
        <f>0.5*(D45+E45)</f>
        <v>1275</v>
      </c>
      <c r="D45">
        <v>1270</v>
      </c>
      <c r="E45">
        <v>1280</v>
      </c>
      <c r="G45" s="1" t="s">
        <v>26</v>
      </c>
      <c r="H45" s="1"/>
      <c r="I45" s="1"/>
      <c r="J45" s="1"/>
      <c r="K45" s="1"/>
    </row>
    <row r="46" spans="1:11" x14ac:dyDescent="0.2">
      <c r="A46" t="s">
        <v>18</v>
      </c>
      <c r="B46" t="s">
        <v>19</v>
      </c>
      <c r="C46">
        <f>0.5*(D46+E46)</f>
        <v>1322</v>
      </c>
      <c r="D46">
        <v>1322</v>
      </c>
      <c r="E46">
        <v>1322</v>
      </c>
      <c r="G46" s="1" t="s">
        <v>26</v>
      </c>
      <c r="H46" s="1"/>
      <c r="I46" s="1"/>
      <c r="J46" s="1"/>
      <c r="K46" s="1"/>
    </row>
    <row r="47" spans="1:11" x14ac:dyDescent="0.2">
      <c r="A47" t="s">
        <v>20</v>
      </c>
      <c r="B47" t="s">
        <v>21</v>
      </c>
      <c r="C47">
        <f>0.5*(D47+E47)</f>
        <v>1335</v>
      </c>
      <c r="D47">
        <v>1330</v>
      </c>
      <c r="E47">
        <v>1340</v>
      </c>
      <c r="G47" s="1" t="s">
        <v>26</v>
      </c>
      <c r="H47" s="1"/>
      <c r="I47" s="1"/>
      <c r="J47" s="1"/>
      <c r="K47" s="1"/>
    </row>
    <row r="48" spans="1:11" x14ac:dyDescent="0.2">
      <c r="A48" t="s">
        <v>22</v>
      </c>
      <c r="B48" t="s">
        <v>21</v>
      </c>
      <c r="C48">
        <f>0.5*(D48+E48)</f>
        <v>1445</v>
      </c>
      <c r="D48">
        <v>1440</v>
      </c>
      <c r="E48">
        <v>1450</v>
      </c>
      <c r="G48" s="1" t="s">
        <v>26</v>
      </c>
      <c r="H48" s="1"/>
      <c r="I48" s="1"/>
      <c r="J48" s="1"/>
      <c r="K48" s="1"/>
    </row>
    <row r="49" spans="1:11" x14ac:dyDescent="0.2">
      <c r="A49" t="s">
        <v>23</v>
      </c>
      <c r="B49" t="s">
        <v>24</v>
      </c>
      <c r="C49">
        <f>0.5*(D49+E49)</f>
        <v>1663</v>
      </c>
      <c r="D49">
        <v>1650</v>
      </c>
      <c r="E49">
        <v>1676</v>
      </c>
      <c r="G49" s="1" t="s">
        <v>26</v>
      </c>
      <c r="H49" s="1"/>
      <c r="I49" s="1"/>
      <c r="J49" s="1"/>
      <c r="K49" s="1"/>
    </row>
    <row r="50" spans="1:11" x14ac:dyDescent="0.2">
      <c r="A50" s="16" t="s">
        <v>41</v>
      </c>
      <c r="B50" s="16" t="s">
        <v>41</v>
      </c>
      <c r="C50" s="16">
        <f>0.5*(D50+E50)</f>
        <v>1562</v>
      </c>
      <c r="D50" s="16">
        <v>1562</v>
      </c>
      <c r="E50" s="16">
        <v>1562</v>
      </c>
      <c r="F50" s="16"/>
      <c r="G50" s="18" t="s">
        <v>50</v>
      </c>
      <c r="H50" s="16"/>
      <c r="I50" s="16"/>
      <c r="J50" s="16"/>
      <c r="K50" s="16"/>
    </row>
    <row r="51" spans="1:11" x14ac:dyDescent="0.2">
      <c r="A51" s="16" t="s">
        <v>42</v>
      </c>
      <c r="B51" s="16" t="s">
        <v>42</v>
      </c>
      <c r="C51" s="16">
        <f>0.5*(D51+E51)</f>
        <v>1588</v>
      </c>
      <c r="D51" s="16">
        <v>1588</v>
      </c>
      <c r="E51" s="16">
        <v>1588</v>
      </c>
      <c r="F51" s="16"/>
      <c r="G51" s="18" t="s">
        <v>50</v>
      </c>
      <c r="H51" s="16"/>
      <c r="I51" s="16"/>
      <c r="J51" s="16"/>
      <c r="K51" s="16"/>
    </row>
    <row r="52" spans="1:11" x14ac:dyDescent="0.2">
      <c r="A52" s="20" t="s">
        <v>72</v>
      </c>
      <c r="B52" s="20" t="s">
        <v>71</v>
      </c>
      <c r="C52" s="16">
        <f>0.5*(D52+E52)</f>
        <v>1602</v>
      </c>
      <c r="D52" s="16">
        <v>1602</v>
      </c>
      <c r="E52" s="16">
        <v>1602</v>
      </c>
      <c r="F52" s="16"/>
      <c r="G52" s="18" t="s">
        <v>50</v>
      </c>
      <c r="H52" s="16"/>
      <c r="I52" s="16"/>
      <c r="J52" s="16"/>
      <c r="K52" s="16"/>
    </row>
    <row r="53" spans="1:11" x14ac:dyDescent="0.2">
      <c r="A53" s="16" t="s">
        <v>78</v>
      </c>
      <c r="B53" s="16" t="s">
        <v>77</v>
      </c>
      <c r="C53" s="16">
        <f>0.5*(D53+E53)</f>
        <v>1608</v>
      </c>
      <c r="D53" s="16">
        <v>1608</v>
      </c>
      <c r="E53" s="16">
        <v>1608</v>
      </c>
      <c r="F53" s="16"/>
      <c r="G53" s="18" t="s">
        <v>50</v>
      </c>
      <c r="H53" s="16"/>
      <c r="I53" s="16"/>
      <c r="J53" s="16"/>
      <c r="K53" s="16"/>
    </row>
    <row r="54" spans="1:11" ht="16" thickBot="1" x14ac:dyDescent="0.25">
      <c r="A54" t="s">
        <v>45</v>
      </c>
      <c r="B54" t="s">
        <v>43</v>
      </c>
      <c r="C54">
        <f>0.5*(D54+E54)</f>
        <v>1637</v>
      </c>
      <c r="D54">
        <v>1637</v>
      </c>
      <c r="E54">
        <v>1637</v>
      </c>
      <c r="G54" s="6" t="s">
        <v>50</v>
      </c>
    </row>
    <row r="55" spans="1:11" s="14" customFormat="1" x14ac:dyDescent="0.2">
      <c r="A55" s="13" t="s">
        <v>46</v>
      </c>
      <c r="B55" s="14" t="s">
        <v>44</v>
      </c>
      <c r="C55" s="14">
        <f>0.5*(D55+E55)</f>
        <v>1667</v>
      </c>
      <c r="D55" s="14">
        <v>1667</v>
      </c>
      <c r="E55" s="14">
        <v>1667</v>
      </c>
      <c r="G55" s="26" t="s">
        <v>50</v>
      </c>
    </row>
    <row r="56" spans="1:11" s="16" customFormat="1" x14ac:dyDescent="0.2">
      <c r="A56" s="15" t="s">
        <v>48</v>
      </c>
      <c r="B56" t="s">
        <v>49</v>
      </c>
      <c r="C56">
        <f>0.5*(D56+E56)</f>
        <v>1294</v>
      </c>
      <c r="D56">
        <v>1294</v>
      </c>
      <c r="E56">
        <v>1294</v>
      </c>
      <c r="F56"/>
      <c r="G56" s="6" t="s">
        <v>64</v>
      </c>
      <c r="H56"/>
      <c r="I56"/>
      <c r="J56"/>
      <c r="K56"/>
    </row>
    <row r="57" spans="1:11" s="16" customFormat="1" x14ac:dyDescent="0.2">
      <c r="A57" s="15" t="s">
        <v>58</v>
      </c>
      <c r="B57" t="s">
        <v>59</v>
      </c>
      <c r="C57">
        <f>0.5*(D57+E57)</f>
        <v>1297</v>
      </c>
      <c r="D57">
        <v>1297</v>
      </c>
      <c r="E57">
        <v>1297</v>
      </c>
      <c r="F57"/>
      <c r="G57" s="6" t="s">
        <v>64</v>
      </c>
      <c r="H57"/>
      <c r="I57"/>
      <c r="J57"/>
      <c r="K57"/>
    </row>
    <row r="58" spans="1:11" s="16" customFormat="1" x14ac:dyDescent="0.2">
      <c r="A58" s="15" t="s">
        <v>58</v>
      </c>
      <c r="B58" t="s">
        <v>29</v>
      </c>
      <c r="C58">
        <f>0.5*(D58+E58)</f>
        <v>1299</v>
      </c>
      <c r="D58">
        <v>1299</v>
      </c>
      <c r="E58">
        <v>1299</v>
      </c>
      <c r="F58"/>
      <c r="G58" s="6" t="s">
        <v>64</v>
      </c>
      <c r="H58"/>
      <c r="I58"/>
      <c r="J58"/>
      <c r="K58"/>
    </row>
    <row r="59" spans="1:11" s="16" customFormat="1" x14ac:dyDescent="0.2">
      <c r="A59" s="15" t="s">
        <v>53</v>
      </c>
      <c r="B59" t="s">
        <v>52</v>
      </c>
      <c r="C59">
        <f>0.5*(D59+E59)</f>
        <v>1310</v>
      </c>
      <c r="D59">
        <v>1310</v>
      </c>
      <c r="E59">
        <v>1310</v>
      </c>
      <c r="F59"/>
      <c r="G59" s="6" t="s">
        <v>64</v>
      </c>
      <c r="H59"/>
      <c r="I59"/>
      <c r="J59"/>
      <c r="K59"/>
    </row>
    <row r="60" spans="1:11" s="16" customFormat="1" x14ac:dyDescent="0.2">
      <c r="A60" s="15" t="s">
        <v>54</v>
      </c>
      <c r="B60" t="s">
        <v>57</v>
      </c>
      <c r="C60">
        <f>0.5*(D60+E60)</f>
        <v>1339</v>
      </c>
      <c r="D60">
        <v>1339</v>
      </c>
      <c r="E60">
        <v>1339</v>
      </c>
      <c r="F60"/>
      <c r="G60" s="6" t="s">
        <v>64</v>
      </c>
      <c r="H60"/>
      <c r="I60"/>
      <c r="J60"/>
      <c r="K60"/>
    </row>
    <row r="61" spans="1:11" s="16" customFormat="1" x14ac:dyDescent="0.2">
      <c r="A61" s="15" t="s">
        <v>56</v>
      </c>
      <c r="B61" t="s">
        <v>55</v>
      </c>
      <c r="C61">
        <f>0.5*(D61+E61)</f>
        <v>1373</v>
      </c>
      <c r="D61">
        <v>1373</v>
      </c>
      <c r="E61">
        <v>1373</v>
      </c>
      <c r="F61"/>
      <c r="G61" s="6" t="s">
        <v>64</v>
      </c>
      <c r="H61"/>
      <c r="I61"/>
      <c r="J61"/>
      <c r="K61"/>
    </row>
    <row r="62" spans="1:11" s="16" customFormat="1" x14ac:dyDescent="0.2">
      <c r="A62" s="15" t="s">
        <v>51</v>
      </c>
      <c r="B62" t="s">
        <v>58</v>
      </c>
      <c r="C62">
        <f>0.5*(D62+E62)</f>
        <v>1434</v>
      </c>
      <c r="D62">
        <v>1434</v>
      </c>
      <c r="E62">
        <v>1434</v>
      </c>
      <c r="F62"/>
      <c r="G62" s="6" t="s">
        <v>64</v>
      </c>
      <c r="H62"/>
      <c r="I62"/>
      <c r="J62"/>
      <c r="K62"/>
    </row>
    <row r="63" spans="1:11" s="16" customFormat="1" x14ac:dyDescent="0.2">
      <c r="A63" s="15" t="s">
        <v>51</v>
      </c>
      <c r="B63" t="s">
        <v>86</v>
      </c>
      <c r="C63">
        <f>0.5*(D63+E63)</f>
        <v>1445</v>
      </c>
      <c r="D63">
        <v>1440</v>
      </c>
      <c r="E63">
        <v>1450</v>
      </c>
      <c r="F63"/>
      <c r="G63" s="6" t="s">
        <v>64</v>
      </c>
      <c r="H63"/>
      <c r="I63"/>
      <c r="J63"/>
      <c r="K63"/>
    </row>
    <row r="64" spans="1:11" s="16" customFormat="1" x14ac:dyDescent="0.2">
      <c r="A64" s="15" t="s">
        <v>67</v>
      </c>
      <c r="B64" t="s">
        <v>66</v>
      </c>
      <c r="C64">
        <f>0.5*(D64+E64)</f>
        <v>1446</v>
      </c>
      <c r="D64">
        <v>1446</v>
      </c>
      <c r="E64">
        <v>1446</v>
      </c>
      <c r="F64"/>
      <c r="G64" s="6" t="s">
        <v>64</v>
      </c>
      <c r="H64"/>
      <c r="I64"/>
      <c r="J64"/>
      <c r="K64"/>
    </row>
    <row r="65" spans="1:11" s="22" customFormat="1" ht="16" thickBot="1" x14ac:dyDescent="0.25">
      <c r="A65" s="21" t="s">
        <v>54</v>
      </c>
      <c r="B65" s="22" t="s">
        <v>68</v>
      </c>
      <c r="C65" s="22">
        <f>0.5*(D65+E65)</f>
        <v>1454</v>
      </c>
      <c r="D65" s="22">
        <v>1454</v>
      </c>
      <c r="E65" s="22">
        <v>1454</v>
      </c>
      <c r="G65" s="28" t="s">
        <v>64</v>
      </c>
    </row>
    <row r="66" spans="1:11" x14ac:dyDescent="0.2">
      <c r="A66" t="s">
        <v>69</v>
      </c>
      <c r="B66" t="s">
        <v>70</v>
      </c>
      <c r="C66">
        <f>0.5*(D66+E66)</f>
        <v>1657</v>
      </c>
      <c r="D66">
        <v>1657</v>
      </c>
      <c r="E66">
        <v>1657</v>
      </c>
      <c r="G66" s="6" t="s">
        <v>64</v>
      </c>
    </row>
    <row r="67" spans="1:11" x14ac:dyDescent="0.2">
      <c r="A67" t="s">
        <v>8</v>
      </c>
      <c r="B67" t="s">
        <v>29</v>
      </c>
      <c r="C67">
        <f>0.5*(D67+E67)</f>
        <v>1080</v>
      </c>
      <c r="D67">
        <v>1080</v>
      </c>
      <c r="E67">
        <v>1080</v>
      </c>
      <c r="G67" s="5" t="s">
        <v>28</v>
      </c>
    </row>
    <row r="68" spans="1:11" x14ac:dyDescent="0.2">
      <c r="A68" t="s">
        <v>32</v>
      </c>
      <c r="B68" t="s">
        <v>31</v>
      </c>
      <c r="C68">
        <f>0.5*(D68+E68)</f>
        <v>1392.5</v>
      </c>
      <c r="D68">
        <v>1375</v>
      </c>
      <c r="E68">
        <v>1410</v>
      </c>
      <c r="G68" s="5" t="s">
        <v>28</v>
      </c>
    </row>
    <row r="69" spans="1:11" x14ac:dyDescent="0.2">
      <c r="A69" t="s">
        <v>30</v>
      </c>
      <c r="B69" t="s">
        <v>29</v>
      </c>
      <c r="C69">
        <f>0.5*(D69+E69)</f>
        <v>1745</v>
      </c>
      <c r="D69">
        <v>1745</v>
      </c>
      <c r="E69">
        <v>1745</v>
      </c>
      <c r="G69" s="5" t="s">
        <v>28</v>
      </c>
    </row>
    <row r="70" spans="1:11" x14ac:dyDescent="0.2">
      <c r="A70" s="16" t="s">
        <v>38</v>
      </c>
      <c r="B70" s="16" t="s">
        <v>37</v>
      </c>
      <c r="C70" s="16">
        <f>0.5*(D70+E70)</f>
        <v>1510</v>
      </c>
      <c r="D70" s="16">
        <v>1510</v>
      </c>
      <c r="E70" s="16">
        <v>1510</v>
      </c>
      <c r="F70" s="16"/>
      <c r="G70" s="19" t="s">
        <v>33</v>
      </c>
      <c r="H70" s="16"/>
      <c r="I70" s="16"/>
      <c r="J70" s="24" t="s">
        <v>50</v>
      </c>
      <c r="K70" s="16"/>
    </row>
    <row r="71" spans="1:11" x14ac:dyDescent="0.2">
      <c r="A71" s="16" t="s">
        <v>40</v>
      </c>
      <c r="B71" s="16" t="s">
        <v>39</v>
      </c>
      <c r="C71" s="16">
        <f>0.5*(D71+E71)</f>
        <v>1575</v>
      </c>
      <c r="D71" s="16">
        <v>1575</v>
      </c>
      <c r="E71" s="16">
        <v>1575</v>
      </c>
      <c r="F71" s="16"/>
      <c r="G71" s="19" t="s">
        <v>33</v>
      </c>
      <c r="H71" s="16"/>
      <c r="I71" s="16"/>
      <c r="J71" s="16"/>
      <c r="K71" s="16"/>
    </row>
    <row r="72" spans="1:11" x14ac:dyDescent="0.2">
      <c r="A72" s="16" t="s">
        <v>34</v>
      </c>
      <c r="B72" s="16" t="s">
        <v>35</v>
      </c>
      <c r="C72" s="16">
        <f>0.5*(D72+E72)</f>
        <v>1605</v>
      </c>
      <c r="D72" s="16">
        <v>1605</v>
      </c>
      <c r="E72" s="16">
        <v>1605</v>
      </c>
      <c r="F72" s="16"/>
      <c r="G72" s="19" t="s">
        <v>33</v>
      </c>
      <c r="H72" s="16"/>
      <c r="I72" s="16"/>
      <c r="J72" s="16"/>
      <c r="K72" s="16"/>
    </row>
    <row r="73" spans="1:11" x14ac:dyDescent="0.2">
      <c r="A73" s="16" t="s">
        <v>34</v>
      </c>
      <c r="B73" s="16" t="s">
        <v>36</v>
      </c>
      <c r="C73" s="16">
        <f>0.5*(D73+E73)</f>
        <v>1615</v>
      </c>
      <c r="D73" s="16">
        <v>1615</v>
      </c>
      <c r="E73" s="16">
        <v>1615</v>
      </c>
      <c r="F73" s="16"/>
      <c r="G73" s="19" t="s">
        <v>33</v>
      </c>
      <c r="H73" s="16"/>
      <c r="I73" s="16"/>
      <c r="J73" s="16"/>
      <c r="K73" s="16"/>
    </row>
    <row r="74" spans="1:11" x14ac:dyDescent="0.2">
      <c r="B74" t="s">
        <v>102</v>
      </c>
      <c r="C74">
        <v>1126</v>
      </c>
      <c r="G74" s="11" t="s">
        <v>101</v>
      </c>
    </row>
    <row r="75" spans="1:11" x14ac:dyDescent="0.2">
      <c r="A75" t="s">
        <v>63</v>
      </c>
      <c r="B75" t="s">
        <v>60</v>
      </c>
      <c r="C75">
        <f>0.5*(D75+E75)</f>
        <v>1248</v>
      </c>
      <c r="D75">
        <v>1248</v>
      </c>
      <c r="E75">
        <v>1248</v>
      </c>
      <c r="G75" s="2" t="s">
        <v>27</v>
      </c>
      <c r="H75" s="2"/>
      <c r="I75" s="2"/>
      <c r="J75" s="2"/>
      <c r="K75" s="2"/>
    </row>
    <row r="76" spans="1:11" x14ac:dyDescent="0.2">
      <c r="A76" t="s">
        <v>62</v>
      </c>
      <c r="B76" t="s">
        <v>60</v>
      </c>
      <c r="C76">
        <f>0.5*(D76+E76)</f>
        <v>1410</v>
      </c>
      <c r="D76">
        <v>1410</v>
      </c>
      <c r="E76">
        <v>1410</v>
      </c>
      <c r="G76" s="2" t="s">
        <v>27</v>
      </c>
      <c r="H76" s="2"/>
      <c r="I76" s="2"/>
      <c r="J76" s="2"/>
      <c r="K76" s="2"/>
    </row>
    <row r="77" spans="1:11" x14ac:dyDescent="0.2">
      <c r="A77" s="16" t="s">
        <v>61</v>
      </c>
      <c r="B77" s="16" t="s">
        <v>60</v>
      </c>
      <c r="C77" s="16">
        <f>0.5*(D77+E77)</f>
        <v>1620</v>
      </c>
      <c r="D77" s="16">
        <v>1620</v>
      </c>
      <c r="E77" s="16">
        <v>1620</v>
      </c>
      <c r="F77" s="16"/>
      <c r="G77" s="23" t="s">
        <v>27</v>
      </c>
      <c r="H77" s="23"/>
      <c r="I77" s="23"/>
      <c r="J77" s="23"/>
      <c r="K77" s="23"/>
    </row>
    <row r="78" spans="1:11" x14ac:dyDescent="0.2">
      <c r="A78" t="s">
        <v>87</v>
      </c>
      <c r="B78" t="s">
        <v>87</v>
      </c>
      <c r="C78">
        <f>0.5*(D78+E78)</f>
        <v>2865</v>
      </c>
      <c r="D78">
        <v>2850</v>
      </c>
      <c r="E78">
        <v>2880</v>
      </c>
      <c r="G78" s="8" t="s">
        <v>88</v>
      </c>
    </row>
    <row r="79" spans="1:11" x14ac:dyDescent="0.2">
      <c r="A79" t="s">
        <v>89</v>
      </c>
      <c r="B79" t="s">
        <v>91</v>
      </c>
      <c r="C79">
        <f>0.5*(D79+E79)</f>
        <v>3275</v>
      </c>
      <c r="D79">
        <v>3200</v>
      </c>
      <c r="E79">
        <v>3350</v>
      </c>
      <c r="G79" s="8" t="s">
        <v>88</v>
      </c>
    </row>
    <row r="80" spans="1:11" x14ac:dyDescent="0.2">
      <c r="A80" t="s">
        <v>90</v>
      </c>
      <c r="B80" t="s">
        <v>92</v>
      </c>
      <c r="C80">
        <f>0.5*(D80+E80)</f>
        <v>3375</v>
      </c>
      <c r="D80">
        <v>3250</v>
      </c>
      <c r="E80">
        <v>3500</v>
      </c>
      <c r="G80" s="8" t="s">
        <v>88</v>
      </c>
    </row>
    <row r="81" spans="1:8" x14ac:dyDescent="0.2">
      <c r="B81" t="s">
        <v>81</v>
      </c>
      <c r="C81">
        <v>1245</v>
      </c>
      <c r="G81" s="12"/>
      <c r="H81" t="s">
        <v>129</v>
      </c>
    </row>
    <row r="82" spans="1:8" x14ac:dyDescent="0.2">
      <c r="A82" t="s">
        <v>130</v>
      </c>
      <c r="B82" t="s">
        <v>116</v>
      </c>
      <c r="D82">
        <v>1600</v>
      </c>
      <c r="E82">
        <v>1700</v>
      </c>
      <c r="G82" s="12"/>
    </row>
    <row r="83" spans="1:8" x14ac:dyDescent="0.2">
      <c r="A83" t="s">
        <v>131</v>
      </c>
      <c r="B83" t="s">
        <v>81</v>
      </c>
      <c r="D83">
        <v>1200</v>
      </c>
      <c r="E83">
        <v>1300</v>
      </c>
      <c r="G83" s="12"/>
    </row>
  </sheetData>
  <autoFilter ref="A1:K1" xr:uid="{854A617F-2481-450E-A8D3-793681B5C3E9}">
    <sortState xmlns:xlrd2="http://schemas.microsoft.com/office/spreadsheetml/2017/richdata2" ref="A2:K83">
      <sortCondition descending="1" ref="G1:G83"/>
    </sortState>
  </autoFilter>
  <hyperlinks>
    <hyperlink ref="J70" r:id="rId1" xr:uid="{3A400C0E-C6CF-374C-9B00-F326F2DF90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D865-4342-490E-BD10-FD6923A33124}">
  <dimension ref="A1:K39"/>
  <sheetViews>
    <sheetView topLeftCell="A25" workbookViewId="0">
      <selection activeCell="H32" sqref="H32"/>
    </sheetView>
  </sheetViews>
  <sheetFormatPr baseColWidth="10" defaultColWidth="8.83203125" defaultRowHeight="15" x14ac:dyDescent="0.2"/>
  <cols>
    <col min="2" max="2" width="49.1640625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25</v>
      </c>
    </row>
    <row r="2" spans="1:11" x14ac:dyDescent="0.2">
      <c r="A2" t="s">
        <v>6</v>
      </c>
      <c r="B2" t="s">
        <v>7</v>
      </c>
      <c r="C2">
        <f t="shared" ref="C2:C39" si="0">0.5*(D2+E2)</f>
        <v>815</v>
      </c>
      <c r="D2">
        <v>813</v>
      </c>
      <c r="E2">
        <v>817</v>
      </c>
      <c r="G2" s="1" t="s">
        <v>26</v>
      </c>
      <c r="H2" s="1"/>
      <c r="I2" s="1"/>
      <c r="J2" s="1"/>
      <c r="K2" s="1"/>
    </row>
    <row r="3" spans="1:11" x14ac:dyDescent="0.2">
      <c r="A3" t="s">
        <v>8</v>
      </c>
      <c r="B3" t="s">
        <v>9</v>
      </c>
      <c r="C3">
        <f t="shared" si="0"/>
        <v>854.5</v>
      </c>
      <c r="D3">
        <v>853</v>
      </c>
      <c r="E3">
        <v>856</v>
      </c>
      <c r="G3" s="1" t="s">
        <v>26</v>
      </c>
      <c r="H3" s="1"/>
      <c r="I3" s="1"/>
      <c r="J3" s="1"/>
      <c r="K3" s="1"/>
    </row>
    <row r="4" spans="1:11" x14ac:dyDescent="0.2">
      <c r="A4" t="s">
        <v>8</v>
      </c>
      <c r="B4" t="s">
        <v>10</v>
      </c>
      <c r="C4">
        <f t="shared" si="0"/>
        <v>876</v>
      </c>
      <c r="D4">
        <v>873</v>
      </c>
      <c r="E4">
        <v>879</v>
      </c>
      <c r="G4" s="1" t="s">
        <v>26</v>
      </c>
      <c r="H4" s="1"/>
      <c r="I4" s="1"/>
      <c r="J4" s="1"/>
      <c r="K4" s="1"/>
    </row>
    <row r="5" spans="1:11" x14ac:dyDescent="0.2">
      <c r="A5" t="s">
        <v>8</v>
      </c>
      <c r="B5" t="s">
        <v>11</v>
      </c>
      <c r="C5">
        <f t="shared" si="0"/>
        <v>919.5</v>
      </c>
      <c r="D5">
        <v>919</v>
      </c>
      <c r="E5">
        <v>920</v>
      </c>
      <c r="G5" s="1" t="s">
        <v>26</v>
      </c>
      <c r="H5" s="1"/>
      <c r="I5" s="1"/>
      <c r="J5" s="1"/>
      <c r="K5" s="1"/>
    </row>
    <row r="6" spans="1:11" x14ac:dyDescent="0.2">
      <c r="A6" t="s">
        <v>8</v>
      </c>
      <c r="B6" t="s">
        <v>47</v>
      </c>
      <c r="C6">
        <f t="shared" si="0"/>
        <v>935.5</v>
      </c>
      <c r="D6">
        <v>933</v>
      </c>
      <c r="E6">
        <v>938</v>
      </c>
      <c r="G6" s="1" t="s">
        <v>26</v>
      </c>
      <c r="H6" s="1"/>
      <c r="I6" s="1"/>
      <c r="J6" s="1"/>
      <c r="K6" s="1"/>
    </row>
    <row r="7" spans="1:11" x14ac:dyDescent="0.2">
      <c r="A7" t="s">
        <v>8</v>
      </c>
      <c r="B7" t="s">
        <v>12</v>
      </c>
      <c r="C7">
        <f t="shared" si="0"/>
        <v>1002.5</v>
      </c>
      <c r="D7">
        <v>1000</v>
      </c>
      <c r="E7">
        <v>1005</v>
      </c>
      <c r="G7" s="1" t="s">
        <v>26</v>
      </c>
      <c r="H7" s="1"/>
      <c r="I7" s="1"/>
      <c r="J7" s="1"/>
      <c r="K7" s="1"/>
    </row>
    <row r="8" spans="1:11" x14ac:dyDescent="0.2">
      <c r="A8" t="s">
        <v>13</v>
      </c>
      <c r="B8" t="s">
        <v>14</v>
      </c>
      <c r="C8">
        <f t="shared" si="0"/>
        <v>1032</v>
      </c>
      <c r="D8">
        <v>1030</v>
      </c>
      <c r="E8">
        <v>1034</v>
      </c>
      <c r="G8" s="1" t="s">
        <v>26</v>
      </c>
      <c r="H8" s="1"/>
      <c r="I8" s="1"/>
      <c r="J8" s="1"/>
      <c r="K8" s="1"/>
    </row>
    <row r="9" spans="1:11" x14ac:dyDescent="0.2">
      <c r="A9" t="s">
        <v>8</v>
      </c>
      <c r="B9" t="s">
        <v>29</v>
      </c>
      <c r="C9">
        <f t="shared" si="0"/>
        <v>1080</v>
      </c>
      <c r="D9">
        <v>1080</v>
      </c>
      <c r="E9">
        <v>1080</v>
      </c>
      <c r="G9" t="s">
        <v>28</v>
      </c>
      <c r="K9" s="1"/>
    </row>
    <row r="10" spans="1:11" x14ac:dyDescent="0.2">
      <c r="A10" t="s">
        <v>63</v>
      </c>
      <c r="B10" t="s">
        <v>60</v>
      </c>
      <c r="C10">
        <f t="shared" si="0"/>
        <v>1248</v>
      </c>
      <c r="D10">
        <v>1248</v>
      </c>
      <c r="E10">
        <v>1248</v>
      </c>
      <c r="G10" s="2" t="s">
        <v>27</v>
      </c>
      <c r="H10" s="2"/>
      <c r="I10" s="2"/>
      <c r="J10" s="2"/>
      <c r="K10" s="1"/>
    </row>
    <row r="11" spans="1:11" x14ac:dyDescent="0.2">
      <c r="A11" t="s">
        <v>15</v>
      </c>
      <c r="B11" t="s">
        <v>16</v>
      </c>
      <c r="C11">
        <f t="shared" si="0"/>
        <v>1248.5</v>
      </c>
      <c r="D11">
        <v>1242</v>
      </c>
      <c r="E11">
        <v>1255</v>
      </c>
      <c r="G11" s="1" t="s">
        <v>26</v>
      </c>
      <c r="H11" s="1"/>
      <c r="I11" s="1"/>
      <c r="J11" s="1"/>
      <c r="K11" s="1"/>
    </row>
    <row r="12" spans="1:11" x14ac:dyDescent="0.2">
      <c r="A12" t="s">
        <v>15</v>
      </c>
      <c r="B12" t="s">
        <v>17</v>
      </c>
      <c r="C12">
        <f t="shared" si="0"/>
        <v>1275</v>
      </c>
      <c r="D12">
        <v>1270</v>
      </c>
      <c r="E12">
        <v>1280</v>
      </c>
      <c r="G12" s="1" t="s">
        <v>26</v>
      </c>
      <c r="H12" s="1"/>
      <c r="I12" s="1"/>
      <c r="J12" s="1"/>
      <c r="K12" s="1"/>
    </row>
    <row r="13" spans="1:11" x14ac:dyDescent="0.2">
      <c r="A13" t="s">
        <v>48</v>
      </c>
      <c r="B13" t="s">
        <v>49</v>
      </c>
      <c r="C13">
        <f t="shared" si="0"/>
        <v>1294</v>
      </c>
      <c r="D13">
        <v>1294</v>
      </c>
      <c r="E13">
        <v>1294</v>
      </c>
      <c r="G13" t="s">
        <v>64</v>
      </c>
      <c r="K13" s="1"/>
    </row>
    <row r="14" spans="1:11" x14ac:dyDescent="0.2">
      <c r="A14" t="s">
        <v>58</v>
      </c>
      <c r="B14" t="s">
        <v>59</v>
      </c>
      <c r="C14">
        <f t="shared" si="0"/>
        <v>1297</v>
      </c>
      <c r="D14">
        <v>1297</v>
      </c>
      <c r="E14">
        <v>1297</v>
      </c>
      <c r="G14" t="s">
        <v>64</v>
      </c>
      <c r="K14" s="1"/>
    </row>
    <row r="15" spans="1:11" x14ac:dyDescent="0.2">
      <c r="A15" t="s">
        <v>58</v>
      </c>
      <c r="B15" t="s">
        <v>29</v>
      </c>
      <c r="C15">
        <f t="shared" si="0"/>
        <v>1299</v>
      </c>
      <c r="D15">
        <v>1299</v>
      </c>
      <c r="E15">
        <v>1299</v>
      </c>
      <c r="G15" t="s">
        <v>64</v>
      </c>
    </row>
    <row r="16" spans="1:11" x14ac:dyDescent="0.2">
      <c r="A16" t="s">
        <v>53</v>
      </c>
      <c r="B16" t="s">
        <v>52</v>
      </c>
      <c r="C16">
        <f t="shared" si="0"/>
        <v>1310</v>
      </c>
      <c r="D16">
        <v>1310</v>
      </c>
      <c r="E16">
        <v>1310</v>
      </c>
      <c r="G16" t="s">
        <v>64</v>
      </c>
      <c r="K16" s="2"/>
    </row>
    <row r="17" spans="1:11" x14ac:dyDescent="0.2">
      <c r="A17" t="s">
        <v>18</v>
      </c>
      <c r="B17" t="s">
        <v>19</v>
      </c>
      <c r="C17">
        <f t="shared" si="0"/>
        <v>1322</v>
      </c>
      <c r="D17">
        <v>1322</v>
      </c>
      <c r="E17">
        <v>1322</v>
      </c>
      <c r="G17" s="1" t="s">
        <v>26</v>
      </c>
      <c r="H17" s="1"/>
      <c r="I17" s="1"/>
      <c r="J17" s="1"/>
      <c r="K17" s="2"/>
    </row>
    <row r="18" spans="1:11" x14ac:dyDescent="0.2">
      <c r="A18" t="s">
        <v>20</v>
      </c>
      <c r="B18" t="s">
        <v>21</v>
      </c>
      <c r="C18">
        <f t="shared" si="0"/>
        <v>1335</v>
      </c>
      <c r="D18">
        <v>1330</v>
      </c>
      <c r="E18">
        <v>1340</v>
      </c>
      <c r="G18" s="1" t="s">
        <v>26</v>
      </c>
      <c r="H18" s="1"/>
      <c r="I18" s="1"/>
      <c r="J18" s="1"/>
      <c r="K18" s="2"/>
    </row>
    <row r="19" spans="1:11" x14ac:dyDescent="0.2">
      <c r="A19" t="s">
        <v>54</v>
      </c>
      <c r="B19" t="s">
        <v>57</v>
      </c>
      <c r="C19">
        <f t="shared" si="0"/>
        <v>1339</v>
      </c>
      <c r="D19">
        <v>1339</v>
      </c>
      <c r="E19">
        <v>1339</v>
      </c>
      <c r="G19" t="s">
        <v>64</v>
      </c>
    </row>
    <row r="20" spans="1:11" x14ac:dyDescent="0.2">
      <c r="A20" t="s">
        <v>56</v>
      </c>
      <c r="B20" t="s">
        <v>55</v>
      </c>
      <c r="C20">
        <f t="shared" si="0"/>
        <v>1373</v>
      </c>
      <c r="D20">
        <v>1373</v>
      </c>
      <c r="E20">
        <v>1373</v>
      </c>
      <c r="G20" t="s">
        <v>64</v>
      </c>
    </row>
    <row r="21" spans="1:11" x14ac:dyDescent="0.2">
      <c r="A21" t="s">
        <v>32</v>
      </c>
      <c r="B21" t="s">
        <v>31</v>
      </c>
      <c r="C21">
        <f t="shared" si="0"/>
        <v>1392.5</v>
      </c>
      <c r="D21">
        <v>1375</v>
      </c>
      <c r="E21">
        <v>1410</v>
      </c>
      <c r="G21" t="s">
        <v>28</v>
      </c>
    </row>
    <row r="22" spans="1:11" x14ac:dyDescent="0.2">
      <c r="A22" t="s">
        <v>62</v>
      </c>
      <c r="B22" t="s">
        <v>60</v>
      </c>
      <c r="C22">
        <f t="shared" si="0"/>
        <v>1410</v>
      </c>
      <c r="D22">
        <v>1410</v>
      </c>
      <c r="E22">
        <v>1410</v>
      </c>
      <c r="G22" s="2" t="s">
        <v>27</v>
      </c>
      <c r="H22" s="2"/>
      <c r="I22" s="2"/>
      <c r="J22" s="2"/>
    </row>
    <row r="23" spans="1:11" x14ac:dyDescent="0.2">
      <c r="A23" t="s">
        <v>51</v>
      </c>
      <c r="B23" t="s">
        <v>58</v>
      </c>
      <c r="C23">
        <f t="shared" si="0"/>
        <v>1434</v>
      </c>
      <c r="D23">
        <v>1434</v>
      </c>
      <c r="E23">
        <v>1434</v>
      </c>
      <c r="G23" t="s">
        <v>64</v>
      </c>
    </row>
    <row r="24" spans="1:11" x14ac:dyDescent="0.2">
      <c r="A24" t="s">
        <v>51</v>
      </c>
      <c r="B24" t="s">
        <v>65</v>
      </c>
      <c r="C24">
        <f t="shared" si="0"/>
        <v>1440</v>
      </c>
      <c r="D24">
        <v>1440</v>
      </c>
      <c r="E24">
        <v>1440</v>
      </c>
      <c r="G24" t="s">
        <v>64</v>
      </c>
    </row>
    <row r="25" spans="1:11" x14ac:dyDescent="0.2">
      <c r="A25" t="s">
        <v>22</v>
      </c>
      <c r="B25" t="s">
        <v>21</v>
      </c>
      <c r="C25">
        <f t="shared" si="0"/>
        <v>1445</v>
      </c>
      <c r="D25">
        <v>1440</v>
      </c>
      <c r="E25">
        <v>1450</v>
      </c>
      <c r="G25" s="1" t="s">
        <v>26</v>
      </c>
      <c r="H25" s="1"/>
      <c r="I25" s="1"/>
      <c r="J25" s="1"/>
    </row>
    <row r="26" spans="1:11" x14ac:dyDescent="0.2">
      <c r="A26" t="s">
        <v>67</v>
      </c>
      <c r="B26" t="s">
        <v>66</v>
      </c>
      <c r="C26">
        <f t="shared" si="0"/>
        <v>1446</v>
      </c>
      <c r="D26">
        <v>1446</v>
      </c>
      <c r="E26">
        <v>1446</v>
      </c>
      <c r="G26" t="s">
        <v>64</v>
      </c>
    </row>
    <row r="27" spans="1:11" x14ac:dyDescent="0.2">
      <c r="A27" t="s">
        <v>54</v>
      </c>
      <c r="B27" t="s">
        <v>68</v>
      </c>
      <c r="C27">
        <f t="shared" si="0"/>
        <v>1454</v>
      </c>
      <c r="D27">
        <v>1454</v>
      </c>
      <c r="E27">
        <v>1454</v>
      </c>
      <c r="G27" t="s">
        <v>64</v>
      </c>
    </row>
    <row r="28" spans="1:11" x14ac:dyDescent="0.2">
      <c r="A28" t="s">
        <v>38</v>
      </c>
      <c r="B28" t="s">
        <v>37</v>
      </c>
      <c r="C28">
        <f t="shared" si="0"/>
        <v>1510</v>
      </c>
      <c r="D28">
        <v>1510</v>
      </c>
      <c r="E28">
        <v>1510</v>
      </c>
      <c r="G28" t="s">
        <v>33</v>
      </c>
    </row>
    <row r="29" spans="1:11" x14ac:dyDescent="0.2">
      <c r="A29" t="s">
        <v>41</v>
      </c>
      <c r="B29" t="s">
        <v>41</v>
      </c>
      <c r="C29">
        <f t="shared" si="0"/>
        <v>1562</v>
      </c>
      <c r="D29">
        <v>1562</v>
      </c>
      <c r="E29">
        <v>1562</v>
      </c>
      <c r="G29" t="s">
        <v>50</v>
      </c>
    </row>
    <row r="30" spans="1:11" x14ac:dyDescent="0.2">
      <c r="A30" t="s">
        <v>40</v>
      </c>
      <c r="B30" t="s">
        <v>39</v>
      </c>
      <c r="C30">
        <f t="shared" si="0"/>
        <v>1575</v>
      </c>
      <c r="D30">
        <v>1575</v>
      </c>
      <c r="E30">
        <v>1575</v>
      </c>
      <c r="G30" t="s">
        <v>33</v>
      </c>
    </row>
    <row r="31" spans="1:11" x14ac:dyDescent="0.2">
      <c r="A31" t="s">
        <v>42</v>
      </c>
      <c r="B31" t="s">
        <v>42</v>
      </c>
      <c r="C31">
        <f t="shared" si="0"/>
        <v>1588</v>
      </c>
      <c r="D31">
        <v>1588</v>
      </c>
      <c r="E31">
        <v>1588</v>
      </c>
      <c r="G31" t="s">
        <v>50</v>
      </c>
    </row>
    <row r="32" spans="1:11" x14ac:dyDescent="0.2">
      <c r="A32" t="s">
        <v>34</v>
      </c>
      <c r="B32" t="s">
        <v>35</v>
      </c>
      <c r="C32">
        <f t="shared" si="0"/>
        <v>1605</v>
      </c>
      <c r="D32">
        <v>1605</v>
      </c>
      <c r="E32">
        <v>1605</v>
      </c>
      <c r="G32" t="s">
        <v>33</v>
      </c>
    </row>
    <row r="33" spans="1:10" x14ac:dyDescent="0.2">
      <c r="A33" t="s">
        <v>34</v>
      </c>
      <c r="B33" t="s">
        <v>36</v>
      </c>
      <c r="C33">
        <f t="shared" si="0"/>
        <v>1615</v>
      </c>
      <c r="D33">
        <v>1615</v>
      </c>
      <c r="E33">
        <v>1615</v>
      </c>
      <c r="G33" t="s">
        <v>33</v>
      </c>
    </row>
    <row r="34" spans="1:10" x14ac:dyDescent="0.2">
      <c r="A34" t="s">
        <v>61</v>
      </c>
      <c r="B34" t="s">
        <v>60</v>
      </c>
      <c r="C34">
        <f t="shared" si="0"/>
        <v>1620</v>
      </c>
      <c r="D34">
        <v>1620</v>
      </c>
      <c r="E34">
        <v>1620</v>
      </c>
      <c r="G34" s="2" t="s">
        <v>27</v>
      </c>
      <c r="H34" s="2"/>
      <c r="I34" s="2"/>
      <c r="J34" s="2"/>
    </row>
    <row r="35" spans="1:10" x14ac:dyDescent="0.2">
      <c r="A35" t="s">
        <v>45</v>
      </c>
      <c r="B35" t="s">
        <v>43</v>
      </c>
      <c r="C35">
        <f t="shared" si="0"/>
        <v>1637</v>
      </c>
      <c r="D35">
        <v>1637</v>
      </c>
      <c r="E35">
        <v>1637</v>
      </c>
      <c r="G35" t="s">
        <v>50</v>
      </c>
    </row>
    <row r="36" spans="1:10" x14ac:dyDescent="0.2">
      <c r="A36" t="s">
        <v>69</v>
      </c>
      <c r="B36" t="s">
        <v>70</v>
      </c>
      <c r="C36">
        <f t="shared" si="0"/>
        <v>1657</v>
      </c>
      <c r="D36">
        <v>1657</v>
      </c>
      <c r="E36">
        <v>1657</v>
      </c>
      <c r="G36" t="s">
        <v>64</v>
      </c>
    </row>
    <row r="37" spans="1:10" x14ac:dyDescent="0.2">
      <c r="A37" t="s">
        <v>23</v>
      </c>
      <c r="B37" t="s">
        <v>24</v>
      </c>
      <c r="C37">
        <f t="shared" si="0"/>
        <v>1663</v>
      </c>
      <c r="D37">
        <v>1650</v>
      </c>
      <c r="E37">
        <v>1676</v>
      </c>
      <c r="G37" s="1" t="s">
        <v>26</v>
      </c>
      <c r="H37" s="1"/>
      <c r="I37" s="1"/>
      <c r="J37" s="1"/>
    </row>
    <row r="38" spans="1:10" x14ac:dyDescent="0.2">
      <c r="A38" t="s">
        <v>46</v>
      </c>
      <c r="B38" t="s">
        <v>44</v>
      </c>
      <c r="C38">
        <f t="shared" si="0"/>
        <v>1667</v>
      </c>
      <c r="D38">
        <v>1667</v>
      </c>
      <c r="E38">
        <v>1667</v>
      </c>
      <c r="G38" t="s">
        <v>50</v>
      </c>
    </row>
    <row r="39" spans="1:10" x14ac:dyDescent="0.2">
      <c r="A39" t="s">
        <v>30</v>
      </c>
      <c r="B39" t="s">
        <v>29</v>
      </c>
      <c r="C39">
        <f t="shared" si="0"/>
        <v>1745</v>
      </c>
      <c r="D39">
        <v>1745</v>
      </c>
      <c r="E39">
        <v>1745</v>
      </c>
      <c r="G39" t="s">
        <v>28</v>
      </c>
    </row>
  </sheetData>
  <sortState xmlns:xlrd2="http://schemas.microsoft.com/office/spreadsheetml/2017/richdata2" ref="A2:J44">
    <sortCondition ref="C2:C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ramanPeaksData</vt:lpstr>
      <vt:lpstr>ramanPeaksData-sorted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Gupta</dc:creator>
  <cp:lastModifiedBy>Laura Forster</cp:lastModifiedBy>
  <dcterms:created xsi:type="dcterms:W3CDTF">2025-02-22T15:18:20Z</dcterms:created>
  <dcterms:modified xsi:type="dcterms:W3CDTF">2026-04-16T09:48:45Z</dcterms:modified>
</cp:coreProperties>
</file>